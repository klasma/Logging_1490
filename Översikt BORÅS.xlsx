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46314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46314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46314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46314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46314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46314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46314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46314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46314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46314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46314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46314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46314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46314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46314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46314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46314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46314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46314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46314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46314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46314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46314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46314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46314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46314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46314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46314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46314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46314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46314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46314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46314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46314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46314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46314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46314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46314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46314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1922-2025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46314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Kyrkan</t>
        </is>
      </c>
      <c r="I54" t="n">
        <v>5.9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HYPERLINK("https://klasma.github.io/Logging_1490/artfynd/A 1922-2025 artfynd.xlsx", "A 1922-2025")</f>
        <v/>
      </c>
      <c r="X54">
        <f>HYPERLINK("https://klasma.github.io/Logging_1490/kartor/A 1922-2025 karta.png", "A 1922-2025")</f>
        <v/>
      </c>
      <c r="Y54">
        <f>HYPERLINK("https://klasma.github.io/Logging_1490/kartor_geotiff/A 1922-2025 georefererad karta.tif", "A 1922-2025")</f>
        <v/>
      </c>
      <c r="AA54">
        <f>HYPERLINK("https://klasma.github.io/Logging_1490/klagomål/A 1922-2025 FSC-klagomål.docx", "A 1922-2025")</f>
        <v/>
      </c>
      <c r="AB54">
        <f>HYPERLINK("https://klasma.github.io/Logging_1490/klagomålsmail/A 1922-2025 FSC-klagomål mail.docx", "A 1922-2025")</f>
        <v/>
      </c>
      <c r="AC54">
        <f>HYPERLINK("https://klasma.github.io/Logging_1490/tillsyn/A 1922-2025 tillsynsbegäran.docx", "A 1922-2025")</f>
        <v/>
      </c>
      <c r="AD54">
        <f>HYPERLINK("https://klasma.github.io/Logging_1490/tillsynsmail/A 1922-2025 tillsynsbegäran mail.docx", "A 1922-2025")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46314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3760-2024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46314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6.8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Kråka</t>
        </is>
      </c>
      <c r="W56">
        <f>HYPERLINK("https://klasma.github.io/Logging_1490/artfynd/A 3760-2024 artfynd.xlsx", "A 3760-2024")</f>
        <v/>
      </c>
      <c r="X56">
        <f>HYPERLINK("https://klasma.github.io/Logging_1490/kartor/A 3760-2024 karta.png", "A 3760-2024")</f>
        <v/>
      </c>
      <c r="Y56">
        <f>HYPERLINK("https://klasma.github.io/Logging_1490/kartor_geotiff/A 3760-2024 georefererad karta.tif", "A 3760-2024")</f>
        <v/>
      </c>
      <c r="AA56">
        <f>HYPERLINK("https://klasma.github.io/Logging_1490/klagomål/A 3760-2024 FSC-klagomål.docx", "A 3760-2024")</f>
        <v/>
      </c>
      <c r="AB56">
        <f>HYPERLINK("https://klasma.github.io/Logging_1490/klagomålsmail/A 3760-2024 FSC-klagomål mail.docx", "A 3760-2024")</f>
        <v/>
      </c>
      <c r="AC56">
        <f>HYPERLINK("https://klasma.github.io/Logging_1490/tillsyn/A 3760-2024 tillsynsbegäran.docx", "A 3760-2024")</f>
        <v/>
      </c>
      <c r="AD56">
        <f>HYPERLINK("https://klasma.github.io/Logging_1490/tillsynsmail/A 3760-2024 tillsynsbegäran mail.docx", "A 3760-2024")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46314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Läderlappslav</t>
        </is>
      </c>
      <c r="W57">
        <f>HYPERLINK("https://klasma.github.io/Logging_1490/artfynd/A 57175-2023 artfynd.xlsx", "A 57175-2023")</f>
        <v/>
      </c>
      <c r="X57">
        <f>HYPERLINK("https://klasma.github.io/Logging_1490/kartor/A 57175-2023 karta.png", "A 57175-2023")</f>
        <v/>
      </c>
      <c r="Y57">
        <f>HYPERLINK("https://klasma.github.io/Logging_1490/kartor_geotiff/A 57175-2023 georefererad karta.tif", "A 57175-2023")</f>
        <v/>
      </c>
      <c r="AA57">
        <f>HYPERLINK("https://klasma.github.io/Logging_1490/klagomål/A 57175-2023 FSC-klagomål.docx", "A 57175-2023")</f>
        <v/>
      </c>
      <c r="AB57">
        <f>HYPERLINK("https://klasma.github.io/Logging_1490/klagomålsmail/A 57175-2023 FSC-klagomål mail.docx", "A 57175-2023")</f>
        <v/>
      </c>
      <c r="AC57">
        <f>HYPERLINK("https://klasma.github.io/Logging_1490/tillsyn/A 57175-2023 tillsynsbegäran.docx", "A 57175-2023")</f>
        <v/>
      </c>
      <c r="AD57">
        <f>HYPERLINK("https://klasma.github.io/Logging_1490/tillsynsmail/A 57175-2023 tillsynsbegäran mail.docx", "A 57175-2023")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46314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46314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46314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HYPERLINK("https://klasma.github.io/Logging_1490/artfynd/A 27342-2022 artfynd.xlsx", "A 27342-2022")</f>
        <v/>
      </c>
      <c r="X60">
        <f>HYPERLINK("https://klasma.github.io/Logging_1490/kartor/A 27342-2022 karta.png", "A 27342-2022")</f>
        <v/>
      </c>
      <c r="Y60">
        <f>HYPERLINK("https://klasma.github.io/Logging_1490/kartor_geotiff/A 27342-2022 georefererad karta.tif", "A 27342-2022")</f>
        <v/>
      </c>
      <c r="AA60">
        <f>HYPERLINK("https://klasma.github.io/Logging_1490/klagomål/A 27342-2022 FSC-klagomål.docx", "A 27342-2022")</f>
        <v/>
      </c>
      <c r="AB60">
        <f>HYPERLINK("https://klasma.github.io/Logging_1490/klagomålsmail/A 27342-2022 FSC-klagomål mail.docx", "A 27342-2022")</f>
        <v/>
      </c>
      <c r="AC60">
        <f>HYPERLINK("https://klasma.github.io/Logging_1490/tillsyn/A 27342-2022 tillsynsbegäran.docx", "A 27342-2022")</f>
        <v/>
      </c>
      <c r="AD60">
        <f>HYPERLINK("https://klasma.github.io/Logging_1490/tillsynsmail/A 27342-2022 tillsynsbegäran mail.docx", "A 27342-2022")</f>
        <v/>
      </c>
      <c r="AE60">
        <f>HYPERLINK("https://klasma.github.io/Logging_1490/fåglar/A 27342-2022 prioriterade fågelarter.docx", "A 27342-2022")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46314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46314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46314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Hasselmus</t>
        </is>
      </c>
      <c r="W64">
        <f>HYPERLINK("https://klasma.github.io/Logging_1490/artfynd/A 3719-2024 artfynd.xlsx", "A 3719-2024")</f>
        <v/>
      </c>
      <c r="X64">
        <f>HYPERLINK("https://klasma.github.io/Logging_1490/kartor/A 3719-2024 karta.png", "A 3719-2024")</f>
        <v/>
      </c>
      <c r="Y64">
        <f>HYPERLINK("https://klasma.github.io/Logging_1490/kartor_geotiff/A 3719-2024 georefererad karta.tif", "A 3719-2024")</f>
        <v/>
      </c>
      <c r="AA64">
        <f>HYPERLINK("https://klasma.github.io/Logging_1490/klagomål/A 3719-2024 FSC-klagomål.docx", "A 3719-2024")</f>
        <v/>
      </c>
      <c r="AB64">
        <f>HYPERLINK("https://klasma.github.io/Logging_1490/klagomålsmail/A 3719-2024 FSC-klagomål mail.docx", "A 3719-2024")</f>
        <v/>
      </c>
      <c r="AC64">
        <f>HYPERLINK("https://klasma.github.io/Logging_1490/tillsyn/A 3719-2024 tillsynsbegäran.docx", "A 3719-2024")</f>
        <v/>
      </c>
      <c r="AD64">
        <f>HYPERLINK("https://klasma.github.io/Logging_1490/tillsynsmail/A 3719-2024 tillsynsbegäran mail.docx", "A 3719-2024")</f>
        <v/>
      </c>
    </row>
    <row r="65" ht="15" customHeight="1">
      <c r="A65" t="inlineStr">
        <is>
          <t>A 53533-2022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46314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HYPERLINK("https://klasma.github.io/Logging_1490/artfynd/A 53533-2022 artfynd.xlsx", "A 53533-2022")</f>
        <v/>
      </c>
      <c r="X65">
        <f>HYPERLINK("https://klasma.github.io/Logging_1490/kartor/A 53533-2022 karta.png", "A 53533-2022")</f>
        <v/>
      </c>
      <c r="Y65">
        <f>HYPERLINK("https://klasma.github.io/Logging_1490/kartor_geotiff/A 53533-2022 georefererad karta.tif", "A 53533-2022")</f>
        <v/>
      </c>
      <c r="AA65">
        <f>HYPERLINK("https://klasma.github.io/Logging_1490/klagomål/A 53533-2022 FSC-klagomål.docx", "A 53533-2022")</f>
        <v/>
      </c>
      <c r="AB65">
        <f>HYPERLINK("https://klasma.github.io/Logging_1490/klagomålsmail/A 53533-2022 FSC-klagomål mail.docx", "A 53533-2022")</f>
        <v/>
      </c>
      <c r="AC65">
        <f>HYPERLINK("https://klasma.github.io/Logging_1490/tillsyn/A 53533-2022 tillsynsbegäran.docx", "A 53533-2022")</f>
        <v/>
      </c>
      <c r="AD65">
        <f>HYPERLINK("https://klasma.github.io/Logging_1490/tillsynsmail/A 53533-2022 tillsynsbegäran mail.docx", "A 53533-2022")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46314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46314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46314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46314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4358-2025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46314</v>
      </c>
      <c r="F70" t="inlineStr">
        <is>
          <t>VÄSTRA GÖTALANDS LÄN</t>
        </is>
      </c>
      <c r="G70" t="inlineStr">
        <is>
          <t>BORÅS</t>
        </is>
      </c>
      <c r="H70" t="inlineStr">
        <is>
          <t>Sveaskog</t>
        </is>
      </c>
      <c r="I70" t="n">
        <v>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HYPERLINK("https://klasma.github.io/Logging_1490/artfynd/A 4358-2025 artfynd.xlsx", "A 4358-2025")</f>
        <v/>
      </c>
      <c r="X70">
        <f>HYPERLINK("https://klasma.github.io/Logging_1490/kartor/A 4358-2025 karta.png", "A 4358-2025")</f>
        <v/>
      </c>
      <c r="Y70">
        <f>HYPERLINK("https://klasma.github.io/Logging_1490/kartor_geotiff/A 4358-2025 georefererad karta.tif", "A 4358-2025")</f>
        <v/>
      </c>
      <c r="AA70">
        <f>HYPERLINK("https://klasma.github.io/Logging_1490/klagomål/A 4358-2025 FSC-klagomål.docx", "A 4358-2025")</f>
        <v/>
      </c>
      <c r="AB70">
        <f>HYPERLINK("https://klasma.github.io/Logging_1490/klagomålsmail/A 4358-2025 FSC-klagomål mail.docx", "A 4358-2025")</f>
        <v/>
      </c>
      <c r="AC70">
        <f>HYPERLINK("https://klasma.github.io/Logging_1490/tillsyn/A 4358-2025 tillsynsbegäran.docx", "A 4358-2025")</f>
        <v/>
      </c>
      <c r="AD70">
        <f>HYPERLINK("https://klasma.github.io/Logging_1490/tillsynsmail/A 4358-2025 tillsynsbegäran mail.docx", "A 4358-2025")</f>
        <v/>
      </c>
      <c r="AE70">
        <f>HYPERLINK("https://klasma.github.io/Logging_1490/fåglar/A 4358-2025 prioriterade fågelarter.docx", "A 4358-2025")</f>
        <v/>
      </c>
    </row>
    <row r="71" ht="15" customHeight="1">
      <c r="A71" t="inlineStr">
        <is>
          <t>A 57439-2024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46314</v>
      </c>
      <c r="F71" t="inlineStr">
        <is>
          <t>VÄSTRA GÖTALANDS LÄN</t>
        </is>
      </c>
      <c r="G71" t="inlineStr">
        <is>
          <t>BORÅS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Tofsmes</t>
        </is>
      </c>
      <c r="W71">
        <f>HYPERLINK("https://klasma.github.io/Logging_1490/artfynd/A 57439-2024 artfynd.xlsx", "A 57439-2024")</f>
        <v/>
      </c>
      <c r="X71">
        <f>HYPERLINK("https://klasma.github.io/Logging_1490/kartor/A 57439-2024 karta.png", "A 57439-2024")</f>
        <v/>
      </c>
      <c r="Y71">
        <f>HYPERLINK("https://klasma.github.io/Logging_1490/kartor_geotiff/A 57439-2024 georefererad karta.tif", "A 57439-2024")</f>
        <v/>
      </c>
      <c r="AA71">
        <f>HYPERLINK("https://klasma.github.io/Logging_1490/klagomål/A 57439-2024 FSC-klagomål.docx", "A 57439-2024")</f>
        <v/>
      </c>
      <c r="AB71">
        <f>HYPERLINK("https://klasma.github.io/Logging_1490/klagomålsmail/A 57439-2024 FSC-klagomål mail.docx", "A 57439-2024")</f>
        <v/>
      </c>
      <c r="AC71">
        <f>HYPERLINK("https://klasma.github.io/Logging_1490/tillsyn/A 57439-2024 tillsynsbegäran.docx", "A 57439-2024")</f>
        <v/>
      </c>
      <c r="AD71">
        <f>HYPERLINK("https://klasma.github.io/Logging_1490/tillsynsmail/A 57439-2024 tillsynsbegäran mail.docx", "A 57439-2024")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46314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23756-2025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46314</v>
      </c>
      <c r="F73" t="inlineStr">
        <is>
          <t>VÄSTRA GÖTALANDS LÄN</t>
        </is>
      </c>
      <c r="G73" t="inlineStr">
        <is>
          <t>BORÅS</t>
        </is>
      </c>
      <c r="I73" t="n">
        <v>1.9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HYPERLINK("https://klasma.github.io/Logging_1490/artfynd/A 23756-2025 artfynd.xlsx", "A 23756-2025")</f>
        <v/>
      </c>
      <c r="X73">
        <f>HYPERLINK("https://klasma.github.io/Logging_1490/kartor/A 23756-2025 karta.png", "A 23756-2025")</f>
        <v/>
      </c>
      <c r="Y73">
        <f>HYPERLINK("https://klasma.github.io/Logging_1490/kartor_geotiff/A 23756-2025 georefererad karta.tif", "A 23756-2025")</f>
        <v/>
      </c>
      <c r="AA73">
        <f>HYPERLINK("https://klasma.github.io/Logging_1490/klagomål/A 23756-2025 FSC-klagomål.docx", "A 23756-2025")</f>
        <v/>
      </c>
      <c r="AB73">
        <f>HYPERLINK("https://klasma.github.io/Logging_1490/klagomålsmail/A 23756-2025 FSC-klagomål mail.docx", "A 23756-2025")</f>
        <v/>
      </c>
      <c r="AC73">
        <f>HYPERLINK("https://klasma.github.io/Logging_1490/tillsyn/A 23756-2025 tillsynsbegäran.docx", "A 23756-2025")</f>
        <v/>
      </c>
      <c r="AD73">
        <f>HYPERLINK("https://klasma.github.io/Logging_1490/tillsynsmail/A 23756-2025 tillsynsbegäran mail.docx", "A 23756-2025")</f>
        <v/>
      </c>
      <c r="AE73">
        <f>HYPERLINK("https://klasma.github.io/Logging_1490/fåglar/A 23756-2025 prioriterade fågelarter.docx", "A 23756-2025")</f>
        <v/>
      </c>
    </row>
    <row r="74" ht="15" customHeight="1">
      <c r="A74" t="inlineStr">
        <is>
          <t>A 23755-2025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46314</v>
      </c>
      <c r="F74" t="inlineStr">
        <is>
          <t>VÄSTRA GÖTALANDS LÄN</t>
        </is>
      </c>
      <c r="G74" t="inlineStr">
        <is>
          <t>BORÅS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HYPERLINK("https://klasma.github.io/Logging_1490/artfynd/A 23755-2025 artfynd.xlsx", "A 23755-2025")</f>
        <v/>
      </c>
      <c r="X74">
        <f>HYPERLINK("https://klasma.github.io/Logging_1490/kartor/A 23755-2025 karta.png", "A 23755-2025")</f>
        <v/>
      </c>
      <c r="Y74">
        <f>HYPERLINK("https://klasma.github.io/Logging_1490/kartor_geotiff/A 23755-2025 georefererad karta.tif", "A 23755-2025")</f>
        <v/>
      </c>
      <c r="AA74">
        <f>HYPERLINK("https://klasma.github.io/Logging_1490/klagomål/A 23755-2025 FSC-klagomål.docx", "A 23755-2025")</f>
        <v/>
      </c>
      <c r="AB74">
        <f>HYPERLINK("https://klasma.github.io/Logging_1490/klagomålsmail/A 23755-2025 FSC-klagomål mail.docx", "A 23755-2025")</f>
        <v/>
      </c>
      <c r="AC74">
        <f>HYPERLINK("https://klasma.github.io/Logging_1490/tillsyn/A 23755-2025 tillsynsbegäran.docx", "A 23755-2025")</f>
        <v/>
      </c>
      <c r="AD74">
        <f>HYPERLINK("https://klasma.github.io/Logging_1490/tillsynsmail/A 23755-2025 tillsynsbegäran mail.docx", "A 23755-2025")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46314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46314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46314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46314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46314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46314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46314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46314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46314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46314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46314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46314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46314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46314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46314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46314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46314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46314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46314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46314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46314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46314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46314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46314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46314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46314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46314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46314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46314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46314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46314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46314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46314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46314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46314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46314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46314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46314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46314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46314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46314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46314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46314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46314</v>
      </c>
      <c r="F118" t="inlineStr">
        <is>
          <t>VÄSTRA GÖTALANDS LÄN</t>
        </is>
      </c>
      <c r="G118" t="inlineStr">
        <is>
          <t>BORÅS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46314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46314</v>
      </c>
      <c r="F120" t="inlineStr">
        <is>
          <t>VÄSTRA GÖTALANDS LÄN</t>
        </is>
      </c>
      <c r="G120" t="inlineStr">
        <is>
          <t>BORÅS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46314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46314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46314</v>
      </c>
      <c r="F123" t="inlineStr">
        <is>
          <t>VÄSTRA GÖTALANDS LÄN</t>
        </is>
      </c>
      <c r="G123" t="inlineStr">
        <is>
          <t>BORÅS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46314</v>
      </c>
      <c r="F124" t="inlineStr">
        <is>
          <t>VÄSTRA GÖTALANDS LÄN</t>
        </is>
      </c>
      <c r="G124" t="inlineStr">
        <is>
          <t>BORÅS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44489</v>
      </c>
      <c r="E125" s="1" t="n">
        <v>46314</v>
      </c>
      <c r="F125" t="inlineStr">
        <is>
          <t>VÄSTRA GÖTALANDS LÄN</t>
        </is>
      </c>
      <c r="G125" t="inlineStr">
        <is>
          <t>BORÅS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46314</v>
      </c>
      <c r="F126" t="inlineStr">
        <is>
          <t>VÄSTRA GÖTALANDS LÄN</t>
        </is>
      </c>
      <c r="G126" t="inlineStr">
        <is>
          <t>BORÅS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46314</v>
      </c>
      <c r="F127" t="inlineStr">
        <is>
          <t>VÄSTRA GÖTALANDS LÄN</t>
        </is>
      </c>
      <c r="G127" t="inlineStr">
        <is>
          <t>BORÅS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8240-2022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44609</v>
      </c>
      <c r="E128" s="1" t="n">
        <v>46314</v>
      </c>
      <c r="F128" t="inlineStr">
        <is>
          <t>VÄSTRA GÖTALANDS LÄN</t>
        </is>
      </c>
      <c r="G128" t="inlineStr">
        <is>
          <t>BORÅS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46314</v>
      </c>
      <c r="F129" t="inlineStr">
        <is>
          <t>VÄSTRA GÖTALANDS LÄN</t>
        </is>
      </c>
      <c r="G129" t="inlineStr">
        <is>
          <t>BORÅS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44740</v>
      </c>
      <c r="E130" s="1" t="n">
        <v>46314</v>
      </c>
      <c r="F130" t="inlineStr">
        <is>
          <t>VÄSTRA GÖTALANDS LÄN</t>
        </is>
      </c>
      <c r="G130" t="inlineStr">
        <is>
          <t>BORÅS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46314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46314</v>
      </c>
      <c r="F132" t="inlineStr">
        <is>
          <t>VÄSTRA GÖTALANDS LÄN</t>
        </is>
      </c>
      <c r="G132" t="inlineStr">
        <is>
          <t>BORÅS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46314</v>
      </c>
      <c r="F133" t="inlineStr">
        <is>
          <t>VÄSTRA GÖTALANDS LÄN</t>
        </is>
      </c>
      <c r="G133" t="inlineStr">
        <is>
          <t>BORÅS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46314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46314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46314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46314</v>
      </c>
      <c r="F137" t="inlineStr">
        <is>
          <t>VÄSTRA GÖTALANDS LÄN</t>
        </is>
      </c>
      <c r="G137" t="inlineStr">
        <is>
          <t>BORÅS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45050</v>
      </c>
      <c r="E138" s="1" t="n">
        <v>46314</v>
      </c>
      <c r="F138" t="inlineStr">
        <is>
          <t>VÄSTRA GÖTALANDS LÄN</t>
        </is>
      </c>
      <c r="G138" t="inlineStr">
        <is>
          <t>BORÅS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45050</v>
      </c>
      <c r="E139" s="1" t="n">
        <v>46314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46314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46314</v>
      </c>
      <c r="F141" t="inlineStr">
        <is>
          <t>VÄSTRA GÖTALANDS LÄN</t>
        </is>
      </c>
      <c r="G141" t="inlineStr">
        <is>
          <t>BORÅS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8182-2024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45351</v>
      </c>
      <c r="E142" s="1" t="n">
        <v>46314</v>
      </c>
      <c r="F142" t="inlineStr">
        <is>
          <t>VÄSTRA GÖTALANDS LÄN</t>
        </is>
      </c>
      <c r="G142" t="inlineStr">
        <is>
          <t>BORÅS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46314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46314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46314</v>
      </c>
      <c r="F145" t="inlineStr">
        <is>
          <t>VÄSTRA GÖTALANDS LÄN</t>
        </is>
      </c>
      <c r="G145" t="inlineStr">
        <is>
          <t>BORÅS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46314</v>
      </c>
      <c r="F146" t="inlineStr">
        <is>
          <t>VÄSTRA GÖTALANDS LÄN</t>
        </is>
      </c>
      <c r="G146" t="inlineStr">
        <is>
          <t>BORÅS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45510</v>
      </c>
      <c r="E147" s="1" t="n">
        <v>46314</v>
      </c>
      <c r="F147" t="inlineStr">
        <is>
          <t>VÄSTRA GÖTALANDS LÄN</t>
        </is>
      </c>
      <c r="G147" t="inlineStr">
        <is>
          <t>BORÅS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46314</v>
      </c>
      <c r="F148" t="inlineStr">
        <is>
          <t>VÄSTRA GÖTALANDS LÄN</t>
        </is>
      </c>
      <c r="G148" t="inlineStr">
        <is>
          <t>BORÅS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46314</v>
      </c>
      <c r="F149" t="inlineStr">
        <is>
          <t>VÄSTRA GÖTALANDS LÄN</t>
        </is>
      </c>
      <c r="G149" t="inlineStr">
        <is>
          <t>BORÅS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46314</v>
      </c>
      <c r="F150" t="inlineStr">
        <is>
          <t>VÄSTRA GÖTALANDS LÄN</t>
        </is>
      </c>
      <c r="G150" t="inlineStr">
        <is>
          <t>BORÅS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44639</v>
      </c>
      <c r="E151" s="1" t="n">
        <v>46314</v>
      </c>
      <c r="F151" t="inlineStr">
        <is>
          <t>VÄSTRA GÖTALANDS LÄN</t>
        </is>
      </c>
      <c r="G151" t="inlineStr">
        <is>
          <t>BORÅS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45650</v>
      </c>
      <c r="E152" s="1" t="n">
        <v>46314</v>
      </c>
      <c r="F152" t="inlineStr">
        <is>
          <t>VÄSTRA GÖTALANDS LÄN</t>
        </is>
      </c>
      <c r="G152" t="inlineStr">
        <is>
          <t>BORÅS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46314</v>
      </c>
      <c r="F153" t="inlineStr">
        <is>
          <t>VÄSTRA GÖTALANDS LÄN</t>
        </is>
      </c>
      <c r="G153" t="inlineStr">
        <is>
          <t>BORÅS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46314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46314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45462</v>
      </c>
      <c r="E156" s="1" t="n">
        <v>46314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46314</v>
      </c>
      <c r="F157" t="inlineStr">
        <is>
          <t>VÄSTRA GÖTALANDS LÄN</t>
        </is>
      </c>
      <c r="G157" t="inlineStr">
        <is>
          <t>BORÅS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46314</v>
      </c>
      <c r="F158" t="inlineStr">
        <is>
          <t>VÄSTRA GÖTALANDS LÄN</t>
        </is>
      </c>
      <c r="G158" t="inlineStr">
        <is>
          <t>BORÅS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46314</v>
      </c>
      <c r="F159" t="inlineStr">
        <is>
          <t>VÄSTRA GÖTALANDS LÄN</t>
        </is>
      </c>
      <c r="G159" t="inlineStr">
        <is>
          <t>BORÅS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46314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46314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44910</v>
      </c>
      <c r="E162" s="1" t="n">
        <v>46314</v>
      </c>
      <c r="F162" t="inlineStr">
        <is>
          <t>VÄSTRA GÖTALANDS LÄN</t>
        </is>
      </c>
      <c r="G162" t="inlineStr">
        <is>
          <t>BORÅS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46314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Kyrkan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46314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46314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46314</v>
      </c>
      <c r="F166" t="inlineStr">
        <is>
          <t>VÄSTRA GÖTALANDS LÄN</t>
        </is>
      </c>
      <c r="G166" t="inlineStr">
        <is>
          <t>BORÅS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46314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46314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46314</v>
      </c>
      <c r="F169" t="inlineStr">
        <is>
          <t>VÄSTRA GÖTALANDS LÄN</t>
        </is>
      </c>
      <c r="G169" t="inlineStr">
        <is>
          <t>BORÅS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46314</v>
      </c>
      <c r="F170" t="inlineStr">
        <is>
          <t>VÄSTRA GÖTALANDS LÄN</t>
        </is>
      </c>
      <c r="G170" t="inlineStr">
        <is>
          <t>BORÅS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46314</v>
      </c>
      <c r="F171" t="inlineStr">
        <is>
          <t>VÄSTRA GÖTALANDS LÄN</t>
        </is>
      </c>
      <c r="G171" t="inlineStr">
        <is>
          <t>BORÅS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46314</v>
      </c>
      <c r="F172" t="inlineStr">
        <is>
          <t>VÄSTRA GÖTALANDS LÄN</t>
        </is>
      </c>
      <c r="G172" t="inlineStr">
        <is>
          <t>BORÅS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46314</v>
      </c>
      <c r="F173" t="inlineStr">
        <is>
          <t>VÄSTRA GÖTALANDS LÄN</t>
        </is>
      </c>
      <c r="G173" t="inlineStr">
        <is>
          <t>BORÅS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46314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46314</v>
      </c>
      <c r="F175" t="inlineStr">
        <is>
          <t>VÄSTRA GÖTALANDS LÄN</t>
        </is>
      </c>
      <c r="G175" t="inlineStr">
        <is>
          <t>BORÅS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46314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46314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46314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46314</v>
      </c>
      <c r="F179" t="inlineStr">
        <is>
          <t>VÄSTRA GÖTALANDS LÄN</t>
        </is>
      </c>
      <c r="G179" t="inlineStr">
        <is>
          <t>BORÅS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46314</v>
      </c>
      <c r="F180" t="inlineStr">
        <is>
          <t>VÄSTRA GÖTALANDS LÄN</t>
        </is>
      </c>
      <c r="G180" t="inlineStr">
        <is>
          <t>BORÅS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46314</v>
      </c>
      <c r="F181" t="inlineStr">
        <is>
          <t>VÄSTRA GÖTALANDS LÄN</t>
        </is>
      </c>
      <c r="G181" t="inlineStr">
        <is>
          <t>BORÅS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46314</v>
      </c>
      <c r="F182" t="inlineStr">
        <is>
          <t>VÄSTRA GÖTALANDS LÄN</t>
        </is>
      </c>
      <c r="G182" t="inlineStr">
        <is>
          <t>BORÅS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46314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46314</v>
      </c>
      <c r="F184" t="inlineStr">
        <is>
          <t>VÄSTRA GÖTALANDS LÄN</t>
        </is>
      </c>
      <c r="G184" t="inlineStr">
        <is>
          <t>BORÅS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46314</v>
      </c>
      <c r="F185" t="inlineStr">
        <is>
          <t>VÄSTRA GÖTALANDS LÄN</t>
        </is>
      </c>
      <c r="G185" t="inlineStr">
        <is>
          <t>BORÅS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46314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46314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45120</v>
      </c>
      <c r="E188" s="1" t="n">
        <v>46314</v>
      </c>
      <c r="F188" t="inlineStr">
        <is>
          <t>VÄSTRA GÖTALANDS LÄN</t>
        </is>
      </c>
      <c r="G188" t="inlineStr">
        <is>
          <t>BORÅS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46314</v>
      </c>
      <c r="F189" t="inlineStr">
        <is>
          <t>VÄSTRA GÖTALANDS LÄN</t>
        </is>
      </c>
      <c r="G189" t="inlineStr">
        <is>
          <t>BORÅS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32482-2023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45120</v>
      </c>
      <c r="E190" s="1" t="n">
        <v>46314</v>
      </c>
      <c r="F190" t="inlineStr">
        <is>
          <t>VÄSTRA GÖTALANDS LÄN</t>
        </is>
      </c>
      <c r="G190" t="inlineStr">
        <is>
          <t>BORÅS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46314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46314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Kyrkan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46314</v>
      </c>
      <c r="F193" t="inlineStr">
        <is>
          <t>VÄSTRA GÖTALANDS LÄN</t>
        </is>
      </c>
      <c r="G193" t="inlineStr">
        <is>
          <t>BORÅS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46314</v>
      </c>
      <c r="F194" t="inlineStr">
        <is>
          <t>VÄSTRA GÖTALANDS LÄN</t>
        </is>
      </c>
      <c r="G194" t="inlineStr">
        <is>
          <t>BORÅS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46314</v>
      </c>
      <c r="F195" t="inlineStr">
        <is>
          <t>VÄSTRA GÖTALANDS LÄN</t>
        </is>
      </c>
      <c r="G195" t="inlineStr">
        <is>
          <t>BORÅS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44888</v>
      </c>
      <c r="E196" s="1" t="n">
        <v>46314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Kyrkan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46314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46314</v>
      </c>
      <c r="F198" t="inlineStr">
        <is>
          <t>VÄSTRA GÖTALANDS LÄN</t>
        </is>
      </c>
      <c r="G198" t="inlineStr">
        <is>
          <t>BORÅS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46314</v>
      </c>
      <c r="F199" t="inlineStr">
        <is>
          <t>VÄSTRA GÖTALANDS LÄN</t>
        </is>
      </c>
      <c r="G199" t="inlineStr">
        <is>
          <t>BORÅS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44958</v>
      </c>
      <c r="E200" s="1" t="n">
        <v>46314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46314</v>
      </c>
      <c r="F201" t="inlineStr">
        <is>
          <t>VÄSTRA GÖTALANDS LÄN</t>
        </is>
      </c>
      <c r="G201" t="inlineStr">
        <is>
          <t>BORÅS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45350</v>
      </c>
      <c r="E202" s="1" t="n">
        <v>46314</v>
      </c>
      <c r="F202" t="inlineStr">
        <is>
          <t>VÄSTRA GÖTALANDS LÄN</t>
        </is>
      </c>
      <c r="G202" t="inlineStr">
        <is>
          <t>BORÅS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46314</v>
      </c>
      <c r="F203" t="inlineStr">
        <is>
          <t>VÄSTRA GÖTALANDS LÄN</t>
        </is>
      </c>
      <c r="G203" t="inlineStr">
        <is>
          <t>BORÅS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46314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46314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46314</v>
      </c>
      <c r="F206" t="inlineStr">
        <is>
          <t>VÄSTRA GÖTALANDS LÄN</t>
        </is>
      </c>
      <c r="G206" t="inlineStr">
        <is>
          <t>BORÅS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46314</v>
      </c>
      <c r="F207" t="inlineStr">
        <is>
          <t>VÄSTRA GÖTALANDS LÄN</t>
        </is>
      </c>
      <c r="G207" t="inlineStr">
        <is>
          <t>BORÅS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46314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45870</v>
      </c>
      <c r="E209" s="1" t="n">
        <v>46314</v>
      </c>
      <c r="F209" t="inlineStr">
        <is>
          <t>VÄSTRA GÖTALANDS LÄN</t>
        </is>
      </c>
      <c r="G209" t="inlineStr">
        <is>
          <t>BORÅS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46314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46314</v>
      </c>
      <c r="F211" t="inlineStr">
        <is>
          <t>VÄSTRA GÖTALANDS LÄN</t>
        </is>
      </c>
      <c r="G211" t="inlineStr">
        <is>
          <t>BORÅS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46314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21739-2026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46147</v>
      </c>
      <c r="E213" s="1" t="n">
        <v>46314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44844</v>
      </c>
      <c r="E214" s="1" t="n">
        <v>46314</v>
      </c>
      <c r="F214" t="inlineStr">
        <is>
          <t>VÄSTRA GÖTALANDS LÄN</t>
        </is>
      </c>
      <c r="G214" t="inlineStr">
        <is>
          <t>BORÅS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45688</v>
      </c>
      <c r="E215" s="1" t="n">
        <v>46314</v>
      </c>
      <c r="F215" t="inlineStr">
        <is>
          <t>VÄSTRA GÖTALANDS LÄN</t>
        </is>
      </c>
      <c r="G215" t="inlineStr">
        <is>
          <t>BORÅS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46314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46314</v>
      </c>
      <c r="F217" t="inlineStr">
        <is>
          <t>VÄSTRA GÖTALANDS LÄN</t>
        </is>
      </c>
      <c r="G217" t="inlineStr">
        <is>
          <t>BORÅS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46314</v>
      </c>
      <c r="F218" t="inlineStr">
        <is>
          <t>VÄSTRA GÖTALANDS LÄN</t>
        </is>
      </c>
      <c r="G218" t="inlineStr">
        <is>
          <t>BORÅS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45611</v>
      </c>
      <c r="E219" s="1" t="n">
        <v>46314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46314</v>
      </c>
      <c r="F220" t="inlineStr">
        <is>
          <t>VÄSTRA GÖTALANDS LÄN</t>
        </is>
      </c>
      <c r="G220" t="inlineStr">
        <is>
          <t>BORÅS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46314</v>
      </c>
      <c r="F221" t="inlineStr">
        <is>
          <t>VÄSTRA GÖTALANDS LÄN</t>
        </is>
      </c>
      <c r="G221" t="inlineStr">
        <is>
          <t>BORÅS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46314</v>
      </c>
      <c r="F222" t="inlineStr">
        <is>
          <t>VÄSTRA GÖTALANDS LÄN</t>
        </is>
      </c>
      <c r="G222" t="inlineStr">
        <is>
          <t>BORÅS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46314</v>
      </c>
      <c r="F223" t="inlineStr">
        <is>
          <t>VÄSTRA GÖTALANDS LÄN</t>
        </is>
      </c>
      <c r="G223" t="inlineStr">
        <is>
          <t>BORÅS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46314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46314</v>
      </c>
      <c r="F225" t="inlineStr">
        <is>
          <t>VÄSTRA GÖTALANDS LÄN</t>
        </is>
      </c>
      <c r="G225" t="inlineStr">
        <is>
          <t>BORÅS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46314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46314</v>
      </c>
      <c r="F227" t="inlineStr">
        <is>
          <t>VÄSTRA GÖTALANDS LÄN</t>
        </is>
      </c>
      <c r="G227" t="inlineStr">
        <is>
          <t>BORÅS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46314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46314</v>
      </c>
      <c r="F229" t="inlineStr">
        <is>
          <t>VÄSTRA GÖTALANDS LÄN</t>
        </is>
      </c>
      <c r="G229" t="inlineStr">
        <is>
          <t>BORÅS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44630</v>
      </c>
      <c r="E230" s="1" t="n">
        <v>46314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46314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45968</v>
      </c>
      <c r="E232" s="1" t="n">
        <v>46314</v>
      </c>
      <c r="F232" t="inlineStr">
        <is>
          <t>VÄSTRA GÖTALANDS LÄN</t>
        </is>
      </c>
      <c r="G232" t="inlineStr">
        <is>
          <t>BORÅS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46314</v>
      </c>
      <c r="F233" t="inlineStr">
        <is>
          <t>VÄSTRA GÖTALANDS LÄN</t>
        </is>
      </c>
      <c r="G233" t="inlineStr">
        <is>
          <t>BORÅS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46314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45197</v>
      </c>
      <c r="E235" s="1" t="n">
        <v>46314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13107-2022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44644</v>
      </c>
      <c r="E236" s="1" t="n">
        <v>46314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46314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20653-2026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46141</v>
      </c>
      <c r="E238" s="1" t="n">
        <v>46314</v>
      </c>
      <c r="F238" t="inlineStr">
        <is>
          <t>VÄSTRA GÖTALANDS LÄN</t>
        </is>
      </c>
      <c r="G238" t="inlineStr">
        <is>
          <t>BORÅS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46314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46314</v>
      </c>
      <c r="F240" t="inlineStr">
        <is>
          <t>VÄSTRA GÖTALANDS LÄN</t>
        </is>
      </c>
      <c r="G240" t="inlineStr">
        <is>
          <t>BORÅS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46314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46314</v>
      </c>
      <c r="F242" t="inlineStr">
        <is>
          <t>VÄSTRA GÖTALANDS LÄN</t>
        </is>
      </c>
      <c r="G242" t="inlineStr">
        <is>
          <t>BORÅS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46314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46314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46314</v>
      </c>
      <c r="F245" t="inlineStr">
        <is>
          <t>VÄSTRA GÖTALANDS LÄN</t>
        </is>
      </c>
      <c r="G245" t="inlineStr">
        <is>
          <t>BORÅS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46314</v>
      </c>
      <c r="F246" t="inlineStr">
        <is>
          <t>VÄSTRA GÖTALANDS LÄN</t>
        </is>
      </c>
      <c r="G246" t="inlineStr">
        <is>
          <t>BORÅS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46314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24183-2024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45456</v>
      </c>
      <c r="E248" s="1" t="n">
        <v>46314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46314</v>
      </c>
      <c r="F249" t="inlineStr">
        <is>
          <t>VÄSTRA GÖTALANDS LÄN</t>
        </is>
      </c>
      <c r="G249" t="inlineStr">
        <is>
          <t>BORÅS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46314</v>
      </c>
      <c r="F250" t="inlineStr">
        <is>
          <t>VÄSTRA GÖTALANDS LÄN</t>
        </is>
      </c>
      <c r="G250" t="inlineStr">
        <is>
          <t>BORÅS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46314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46314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46314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46314</v>
      </c>
      <c r="F254" t="inlineStr">
        <is>
          <t>VÄSTRA GÖTALANDS LÄN</t>
        </is>
      </c>
      <c r="G254" t="inlineStr">
        <is>
          <t>BORÅS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44571</v>
      </c>
      <c r="E255" s="1" t="n">
        <v>46314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46314</v>
      </c>
      <c r="F256" t="inlineStr">
        <is>
          <t>VÄSTRA GÖTALANDS LÄN</t>
        </is>
      </c>
      <c r="G256" t="inlineStr">
        <is>
          <t>BORÅS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46314</v>
      </c>
      <c r="F257" t="inlineStr">
        <is>
          <t>VÄSTRA GÖTALANDS LÄN</t>
        </is>
      </c>
      <c r="G257" t="inlineStr">
        <is>
          <t>BORÅS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46314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46314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46314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46314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46314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20279-2026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46136</v>
      </c>
      <c r="E263" s="1" t="n">
        <v>46314</v>
      </c>
      <c r="F263" t="inlineStr">
        <is>
          <t>VÄSTRA GÖTALANDS LÄN</t>
        </is>
      </c>
      <c r="G263" t="inlineStr">
        <is>
          <t>BORÅS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46314</v>
      </c>
      <c r="F264" t="inlineStr">
        <is>
          <t>VÄSTRA GÖTALANDS LÄN</t>
        </is>
      </c>
      <c r="G264" t="inlineStr">
        <is>
          <t>BORÅS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46314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46314</v>
      </c>
      <c r="F266" t="inlineStr">
        <is>
          <t>VÄSTRA GÖTALANDS LÄN</t>
        </is>
      </c>
      <c r="G266" t="inlineStr">
        <is>
          <t>BORÅS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46314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45935</v>
      </c>
      <c r="E268" s="1" t="n">
        <v>46314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46314</v>
      </c>
      <c r="F269" t="inlineStr">
        <is>
          <t>VÄSTRA GÖTALANDS LÄN</t>
        </is>
      </c>
      <c r="G269" t="inlineStr">
        <is>
          <t>BORÅS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45205</v>
      </c>
      <c r="E270" s="1" t="n">
        <v>46314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46314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46314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46314</v>
      </c>
      <c r="F273" t="inlineStr">
        <is>
          <t>VÄSTRA GÖTALANDS LÄN</t>
        </is>
      </c>
      <c r="G273" t="inlineStr">
        <is>
          <t>BORÅS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46314</v>
      </c>
      <c r="F274" t="inlineStr">
        <is>
          <t>VÄSTRA GÖTALANDS LÄN</t>
        </is>
      </c>
      <c r="G274" t="inlineStr">
        <is>
          <t>BORÅS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46314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46314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46314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46314</v>
      </c>
      <c r="F278" t="inlineStr">
        <is>
          <t>VÄSTRA GÖTALANDS LÄN</t>
        </is>
      </c>
      <c r="G278" t="inlineStr">
        <is>
          <t>BORÅS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46314</v>
      </c>
      <c r="F279" t="inlineStr">
        <is>
          <t>VÄSTRA GÖTALANDS LÄN</t>
        </is>
      </c>
      <c r="G279" t="inlineStr">
        <is>
          <t>BORÅS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46314</v>
      </c>
      <c r="F280" t="inlineStr">
        <is>
          <t>VÄSTRA GÖTALANDS LÄN</t>
        </is>
      </c>
      <c r="G280" t="inlineStr">
        <is>
          <t>BORÅS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46314</v>
      </c>
      <c r="F281" t="inlineStr">
        <is>
          <t>VÄSTRA GÖTALANDS LÄN</t>
        </is>
      </c>
      <c r="G281" t="inlineStr">
        <is>
          <t>BORÅS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46314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46314</v>
      </c>
      <c r="F283" t="inlineStr">
        <is>
          <t>VÄSTRA GÖTALANDS LÄN</t>
        </is>
      </c>
      <c r="G283" t="inlineStr">
        <is>
          <t>BORÅS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46314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46314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46314</v>
      </c>
      <c r="F286" t="inlineStr">
        <is>
          <t>VÄSTRA GÖTALANDS LÄN</t>
        </is>
      </c>
      <c r="G286" t="inlineStr">
        <is>
          <t>BORÅS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46314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45685</v>
      </c>
      <c r="E288" s="1" t="n">
        <v>46314</v>
      </c>
      <c r="F288" t="inlineStr">
        <is>
          <t>VÄSTRA GÖTALANDS LÄN</t>
        </is>
      </c>
      <c r="G288" t="inlineStr">
        <is>
          <t>BORÅS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46314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46314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46314</v>
      </c>
      <c r="F291" t="inlineStr">
        <is>
          <t>VÄSTRA GÖTALANDS LÄN</t>
        </is>
      </c>
      <c r="G291" t="inlineStr">
        <is>
          <t>BORÅS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46314</v>
      </c>
      <c r="F292" t="inlineStr">
        <is>
          <t>VÄSTRA GÖTALANDS LÄN</t>
        </is>
      </c>
      <c r="G292" t="inlineStr">
        <is>
          <t>BORÅS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46314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46314</v>
      </c>
      <c r="F294" t="inlineStr">
        <is>
          <t>VÄSTRA GÖTALANDS LÄN</t>
        </is>
      </c>
      <c r="G294" t="inlineStr">
        <is>
          <t>BORÅS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46314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46314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45053</v>
      </c>
      <c r="E297" s="1" t="n">
        <v>46314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46314</v>
      </c>
      <c r="F298" t="inlineStr">
        <is>
          <t>VÄSTRA GÖTALANDS LÄN</t>
        </is>
      </c>
      <c r="G298" t="inlineStr">
        <is>
          <t>BORÅS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46314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46314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46574-2022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44848</v>
      </c>
      <c r="E301" s="1" t="n">
        <v>46314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46314</v>
      </c>
      <c r="F302" t="inlineStr">
        <is>
          <t>VÄSTRA GÖTALANDS LÄN</t>
        </is>
      </c>
      <c r="G302" t="inlineStr">
        <is>
          <t>BORÅS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45337</v>
      </c>
      <c r="E303" s="1" t="n">
        <v>46314</v>
      </c>
      <c r="F303" t="inlineStr">
        <is>
          <t>VÄSTRA GÖTALANDS LÄN</t>
        </is>
      </c>
      <c r="G303" t="inlineStr">
        <is>
          <t>BORÅS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46314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46314</v>
      </c>
      <c r="F305" t="inlineStr">
        <is>
          <t>VÄSTRA GÖTALANDS LÄN</t>
        </is>
      </c>
      <c r="G305" t="inlineStr">
        <is>
          <t>BORÅS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46314</v>
      </c>
      <c r="F306" t="inlineStr">
        <is>
          <t>VÄSTRA GÖTALANDS LÄN</t>
        </is>
      </c>
      <c r="G306" t="inlineStr">
        <is>
          <t>BORÅS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56376-2025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45974</v>
      </c>
      <c r="E307" s="1" t="n">
        <v>46314</v>
      </c>
      <c r="F307" t="inlineStr">
        <is>
          <t>VÄSTRA GÖTALANDS LÄN</t>
        </is>
      </c>
      <c r="G307" t="inlineStr">
        <is>
          <t>BORÅS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44825</v>
      </c>
      <c r="E308" s="1" t="n">
        <v>46314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46314</v>
      </c>
      <c r="F309" t="inlineStr">
        <is>
          <t>VÄSTRA GÖTALANDS LÄN</t>
        </is>
      </c>
      <c r="G309" t="inlineStr">
        <is>
          <t>BORÅS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27334-2024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45472</v>
      </c>
      <c r="E310" s="1" t="n">
        <v>46314</v>
      </c>
      <c r="F310" t="inlineStr">
        <is>
          <t>VÄSTRA GÖTALANDS LÄN</t>
        </is>
      </c>
      <c r="G310" t="inlineStr">
        <is>
          <t>BORÅS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45412</v>
      </c>
      <c r="E311" s="1" t="n">
        <v>46314</v>
      </c>
      <c r="F311" t="inlineStr">
        <is>
          <t>VÄSTRA GÖTALANDS LÄN</t>
        </is>
      </c>
      <c r="G311" t="inlineStr">
        <is>
          <t>BORÅS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45357</v>
      </c>
      <c r="E312" s="1" t="n">
        <v>46314</v>
      </c>
      <c r="F312" t="inlineStr">
        <is>
          <t>VÄSTRA GÖTALANDS LÄN</t>
        </is>
      </c>
      <c r="G312" t="inlineStr">
        <is>
          <t>BORÅS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46314</v>
      </c>
      <c r="F313" t="inlineStr">
        <is>
          <t>VÄSTRA GÖTALANDS LÄN</t>
        </is>
      </c>
      <c r="G313" t="inlineStr">
        <is>
          <t>BORÅS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45982</v>
      </c>
      <c r="E314" s="1" t="n">
        <v>46314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Kommuner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46314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46314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45982</v>
      </c>
      <c r="E317" s="1" t="n">
        <v>46314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  <c r="X317">
        <f>HYPERLINK("https://klasma.github.io/Logging_1490/kartor/A 58304-2025 karta.png", "A 58304-2025")</f>
        <v/>
      </c>
      <c r="Y317">
        <f>HYPERLINK("https://klasma.github.io/Logging_1490/kartor_geotiff/A 58304-2025 georefererad karta.tif", "A 58304-2025")</f>
        <v/>
      </c>
      <c r="AA317">
        <f>HYPERLINK("https://klasma.github.io/Logging_1490/klagomål/A 58304-2025 FSC-klagomål.docx", "A 58304-2025")</f>
        <v/>
      </c>
      <c r="AB317">
        <f>HYPERLINK("https://klasma.github.io/Logging_1490/klagomålsmail/A 58304-2025 FSC-klagomål mail.docx", "A 58304-2025")</f>
        <v/>
      </c>
      <c r="AC317">
        <f>HYPERLINK("https://klasma.github.io/Logging_1490/tillsyn/A 58304-2025 tillsynsbegäran.docx", "A 58304-2025")</f>
        <v/>
      </c>
      <c r="AD317">
        <f>HYPERLINK("https://klasma.github.io/Logging_1490/tillsynsmail/A 58304-2025 tillsynsbegäran mail.docx", "A 58304-2025")</f>
        <v/>
      </c>
    </row>
    <row r="318" ht="15" customHeight="1">
      <c r="A318" t="inlineStr">
        <is>
          <t>A 38424-2024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46314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46314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46314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Kyrkan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45224</v>
      </c>
      <c r="E321" s="1" t="n">
        <v>46314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46314</v>
      </c>
      <c r="F322" t="inlineStr">
        <is>
          <t>VÄSTRA GÖTALANDS LÄN</t>
        </is>
      </c>
      <c r="G322" t="inlineStr">
        <is>
          <t>BORÅS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46314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Kommuner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46314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46314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46314</v>
      </c>
      <c r="F326" t="inlineStr">
        <is>
          <t>VÄSTRA GÖTALANDS LÄN</t>
        </is>
      </c>
      <c r="G326" t="inlineStr">
        <is>
          <t>BORÅS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46314</v>
      </c>
      <c r="F327" t="inlineStr">
        <is>
          <t>VÄSTRA GÖTALANDS LÄN</t>
        </is>
      </c>
      <c r="G327" t="inlineStr">
        <is>
          <t>BORÅS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46314</v>
      </c>
      <c r="F328" t="inlineStr">
        <is>
          <t>VÄSTRA GÖTALANDS LÄN</t>
        </is>
      </c>
      <c r="G328" t="inlineStr">
        <is>
          <t>BORÅS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46314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46314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46314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46314</v>
      </c>
      <c r="F332" t="inlineStr">
        <is>
          <t>VÄSTRA GÖTALANDS LÄN</t>
        </is>
      </c>
      <c r="G332" t="inlineStr">
        <is>
          <t>BORÅS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46314</v>
      </c>
      <c r="F333" t="inlineStr">
        <is>
          <t>VÄSTRA GÖTALANDS LÄN</t>
        </is>
      </c>
      <c r="G333" t="inlineStr">
        <is>
          <t>BORÅS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46314</v>
      </c>
      <c r="F334" t="inlineStr">
        <is>
          <t>VÄSTRA GÖTALANDS LÄN</t>
        </is>
      </c>
      <c r="G334" t="inlineStr">
        <is>
          <t>BORÅS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45308</v>
      </c>
      <c r="E335" s="1" t="n">
        <v>46314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46314</v>
      </c>
      <c r="F336" t="inlineStr">
        <is>
          <t>VÄSTRA GÖTALANDS LÄN</t>
        </is>
      </c>
      <c r="G336" t="inlineStr">
        <is>
          <t>BORÅS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46314</v>
      </c>
      <c r="F337" t="inlineStr">
        <is>
          <t>VÄSTRA GÖTALANDS LÄN</t>
        </is>
      </c>
      <c r="G337" t="inlineStr">
        <is>
          <t>BORÅS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46314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46008</v>
      </c>
      <c r="E339" s="1" t="n">
        <v>46314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46314</v>
      </c>
      <c r="F340" t="inlineStr">
        <is>
          <t>VÄSTRA GÖTALANDS LÄN</t>
        </is>
      </c>
      <c r="G340" t="inlineStr">
        <is>
          <t>BORÅS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46008</v>
      </c>
      <c r="E341" s="1" t="n">
        <v>46314</v>
      </c>
      <c r="F341" t="inlineStr">
        <is>
          <t>VÄSTRA GÖTALANDS LÄN</t>
        </is>
      </c>
      <c r="G341" t="inlineStr">
        <is>
          <t>BORÅS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46314</v>
      </c>
      <c r="F342" t="inlineStr">
        <is>
          <t>VÄSTRA GÖTALANDS LÄN</t>
        </is>
      </c>
      <c r="G342" t="inlineStr">
        <is>
          <t>BORÅS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46314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46314</v>
      </c>
      <c r="F344" t="inlineStr">
        <is>
          <t>VÄSTRA GÖTALANDS LÄN</t>
        </is>
      </c>
      <c r="G344" t="inlineStr">
        <is>
          <t>BORÅS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46314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46314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45688</v>
      </c>
      <c r="E347" s="1" t="n">
        <v>46314</v>
      </c>
      <c r="F347" t="inlineStr">
        <is>
          <t>VÄSTRA GÖTALANDS LÄN</t>
        </is>
      </c>
      <c r="G347" t="inlineStr">
        <is>
          <t>BORÅS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44782-2025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45917</v>
      </c>
      <c r="E348" s="1" t="n">
        <v>46314</v>
      </c>
      <c r="F348" t="inlineStr">
        <is>
          <t>VÄSTRA GÖTALANDS LÄN</t>
        </is>
      </c>
      <c r="G348" t="inlineStr">
        <is>
          <t>BORÅS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46314</v>
      </c>
      <c r="F349" t="inlineStr">
        <is>
          <t>VÄSTRA GÖTALANDS LÄN</t>
        </is>
      </c>
      <c r="G349" t="inlineStr">
        <is>
          <t>BORÅS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46314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34195-2025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45845</v>
      </c>
      <c r="E351" s="1" t="n">
        <v>46314</v>
      </c>
      <c r="F351" t="inlineStr">
        <is>
          <t>VÄSTRA GÖTALANDS LÄN</t>
        </is>
      </c>
      <c r="G351" t="inlineStr">
        <is>
          <t>BORÅS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46314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46314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46314</v>
      </c>
      <c r="F354" t="inlineStr">
        <is>
          <t>VÄSTRA GÖTALANDS LÄN</t>
        </is>
      </c>
      <c r="G354" t="inlineStr">
        <is>
          <t>BORÅS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46314</v>
      </c>
      <c r="F355" t="inlineStr">
        <is>
          <t>VÄSTRA GÖTALANDS LÄN</t>
        </is>
      </c>
      <c r="G355" t="inlineStr">
        <is>
          <t>BORÅS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46314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46314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46314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46314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25238-2026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46175</v>
      </c>
      <c r="E360" s="1" t="n">
        <v>46314</v>
      </c>
      <c r="F360" t="inlineStr">
        <is>
          <t>VÄSTRA GÖTALANDS LÄN</t>
        </is>
      </c>
      <c r="G360" t="inlineStr">
        <is>
          <t>BORÅS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46314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46314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46314</v>
      </c>
      <c r="F363" t="inlineStr">
        <is>
          <t>VÄSTRA GÖTALANDS LÄN</t>
        </is>
      </c>
      <c r="G363" t="inlineStr">
        <is>
          <t>BORÅS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46314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46314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46314</v>
      </c>
      <c r="F366" t="inlineStr">
        <is>
          <t>VÄSTRA GÖTALANDS LÄN</t>
        </is>
      </c>
      <c r="G366" t="inlineStr">
        <is>
          <t>BORÅS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46314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44704</v>
      </c>
      <c r="E368" s="1" t="n">
        <v>46314</v>
      </c>
      <c r="F368" t="inlineStr">
        <is>
          <t>VÄSTRA GÖTALANDS LÄN</t>
        </is>
      </c>
      <c r="G368" t="inlineStr">
        <is>
          <t>BORÅS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46314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44897</v>
      </c>
      <c r="E370" s="1" t="n">
        <v>46314</v>
      </c>
      <c r="F370" t="inlineStr">
        <is>
          <t>VÄSTRA GÖTALANDS LÄN</t>
        </is>
      </c>
      <c r="G370" t="inlineStr">
        <is>
          <t>BORÅS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14309-2022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44652</v>
      </c>
      <c r="E371" s="1" t="n">
        <v>46314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46314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46314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46314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46314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46314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Kyrkan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46314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46314</v>
      </c>
      <c r="F378" t="inlineStr">
        <is>
          <t>VÄSTRA GÖTALANDS LÄN</t>
        </is>
      </c>
      <c r="G378" t="inlineStr">
        <is>
          <t>BORÅS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45050</v>
      </c>
      <c r="E379" s="1" t="n">
        <v>46314</v>
      </c>
      <c r="F379" t="inlineStr">
        <is>
          <t>VÄSTRA GÖTALANDS LÄN</t>
        </is>
      </c>
      <c r="G379" t="inlineStr">
        <is>
          <t>BORÅS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46314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46314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44155-2022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46314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46314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45120</v>
      </c>
      <c r="E384" s="1" t="n">
        <v>46314</v>
      </c>
      <c r="F384" t="inlineStr">
        <is>
          <t>VÄSTRA GÖTALANDS LÄN</t>
        </is>
      </c>
      <c r="G384" t="inlineStr">
        <is>
          <t>BORÅS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44959</v>
      </c>
      <c r="E385" s="1" t="n">
        <v>46314</v>
      </c>
      <c r="F385" t="inlineStr">
        <is>
          <t>VÄSTRA GÖTALANDS LÄN</t>
        </is>
      </c>
      <c r="G385" t="inlineStr">
        <is>
          <t>BORÅS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46314</v>
      </c>
      <c r="F386" t="inlineStr">
        <is>
          <t>VÄSTRA GÖTALANDS LÄN</t>
        </is>
      </c>
      <c r="G386" t="inlineStr">
        <is>
          <t>BORÅS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44964</v>
      </c>
      <c r="E387" s="1" t="n">
        <v>46314</v>
      </c>
      <c r="F387" t="inlineStr">
        <is>
          <t>VÄSTRA GÖTALANDS LÄN</t>
        </is>
      </c>
      <c r="G387" t="inlineStr">
        <is>
          <t>BORÅS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46314</v>
      </c>
      <c r="F388" t="inlineStr">
        <is>
          <t>VÄSTRA GÖTALANDS LÄN</t>
        </is>
      </c>
      <c r="G388" t="inlineStr">
        <is>
          <t>BORÅS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44639</v>
      </c>
      <c r="E389" s="1" t="n">
        <v>46314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46314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46314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46314</v>
      </c>
      <c r="F392" t="inlineStr">
        <is>
          <t>VÄSTRA GÖTALANDS LÄN</t>
        </is>
      </c>
      <c r="G392" t="inlineStr">
        <is>
          <t>BORÅS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46314</v>
      </c>
      <c r="F393" t="inlineStr">
        <is>
          <t>VÄSTRA GÖTALANDS LÄN</t>
        </is>
      </c>
      <c r="G393" t="inlineStr">
        <is>
          <t>BORÅS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46314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46314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46314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46314</v>
      </c>
      <c r="F397" t="inlineStr">
        <is>
          <t>VÄSTRA GÖTALANDS LÄN</t>
        </is>
      </c>
      <c r="G397" t="inlineStr">
        <is>
          <t>BORÅS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46314</v>
      </c>
      <c r="F398" t="inlineStr">
        <is>
          <t>VÄSTRA GÖTALANDS LÄN</t>
        </is>
      </c>
      <c r="G398" t="inlineStr">
        <is>
          <t>BORÅS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46314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45015</v>
      </c>
      <c r="E400" s="1" t="n">
        <v>46314</v>
      </c>
      <c r="F400" t="inlineStr">
        <is>
          <t>VÄSTRA GÖTALANDS LÄN</t>
        </is>
      </c>
      <c r="G400" t="inlineStr">
        <is>
          <t>BORÅS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72566-2021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44546</v>
      </c>
      <c r="E401" s="1" t="n">
        <v>46314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46314</v>
      </c>
      <c r="F402" t="inlineStr">
        <is>
          <t>VÄSTRA GÖTALANDS LÄN</t>
        </is>
      </c>
      <c r="G402" t="inlineStr">
        <is>
          <t>BORÅS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46314</v>
      </c>
      <c r="F403" t="inlineStr">
        <is>
          <t>VÄSTRA GÖTALANDS LÄN</t>
        </is>
      </c>
      <c r="G403" t="inlineStr">
        <is>
          <t>BORÅS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12635-2026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46091</v>
      </c>
      <c r="E404" s="1" t="n">
        <v>46314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45044</v>
      </c>
      <c r="E405" s="1" t="n">
        <v>46314</v>
      </c>
      <c r="F405" t="inlineStr">
        <is>
          <t>VÄSTRA GÖTALANDS LÄN</t>
        </is>
      </c>
      <c r="G405" t="inlineStr">
        <is>
          <t>BORÅS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46314</v>
      </c>
      <c r="F406" t="inlineStr">
        <is>
          <t>VÄSTRA GÖTALANDS LÄN</t>
        </is>
      </c>
      <c r="G406" t="inlineStr">
        <is>
          <t>BORÅS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46314</v>
      </c>
      <c r="F407" t="inlineStr">
        <is>
          <t>VÄSTRA GÖTALANDS LÄN</t>
        </is>
      </c>
      <c r="G407" t="inlineStr">
        <is>
          <t>BORÅS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46314</v>
      </c>
      <c r="F408" t="inlineStr">
        <is>
          <t>VÄSTRA GÖTALANDS LÄN</t>
        </is>
      </c>
      <c r="G408" t="inlineStr">
        <is>
          <t>BORÅS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50382-2022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44866</v>
      </c>
      <c r="E409" s="1" t="n">
        <v>46314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46314</v>
      </c>
      <c r="F410" t="inlineStr">
        <is>
          <t>VÄSTRA GÖTALANDS LÄN</t>
        </is>
      </c>
      <c r="G410" t="inlineStr">
        <is>
          <t>BORÅS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46314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46314</v>
      </c>
      <c r="F412" t="inlineStr">
        <is>
          <t>VÄSTRA GÖTALANDS LÄN</t>
        </is>
      </c>
      <c r="G412" t="inlineStr">
        <is>
          <t>BORÅS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44886</v>
      </c>
      <c r="E413" s="1" t="n">
        <v>46314</v>
      </c>
      <c r="F413" t="inlineStr">
        <is>
          <t>VÄSTRA GÖTALANDS LÄN</t>
        </is>
      </c>
      <c r="G413" t="inlineStr">
        <is>
          <t>BORÅS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54878-2022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44886</v>
      </c>
      <c r="E414" s="1" t="n">
        <v>46314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47616-2022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44854</v>
      </c>
      <c r="E415" s="1" t="n">
        <v>46314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44506-2023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45189</v>
      </c>
      <c r="E416" s="1" t="n">
        <v>46314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46314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46314</v>
      </c>
      <c r="F418" t="inlineStr">
        <is>
          <t>VÄSTRA GÖTALANDS LÄN</t>
        </is>
      </c>
      <c r="G418" t="inlineStr">
        <is>
          <t>BORÅS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48504-2024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46314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15193-2026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46105</v>
      </c>
      <c r="E420" s="1" t="n">
        <v>46314</v>
      </c>
      <c r="F420" t="inlineStr">
        <is>
          <t>VÄSTRA GÖTALANDS LÄN</t>
        </is>
      </c>
      <c r="G420" t="inlineStr">
        <is>
          <t>BORÅS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46314</v>
      </c>
      <c r="F421" t="inlineStr">
        <is>
          <t>VÄSTRA GÖTALANDS LÄN</t>
        </is>
      </c>
      <c r="G421" t="inlineStr">
        <is>
          <t>BORÅS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38970-2024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45548</v>
      </c>
      <c r="E422" s="1" t="n">
        <v>46314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46314</v>
      </c>
      <c r="F423" t="inlineStr">
        <is>
          <t>VÄSTRA GÖTALANDS LÄN</t>
        </is>
      </c>
      <c r="G423" t="inlineStr">
        <is>
          <t>BORÅS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46314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46314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45483</v>
      </c>
      <c r="E426" s="1" t="n">
        <v>46314</v>
      </c>
      <c r="F426" t="inlineStr">
        <is>
          <t>VÄSTRA GÖTALANDS LÄN</t>
        </is>
      </c>
      <c r="G426" t="inlineStr">
        <is>
          <t>BORÅS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45483</v>
      </c>
      <c r="E427" s="1" t="n">
        <v>46314</v>
      </c>
      <c r="F427" t="inlineStr">
        <is>
          <t>VÄSTRA GÖTALANDS LÄN</t>
        </is>
      </c>
      <c r="G427" t="inlineStr">
        <is>
          <t>BORÅS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46314</v>
      </c>
      <c r="F428" t="inlineStr">
        <is>
          <t>VÄSTRA GÖTALANDS LÄN</t>
        </is>
      </c>
      <c r="G428" t="inlineStr">
        <is>
          <t>BORÅS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45756</v>
      </c>
      <c r="E429" s="1" t="n">
        <v>46314</v>
      </c>
      <c r="F429" t="inlineStr">
        <is>
          <t>VÄSTRA GÖTALANDS LÄN</t>
        </is>
      </c>
      <c r="G429" t="inlineStr">
        <is>
          <t>BORÅS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46314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17234-2026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46119</v>
      </c>
      <c r="E431" s="1" t="n">
        <v>46314</v>
      </c>
      <c r="F431" t="inlineStr">
        <is>
          <t>VÄSTRA GÖTALANDS LÄN</t>
        </is>
      </c>
      <c r="G431" t="inlineStr">
        <is>
          <t>BORÅS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46314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46314</v>
      </c>
      <c r="F433" t="inlineStr">
        <is>
          <t>VÄSTRA GÖTALANDS LÄN</t>
        </is>
      </c>
      <c r="G433" t="inlineStr">
        <is>
          <t>BORÅS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46314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46314</v>
      </c>
      <c r="F435" t="inlineStr">
        <is>
          <t>VÄSTRA GÖTALANDS LÄN</t>
        </is>
      </c>
      <c r="G435" t="inlineStr">
        <is>
          <t>BORÅS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46314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50605-2022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44866</v>
      </c>
      <c r="E437" s="1" t="n">
        <v>46314</v>
      </c>
      <c r="F437" t="inlineStr">
        <is>
          <t>VÄSTRA GÖTALANDS LÄN</t>
        </is>
      </c>
      <c r="G437" t="inlineStr">
        <is>
          <t>BORÅS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46314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Kyrkan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46314</v>
      </c>
      <c r="F439" t="inlineStr">
        <is>
          <t>VÄSTRA GÖTALANDS LÄN</t>
        </is>
      </c>
      <c r="G439" t="inlineStr">
        <is>
          <t>BORÅS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46314</v>
      </c>
      <c r="F440" t="inlineStr">
        <is>
          <t>VÄSTRA GÖTALANDS LÄN</t>
        </is>
      </c>
      <c r="G440" t="inlineStr">
        <is>
          <t>BORÅS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46314</v>
      </c>
      <c r="F441" t="inlineStr">
        <is>
          <t>VÄSTRA GÖTALANDS LÄN</t>
        </is>
      </c>
      <c r="G441" t="inlineStr">
        <is>
          <t>BORÅS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46314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46314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46314</v>
      </c>
      <c r="F444" t="inlineStr">
        <is>
          <t>VÄSTRA GÖTALANDS LÄN</t>
        </is>
      </c>
      <c r="G444" t="inlineStr">
        <is>
          <t>BORÅS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46314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46314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46314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46382-2023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46314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45186</v>
      </c>
      <c r="E449" s="1" t="n">
        <v>46314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70988-2021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46314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46314</v>
      </c>
      <c r="F451" t="inlineStr">
        <is>
          <t>VÄSTRA GÖTALANDS LÄN</t>
        </is>
      </c>
      <c r="G451" t="inlineStr">
        <is>
          <t>BORÅS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45798</v>
      </c>
      <c r="E452" s="1" t="n">
        <v>46314</v>
      </c>
      <c r="F452" t="inlineStr">
        <is>
          <t>VÄSTRA GÖTALANDS LÄN</t>
        </is>
      </c>
      <c r="G452" t="inlineStr">
        <is>
          <t>BORÅS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45863</v>
      </c>
      <c r="E453" s="1" t="n">
        <v>46314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45477</v>
      </c>
      <c r="E454" s="1" t="n">
        <v>46314</v>
      </c>
      <c r="F454" t="inlineStr">
        <is>
          <t>VÄSTRA GÖTALANDS LÄN</t>
        </is>
      </c>
      <c r="G454" t="inlineStr">
        <is>
          <t>BORÅS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46314</v>
      </c>
      <c r="F455" t="inlineStr">
        <is>
          <t>VÄSTRA GÖTALANDS LÄN</t>
        </is>
      </c>
      <c r="G455" t="inlineStr">
        <is>
          <t>BORÅS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46314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46314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46314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44875</v>
      </c>
      <c r="E459" s="1" t="n">
        <v>46314</v>
      </c>
      <c r="F459" t="inlineStr">
        <is>
          <t>VÄSTRA GÖTALANDS LÄN</t>
        </is>
      </c>
      <c r="G459" t="inlineStr">
        <is>
          <t>BORÅS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46314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46314</v>
      </c>
      <c r="F461" t="inlineStr">
        <is>
          <t>VÄSTRA GÖTALANDS LÄN</t>
        </is>
      </c>
      <c r="G461" t="inlineStr">
        <is>
          <t>BORÅS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46314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46314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46216</v>
      </c>
      <c r="E464" s="1" t="n">
        <v>46314</v>
      </c>
      <c r="F464" t="inlineStr">
        <is>
          <t>VÄSTRA GÖTALANDS LÄN</t>
        </is>
      </c>
      <c r="G464" t="inlineStr">
        <is>
          <t>BORÅS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45120</v>
      </c>
      <c r="E465" s="1" t="n">
        <v>46314</v>
      </c>
      <c r="F465" t="inlineStr">
        <is>
          <t>VÄSTRA GÖTALANDS LÄN</t>
        </is>
      </c>
      <c r="G465" t="inlineStr">
        <is>
          <t>BORÅS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46217</v>
      </c>
      <c r="E466" s="1" t="n">
        <v>46314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46314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46224</v>
      </c>
      <c r="E468" s="1" t="n">
        <v>46314</v>
      </c>
      <c r="F468" t="inlineStr">
        <is>
          <t>VÄSTRA GÖTALANDS LÄN</t>
        </is>
      </c>
      <c r="G468" t="inlineStr">
        <is>
          <t>BORÅS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65200-2023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45289</v>
      </c>
      <c r="E469" s="1" t="n">
        <v>46314</v>
      </c>
      <c r="F469" t="inlineStr">
        <is>
          <t>VÄSTRA GÖTALANDS LÄN</t>
        </is>
      </c>
      <c r="G469" t="inlineStr">
        <is>
          <t>BORÅS</t>
        </is>
      </c>
      <c r="I469" t="n">
        <v>12.5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46314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46314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46314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46314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46314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44564</v>
      </c>
      <c r="E475" s="1" t="n">
        <v>46314</v>
      </c>
      <c r="F475" t="inlineStr">
        <is>
          <t>VÄSTRA GÖTALANDS LÄN</t>
        </is>
      </c>
      <c r="G475" t="inlineStr">
        <is>
          <t>BORÅS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21331-2023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45062</v>
      </c>
      <c r="E476" s="1" t="n">
        <v>46314</v>
      </c>
      <c r="F476" t="inlineStr">
        <is>
          <t>VÄSTRA GÖTALANDS LÄN</t>
        </is>
      </c>
      <c r="G476" t="inlineStr">
        <is>
          <t>BORÅS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46314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45611</v>
      </c>
      <c r="E478" s="1" t="n">
        <v>46314</v>
      </c>
      <c r="F478" t="inlineStr">
        <is>
          <t>VÄSTRA GÖTALANDS LÄN</t>
        </is>
      </c>
      <c r="G478" t="inlineStr">
        <is>
          <t>BORÅS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46280</v>
      </c>
      <c r="E479" s="1" t="n">
        <v>46314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Kommuner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46314</v>
      </c>
      <c r="F480" t="inlineStr">
        <is>
          <t>VÄSTRA GÖTALANDS LÄN</t>
        </is>
      </c>
      <c r="G480" t="inlineStr">
        <is>
          <t>BORÅS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46314</v>
      </c>
      <c r="F481" t="inlineStr">
        <is>
          <t>VÄSTRA GÖTALANDS LÄN</t>
        </is>
      </c>
      <c r="G481" t="inlineStr">
        <is>
          <t>BORÅS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45364</v>
      </c>
      <c r="E482" s="1" t="n">
        <v>46314</v>
      </c>
      <c r="F482" t="inlineStr">
        <is>
          <t>VÄSTRA GÖTALANDS LÄN</t>
        </is>
      </c>
      <c r="G482" t="inlineStr">
        <is>
          <t>BORÅS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46314</v>
      </c>
      <c r="F483" t="inlineStr">
        <is>
          <t>VÄSTRA GÖTALANDS LÄN</t>
        </is>
      </c>
      <c r="G483" t="inlineStr">
        <is>
          <t>BORÅS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45895</v>
      </c>
      <c r="E484" s="1" t="n">
        <v>46314</v>
      </c>
      <c r="F484" t="inlineStr">
        <is>
          <t>VÄSTRA GÖTALANDS LÄN</t>
        </is>
      </c>
      <c r="G484" t="inlineStr">
        <is>
          <t>BORÅS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46314</v>
      </c>
      <c r="F485" t="inlineStr">
        <is>
          <t>VÄSTRA GÖTALANDS LÄN</t>
        </is>
      </c>
      <c r="G485" t="inlineStr">
        <is>
          <t>BORÅS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44577</v>
      </c>
      <c r="E486" s="1" t="n">
        <v>46314</v>
      </c>
      <c r="F486" t="inlineStr">
        <is>
          <t>VÄSTRA GÖTALANDS LÄN</t>
        </is>
      </c>
      <c r="G486" t="inlineStr">
        <is>
          <t>BORÅS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46314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27335-2024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45472</v>
      </c>
      <c r="E488" s="1" t="n">
        <v>46314</v>
      </c>
      <c r="F488" t="inlineStr">
        <is>
          <t>VÄSTRA GÖTALANDS LÄN</t>
        </is>
      </c>
      <c r="G488" t="inlineStr">
        <is>
          <t>BORÅS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46314</v>
      </c>
      <c r="F489" t="inlineStr">
        <is>
          <t>VÄSTRA GÖTALANDS LÄN</t>
        </is>
      </c>
      <c r="G489" t="inlineStr">
        <is>
          <t>BORÅS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45636</v>
      </c>
      <c r="E490" s="1" t="n">
        <v>46314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46314</v>
      </c>
      <c r="F491" t="inlineStr">
        <is>
          <t>VÄSTRA GÖTALANDS LÄN</t>
        </is>
      </c>
      <c r="G491" t="inlineStr">
        <is>
          <t>BORÅS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46314</v>
      </c>
      <c r="F492" t="inlineStr">
        <is>
          <t>VÄSTRA GÖTALANDS LÄN</t>
        </is>
      </c>
      <c r="G492" t="inlineStr">
        <is>
          <t>BORÅS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45119</v>
      </c>
      <c r="E493" s="1" t="n">
        <v>46314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62532-2022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46314</v>
      </c>
      <c r="F494" t="inlineStr">
        <is>
          <t>VÄSTRA GÖTALANDS LÄN</t>
        </is>
      </c>
      <c r="G494" t="inlineStr">
        <is>
          <t>BORÅS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45120</v>
      </c>
      <c r="E495" s="1" t="n">
        <v>46314</v>
      </c>
      <c r="F495" t="inlineStr">
        <is>
          <t>VÄSTRA GÖTALANDS LÄN</t>
        </is>
      </c>
      <c r="G495" t="inlineStr">
        <is>
          <t>BORÅS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45120</v>
      </c>
      <c r="E496" s="1" t="n">
        <v>46314</v>
      </c>
      <c r="F496" t="inlineStr">
        <is>
          <t>VÄSTRA GÖTALANDS LÄN</t>
        </is>
      </c>
      <c r="G496" t="inlineStr">
        <is>
          <t>BORÅS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46314</v>
      </c>
      <c r="F497" t="inlineStr">
        <is>
          <t>VÄSTRA GÖTALANDS LÄN</t>
        </is>
      </c>
      <c r="G497" t="inlineStr">
        <is>
          <t>BORÅS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44837</v>
      </c>
      <c r="E498" s="1" t="n">
        <v>46314</v>
      </c>
      <c r="F498" t="inlineStr">
        <is>
          <t>VÄSTRA GÖTALANDS LÄN</t>
        </is>
      </c>
      <c r="G498" t="inlineStr">
        <is>
          <t>BORÅS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45048</v>
      </c>
      <c r="E499" s="1" t="n">
        <v>46314</v>
      </c>
      <c r="F499" t="inlineStr">
        <is>
          <t>VÄSTRA GÖTALANDS LÄN</t>
        </is>
      </c>
      <c r="G499" t="inlineStr">
        <is>
          <t>BORÅS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46314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46314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46314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46314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28171-2022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44746</v>
      </c>
      <c r="E504" s="1" t="n">
        <v>46314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46314</v>
      </c>
      <c r="F505" t="inlineStr">
        <is>
          <t>VÄSTRA GÖTALANDS LÄN</t>
        </is>
      </c>
      <c r="G505" t="inlineStr">
        <is>
          <t>BORÅS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39524-2026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46314</v>
      </c>
      <c r="F506" t="inlineStr">
        <is>
          <t>VÄSTRA GÖTALANDS LÄN</t>
        </is>
      </c>
      <c r="G506" t="inlineStr">
        <is>
          <t>BORÅS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45516</v>
      </c>
      <c r="E507" s="1" t="n">
        <v>46314</v>
      </c>
      <c r="F507" t="inlineStr">
        <is>
          <t>VÄSTRA GÖTALANDS LÄN</t>
        </is>
      </c>
      <c r="G507" t="inlineStr">
        <is>
          <t>BORÅS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50282-2023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46314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46314</v>
      </c>
      <c r="F509" t="inlineStr">
        <is>
          <t>VÄSTRA GÖTALANDS LÄN</t>
        </is>
      </c>
      <c r="G509" t="inlineStr">
        <is>
          <t>BORÅS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45273</v>
      </c>
      <c r="E510" s="1" t="n">
        <v>46314</v>
      </c>
      <c r="F510" t="inlineStr">
        <is>
          <t>VÄSTRA GÖTALANDS LÄN</t>
        </is>
      </c>
      <c r="G510" t="inlineStr">
        <is>
          <t>BORÅS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46314</v>
      </c>
      <c r="F511" t="inlineStr">
        <is>
          <t>VÄSTRA GÖTALANDS LÄN</t>
        </is>
      </c>
      <c r="G511" t="inlineStr">
        <is>
          <t>BORÅS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46314</v>
      </c>
      <c r="F512" t="inlineStr">
        <is>
          <t>VÄSTRA GÖTALANDS LÄN</t>
        </is>
      </c>
      <c r="G512" t="inlineStr">
        <is>
          <t>BORÅS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45421</v>
      </c>
      <c r="E513" s="1" t="n">
        <v>46314</v>
      </c>
      <c r="F513" t="inlineStr">
        <is>
          <t>VÄSTRA GÖTALANDS LÄN</t>
        </is>
      </c>
      <c r="G513" t="inlineStr">
        <is>
          <t>BORÅS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46314</v>
      </c>
      <c r="F514" t="inlineStr">
        <is>
          <t>VÄSTRA GÖTALANDS LÄN</t>
        </is>
      </c>
      <c r="G514" t="inlineStr">
        <is>
          <t>BORÅS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46314</v>
      </c>
      <c r="F515" t="inlineStr">
        <is>
          <t>VÄSTRA GÖTALANDS LÄN</t>
        </is>
      </c>
      <c r="G515" t="inlineStr">
        <is>
          <t>BORÅS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46314</v>
      </c>
      <c r="F516" t="inlineStr">
        <is>
          <t>VÄSTRA GÖTALANDS LÄN</t>
        </is>
      </c>
      <c r="G516" t="inlineStr">
        <is>
          <t>BORÅS</t>
        </is>
      </c>
      <c r="I516" t="n">
        <v>11.7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46314</v>
      </c>
      <c r="F517" t="inlineStr">
        <is>
          <t>VÄSTRA GÖTALANDS LÄN</t>
        </is>
      </c>
      <c r="G517" t="inlineStr">
        <is>
          <t>BORÅS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44748</v>
      </c>
      <c r="E518" s="1" t="n">
        <v>46314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46314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46314</v>
      </c>
      <c r="F520" t="inlineStr">
        <is>
          <t>VÄSTRA GÖTALANDS LÄN</t>
        </is>
      </c>
      <c r="G520" t="inlineStr">
        <is>
          <t>BORÅS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46314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46314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44914</v>
      </c>
      <c r="E523" s="1" t="n">
        <v>46314</v>
      </c>
      <c r="F523" t="inlineStr">
        <is>
          <t>VÄSTRA GÖTALANDS LÄN</t>
        </is>
      </c>
      <c r="G523" t="inlineStr">
        <is>
          <t>BORÅS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46314</v>
      </c>
      <c r="F524" t="inlineStr">
        <is>
          <t>VÄSTRA GÖTALANDS LÄN</t>
        </is>
      </c>
      <c r="G524" t="inlineStr">
        <is>
          <t>BORÅS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46314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46314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46314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46295</v>
      </c>
      <c r="E528" s="1" t="n">
        <v>46314</v>
      </c>
      <c r="F528" t="inlineStr">
        <is>
          <t>VÄSTRA GÖTALANDS LÄN</t>
        </is>
      </c>
      <c r="G528" t="inlineStr">
        <is>
          <t>BORÅS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46314</v>
      </c>
      <c r="F529" t="inlineStr">
        <is>
          <t>VÄSTRA GÖTALANDS LÄN</t>
        </is>
      </c>
      <c r="G529" t="inlineStr">
        <is>
          <t>BORÅS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45741</v>
      </c>
      <c r="E530" s="1" t="n">
        <v>46314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48508-2024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45593</v>
      </c>
      <c r="E531" s="1" t="n">
        <v>46314</v>
      </c>
      <c r="F531" t="inlineStr">
        <is>
          <t>VÄSTRA GÖTALANDS LÄN</t>
        </is>
      </c>
      <c r="G531" t="inlineStr">
        <is>
          <t>BORÅS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46314</v>
      </c>
      <c r="F532" t="inlineStr">
        <is>
          <t>VÄSTRA GÖTALANDS LÄN</t>
        </is>
      </c>
      <c r="G532" t="inlineStr">
        <is>
          <t>BORÅS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46314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46314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45294</v>
      </c>
      <c r="E535" s="1" t="n">
        <v>46314</v>
      </c>
      <c r="F535" t="inlineStr">
        <is>
          <t>VÄSTRA GÖTALANDS LÄN</t>
        </is>
      </c>
      <c r="G535" t="inlineStr">
        <is>
          <t>BORÅS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46314</v>
      </c>
      <c r="F536" t="inlineStr">
        <is>
          <t>VÄSTRA GÖTALANDS LÄN</t>
        </is>
      </c>
      <c r="G536" t="inlineStr">
        <is>
          <t>BORÅS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45582</v>
      </c>
      <c r="E537" s="1" t="n">
        <v>46314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45776</v>
      </c>
      <c r="E538" s="1" t="n">
        <v>46314</v>
      </c>
      <c r="F538" t="inlineStr">
        <is>
          <t>VÄSTRA GÖTALANDS LÄN</t>
        </is>
      </c>
      <c r="G538" t="inlineStr">
        <is>
          <t>BORÅS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46314</v>
      </c>
      <c r="F539" t="inlineStr">
        <is>
          <t>VÄSTRA GÖTALANDS LÄN</t>
        </is>
      </c>
      <c r="G539" t="inlineStr">
        <is>
          <t>BORÅS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46314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46314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45475</v>
      </c>
      <c r="E542" s="1" t="n">
        <v>46314</v>
      </c>
      <c r="F542" t="inlineStr">
        <is>
          <t>VÄSTRA GÖTALANDS LÄN</t>
        </is>
      </c>
      <c r="G542" t="inlineStr">
        <is>
          <t>BORÅS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46314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46314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46314</v>
      </c>
      <c r="F545" t="inlineStr">
        <is>
          <t>VÄSTRA GÖTALANDS LÄN</t>
        </is>
      </c>
      <c r="G545" t="inlineStr">
        <is>
          <t>BORÅS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47358-2024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45587</v>
      </c>
      <c r="E546" s="1" t="n">
        <v>46314</v>
      </c>
      <c r="F546" t="inlineStr">
        <is>
          <t>VÄSTRA GÖTALANDS LÄN</t>
        </is>
      </c>
      <c r="G546" t="inlineStr">
        <is>
          <t>BORÅS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46314</v>
      </c>
      <c r="F547" t="inlineStr">
        <is>
          <t>VÄSTRA GÖTALANDS LÄN</t>
        </is>
      </c>
      <c r="G547" t="inlineStr">
        <is>
          <t>BORÅS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45209</v>
      </c>
      <c r="E548" s="1" t="n">
        <v>46314</v>
      </c>
      <c r="F548" t="inlineStr">
        <is>
          <t>VÄSTRA GÖTALANDS LÄN</t>
        </is>
      </c>
      <c r="G548" t="inlineStr">
        <is>
          <t>BORÅS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46314</v>
      </c>
      <c r="F549" t="inlineStr">
        <is>
          <t>VÄSTRA GÖTALANDS LÄN</t>
        </is>
      </c>
      <c r="G549" t="inlineStr">
        <is>
          <t>BORÅS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46314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46314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46314</v>
      </c>
      <c r="F552" t="inlineStr">
        <is>
          <t>VÄSTRA GÖTALANDS LÄN</t>
        </is>
      </c>
      <c r="G552" t="inlineStr">
        <is>
          <t>BORÅS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46314</v>
      </c>
      <c r="F553" t="inlineStr">
        <is>
          <t>VÄSTRA GÖTALANDS LÄN</t>
        </is>
      </c>
      <c r="G553" t="inlineStr">
        <is>
          <t>BORÅS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46314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46314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46314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46314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46314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22736-2025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46314</v>
      </c>
      <c r="F559" t="inlineStr">
        <is>
          <t>VÄSTRA GÖTALANDS LÄN</t>
        </is>
      </c>
      <c r="G559" t="inlineStr">
        <is>
          <t>BORÅS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46314</v>
      </c>
      <c r="F560" t="inlineStr">
        <is>
          <t>VÄSTRA GÖTALANDS LÄN</t>
        </is>
      </c>
      <c r="G560" t="inlineStr">
        <is>
          <t>BORÅS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46314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46314</v>
      </c>
      <c r="F562" t="inlineStr">
        <is>
          <t>VÄSTRA GÖTALANDS LÄN</t>
        </is>
      </c>
      <c r="G562" t="inlineStr">
        <is>
          <t>BORÅS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34984-2023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45142</v>
      </c>
      <c r="E563" s="1" t="n">
        <v>46314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46314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46314</v>
      </c>
      <c r="F565" t="inlineStr">
        <is>
          <t>VÄSTRA GÖTALANDS LÄN</t>
        </is>
      </c>
      <c r="G565" t="inlineStr">
        <is>
          <t>BORÅS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46306</v>
      </c>
      <c r="E566" s="1" t="n">
        <v>46314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46306</v>
      </c>
      <c r="E567" s="1" t="n">
        <v>46314</v>
      </c>
      <c r="F567" t="inlineStr">
        <is>
          <t>VÄSTRA GÖTALANDS LÄN</t>
        </is>
      </c>
      <c r="G567" t="inlineStr">
        <is>
          <t>BORÅS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46306</v>
      </c>
      <c r="E568" s="1" t="n">
        <v>46314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46306</v>
      </c>
      <c r="E569" s="1" t="n">
        <v>46314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46306</v>
      </c>
      <c r="E570" s="1" t="n">
        <v>46314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45798</v>
      </c>
      <c r="E571" s="1" t="n">
        <v>46314</v>
      </c>
      <c r="F571" t="inlineStr">
        <is>
          <t>VÄSTRA GÖTALANDS LÄN</t>
        </is>
      </c>
      <c r="G571" t="inlineStr">
        <is>
          <t>BORÅS</t>
        </is>
      </c>
      <c r="H571" t="inlineStr">
        <is>
          <t>Kommuner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46314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46308</v>
      </c>
      <c r="E573" s="1" t="n">
        <v>46314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46314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46314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46314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46314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46314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46314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46314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46314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46314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46314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46314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46268</v>
      </c>
      <c r="E585" s="1" t="n">
        <v>46314</v>
      </c>
      <c r="F585" t="inlineStr">
        <is>
          <t>VÄSTRA GÖTALANDS LÄN</t>
        </is>
      </c>
      <c r="G585" t="inlineStr">
        <is>
          <t>BORÅS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46314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46314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46314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13436-2025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45735</v>
      </c>
      <c r="E589" s="1" t="n">
        <v>46314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46314</v>
      </c>
      <c r="F590" t="inlineStr">
        <is>
          <t>VÄSTRA GÖTALANDS LÄN</t>
        </is>
      </c>
      <c r="G590" t="inlineStr">
        <is>
          <t>BORÅS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46314</v>
      </c>
      <c r="F591" t="inlineStr">
        <is>
          <t>VÄSTRA GÖTALANDS LÄN</t>
        </is>
      </c>
      <c r="G591" t="inlineStr">
        <is>
          <t>BORÅS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46314</v>
      </c>
      <c r="F592" t="inlineStr">
        <is>
          <t>VÄSTRA GÖTALANDS LÄN</t>
        </is>
      </c>
      <c r="G592" t="inlineStr">
        <is>
          <t>BORÅS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46314</v>
      </c>
      <c r="F593" t="inlineStr">
        <is>
          <t>VÄSTRA GÖTALANDS LÄN</t>
        </is>
      </c>
      <c r="G593" t="inlineStr">
        <is>
          <t>BORÅS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45472</v>
      </c>
      <c r="E594" s="1" t="n">
        <v>46314</v>
      </c>
      <c r="F594" t="inlineStr">
        <is>
          <t>VÄSTRA GÖTALANDS LÄN</t>
        </is>
      </c>
      <c r="G594" t="inlineStr">
        <is>
          <t>BORÅS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46314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45823</v>
      </c>
      <c r="E596" s="1" t="n">
        <v>46314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46314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46314</v>
      </c>
      <c r="F598" t="inlineStr">
        <is>
          <t>VÄSTRA GÖTALANDS LÄN</t>
        </is>
      </c>
      <c r="G598" t="inlineStr">
        <is>
          <t>BORÅS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46314</v>
      </c>
      <c r="F599" t="inlineStr">
        <is>
          <t>VÄSTRA GÖTALANDS LÄN</t>
        </is>
      </c>
      <c r="G599" t="inlineStr">
        <is>
          <t>BORÅS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46314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46310</v>
      </c>
      <c r="E601" s="1" t="n">
        <v>46314</v>
      </c>
      <c r="F601" t="inlineStr">
        <is>
          <t>VÄSTRA GÖTALANDS LÄN</t>
        </is>
      </c>
      <c r="G601" t="inlineStr">
        <is>
          <t>BORÅS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46314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11022-2025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45723</v>
      </c>
      <c r="E603" s="1" t="n">
        <v>46314</v>
      </c>
      <c r="F603" t="inlineStr">
        <is>
          <t>VÄSTRA GÖTALANDS LÄN</t>
        </is>
      </c>
      <c r="G603" t="inlineStr">
        <is>
          <t>BORÅS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30312-2025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45827</v>
      </c>
      <c r="E604" s="1" t="n">
        <v>46314</v>
      </c>
      <c r="F604" t="inlineStr">
        <is>
          <t>VÄSTRA GÖTALANDS LÄN</t>
        </is>
      </c>
      <c r="G604" t="inlineStr">
        <is>
          <t>BORÅS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46314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46314</v>
      </c>
      <c r="F606" t="inlineStr">
        <is>
          <t>VÄSTRA GÖTALANDS LÄN</t>
        </is>
      </c>
      <c r="G606" t="inlineStr">
        <is>
          <t>BORÅS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46314</v>
      </c>
      <c r="F607" t="inlineStr">
        <is>
          <t>VÄSTRA GÖTALANDS LÄN</t>
        </is>
      </c>
      <c r="G607" t="inlineStr">
        <is>
          <t>BORÅS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45839</v>
      </c>
      <c r="E608" s="1" t="n">
        <v>46314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45836</v>
      </c>
      <c r="E609" s="1" t="n">
        <v>46314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32322-2025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45836</v>
      </c>
      <c r="E610" s="1" t="n">
        <v>46314</v>
      </c>
      <c r="F610" t="inlineStr">
        <is>
          <t>VÄSTRA GÖTALANDS LÄN</t>
        </is>
      </c>
      <c r="G610" t="inlineStr">
        <is>
          <t>BORÅS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33725-2025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46314</v>
      </c>
      <c r="F611" t="inlineStr">
        <is>
          <t>VÄSTRA GÖTALANDS LÄN</t>
        </is>
      </c>
      <c r="G611" t="inlineStr">
        <is>
          <t>BORÅS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13955-2024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46314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34415-2025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46314</v>
      </c>
      <c r="F613" t="inlineStr">
        <is>
          <t>VÄSTRA GÖTALANDS LÄN</t>
        </is>
      </c>
      <c r="G613" t="inlineStr">
        <is>
          <t>BORÅS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46314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45866</v>
      </c>
      <c r="E615" s="1" t="n">
        <v>46314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44882</v>
      </c>
      <c r="E616" s="1" t="n">
        <v>46314</v>
      </c>
      <c r="F616" t="inlineStr">
        <is>
          <t>VÄSTRA GÖTALANDS LÄN</t>
        </is>
      </c>
      <c r="G616" t="inlineStr">
        <is>
          <t>BORÅS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46314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43185-2024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45567</v>
      </c>
      <c r="E618" s="1" t="n">
        <v>46314</v>
      </c>
      <c r="F618" t="inlineStr">
        <is>
          <t>VÄSTRA GÖTALANDS LÄN</t>
        </is>
      </c>
      <c r="G618" t="inlineStr">
        <is>
          <t>BORÅS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53204-2024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45612</v>
      </c>
      <c r="E619" s="1" t="n">
        <v>46314</v>
      </c>
      <c r="F619" t="inlineStr">
        <is>
          <t>VÄSTRA GÖTALANDS LÄN</t>
        </is>
      </c>
      <c r="G619" t="inlineStr">
        <is>
          <t>BORÅS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46314</v>
      </c>
      <c r="F620" t="inlineStr">
        <is>
          <t>VÄSTRA GÖTALANDS LÄN</t>
        </is>
      </c>
      <c r="G620" t="inlineStr">
        <is>
          <t>BORÅS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46314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46314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46314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46314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46314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46314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46314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46314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46314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46314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46314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46314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46314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46314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46314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46314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46314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46314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46314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46314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46314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46314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46314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46314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46314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2026-10-19T02:03:38Z</dcterms:created>
  <dcterms:modified xmlns:dcterms="http://purl.org/dc/terms/" xmlns:xsi="http://www.w3.org/2001/XMLSchema-instance" xsi:type="dcterms:W3CDTF">2026-10-19T02:03:39Z</dcterms:modified>
</cp:coreProperties>
</file>