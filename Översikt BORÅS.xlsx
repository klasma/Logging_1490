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45642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45642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45642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45642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45642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45642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45642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45642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45642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45642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47911-2023</t>
        </is>
      </c>
      <c r="B12" s="1" t="n">
        <v>45204</v>
      </c>
      <c r="C12" s="1" t="n">
        <v>45642</v>
      </c>
      <c r="D12" t="inlineStr">
        <is>
          <t>VÄSTRA GÖTALANDS LÄN</t>
        </is>
      </c>
      <c r="E12" t="inlineStr">
        <is>
          <t>BORÅS</t>
        </is>
      </c>
      <c r="G12" t="n">
        <v>1.6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Gulnål
Vågbandad barkbock</t>
        </is>
      </c>
      <c r="S12">
        <f>HYPERLINK("https://klasma.github.io/Logging_1490/artfynd/A 47911-2023 artfynd.xlsx", "A 47911-2023")</f>
        <v/>
      </c>
      <c r="T12">
        <f>HYPERLINK("https://klasma.github.io/Logging_1490/kartor/A 47911-2023 karta.png", "A 47911-2023")</f>
        <v/>
      </c>
      <c r="V12">
        <f>HYPERLINK("https://klasma.github.io/Logging_1490/klagomål/A 47911-2023 FSC-klagomål.docx", "A 47911-2023")</f>
        <v/>
      </c>
      <c r="W12">
        <f>HYPERLINK("https://klasma.github.io/Logging_1490/klagomålsmail/A 47911-2023 FSC-klagomål mail.docx", "A 47911-2023")</f>
        <v/>
      </c>
      <c r="X12">
        <f>HYPERLINK("https://klasma.github.io/Logging_1490/tillsyn/A 47911-2023 tillsynsbegäran.docx", "A 47911-2023")</f>
        <v/>
      </c>
      <c r="Y12">
        <f>HYPERLINK("https://klasma.github.io/Logging_1490/tillsynsmail/A 47911-2023 tillsynsbegäran mail.docx", "A 47911-2023")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45642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3706-2024</t>
        </is>
      </c>
      <c r="B14" s="1" t="n">
        <v>45321</v>
      </c>
      <c r="C14" s="1" t="n">
        <v>45642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8.699999999999999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HYPERLINK("https://klasma.github.io/Logging_1490/artfynd/A 3706-2024 artfynd.xlsx", "A 3706-2024")</f>
        <v/>
      </c>
      <c r="T14">
        <f>HYPERLINK("https://klasma.github.io/Logging_1490/kartor/A 3706-2024 karta.png", "A 3706-2024")</f>
        <v/>
      </c>
      <c r="V14">
        <f>HYPERLINK("https://klasma.github.io/Logging_1490/klagomål/A 3706-2024 FSC-klagomål.docx", "A 3706-2024")</f>
        <v/>
      </c>
      <c r="W14">
        <f>HYPERLINK("https://klasma.github.io/Logging_1490/klagomålsmail/A 3706-2024 FSC-klagomål mail.docx", "A 3706-2024")</f>
        <v/>
      </c>
      <c r="X14">
        <f>HYPERLINK("https://klasma.github.io/Logging_1490/tillsyn/A 3706-2024 tillsynsbegäran.docx", "A 3706-2024")</f>
        <v/>
      </c>
      <c r="Y14">
        <f>HYPERLINK("https://klasma.github.io/Logging_1490/tillsynsmail/A 3706-2024 tillsynsbegäran mail.docx", "A 3706-2024")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45642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28682-2024</t>
        </is>
      </c>
      <c r="B16" s="1" t="n">
        <v>45478</v>
      </c>
      <c r="C16" s="1" t="n">
        <v>45642</v>
      </c>
      <c r="D16" t="inlineStr">
        <is>
          <t>VÄSTRA GÖTALANDS LÄN</t>
        </is>
      </c>
      <c r="E16" t="inlineStr">
        <is>
          <t>BORÅS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padda
Lopplummer</t>
        </is>
      </c>
      <c r="S16">
        <f>HYPERLINK("https://klasma.github.io/Logging_1490/artfynd/A 28682-2024 artfynd.xlsx", "A 28682-2024")</f>
        <v/>
      </c>
      <c r="T16">
        <f>HYPERLINK("https://klasma.github.io/Logging_1490/kartor/A 28682-2024 karta.png", "A 28682-2024")</f>
        <v/>
      </c>
      <c r="V16">
        <f>HYPERLINK("https://klasma.github.io/Logging_1490/klagomål/A 28682-2024 FSC-klagomål.docx", "A 28682-2024")</f>
        <v/>
      </c>
      <c r="W16">
        <f>HYPERLINK("https://klasma.github.io/Logging_1490/klagomålsmail/A 28682-2024 FSC-klagomål mail.docx", "A 28682-2024")</f>
        <v/>
      </c>
      <c r="X16">
        <f>HYPERLINK("https://klasma.github.io/Logging_1490/tillsyn/A 28682-2024 tillsynsbegäran.docx", "A 28682-2024")</f>
        <v/>
      </c>
      <c r="Y16">
        <f>HYPERLINK("https://klasma.github.io/Logging_1490/tillsynsmail/A 28682-2024 tillsynsbegäran mail.docx", "A 28682-2024")</f>
        <v/>
      </c>
    </row>
    <row r="17" ht="15" customHeight="1">
      <c r="A17" t="inlineStr">
        <is>
          <t>A 51423-2024</t>
        </is>
      </c>
      <c r="B17" s="1" t="n">
        <v>45604</v>
      </c>
      <c r="C17" s="1" t="n">
        <v>45642</v>
      </c>
      <c r="D17" t="inlineStr">
        <is>
          <t>VÄSTRA GÖTALANDS LÄN</t>
        </is>
      </c>
      <c r="E17" t="inlineStr">
        <is>
          <t>BORÅS</t>
        </is>
      </c>
      <c r="G17" t="n">
        <v>3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Nattviol</t>
        </is>
      </c>
      <c r="S17">
        <f>HYPERLINK("https://klasma.github.io/Logging_1490/artfynd/A 51423-2024 artfynd.xlsx", "A 51423-2024")</f>
        <v/>
      </c>
      <c r="T17">
        <f>HYPERLINK("https://klasma.github.io/Logging_1490/kartor/A 51423-2024 karta.png", "A 51423-2024")</f>
        <v/>
      </c>
      <c r="U17">
        <f>HYPERLINK("https://klasma.github.io/Logging_1490/knärot/A 51423-2024 karta knärot.png", "A 51423-2024")</f>
        <v/>
      </c>
      <c r="V17">
        <f>HYPERLINK("https://klasma.github.io/Logging_1490/klagomål/A 51423-2024 FSC-klagomål.docx", "A 51423-2024")</f>
        <v/>
      </c>
      <c r="W17">
        <f>HYPERLINK("https://klasma.github.io/Logging_1490/klagomålsmail/A 51423-2024 FSC-klagomål mail.docx", "A 51423-2024")</f>
        <v/>
      </c>
      <c r="X17">
        <f>HYPERLINK("https://klasma.github.io/Logging_1490/tillsyn/A 51423-2024 tillsynsbegäran.docx", "A 51423-2024")</f>
        <v/>
      </c>
      <c r="Y17">
        <f>HYPERLINK("https://klasma.github.io/Logging_1490/tillsynsmail/A 51423-2024 tillsynsbegäran mail.docx", "A 51423-2024")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45642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45642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45642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45642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45642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45642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45642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45642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45642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45642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45642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45642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45642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45642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45642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45642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45642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45642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45642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45642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45642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45642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45642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45642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45642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45642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45642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45642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45642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45642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45642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45642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45642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45642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45642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45642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45642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45642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45642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45642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45642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45642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45642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45642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45642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45642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45642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45642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45642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45642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45642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45642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45642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45642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45642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45642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45642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45642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45642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45642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45642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45642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45642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45642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45642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45642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45642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45642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45642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45642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45642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45642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45642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45642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45642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45642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45642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45642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45642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45642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45642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45642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45642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45642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45642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45642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45642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45642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45642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45642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45642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45642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45642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45642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45642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45642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45642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45642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45642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45642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45642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45642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45642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45642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45642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45642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45642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45642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45642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45642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45642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45642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45642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45642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45642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45642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45642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45642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45642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45642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45642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45642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45642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45642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45642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45642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45642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45642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45642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45642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45642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45642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45642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45642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45642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45642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45642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45642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45642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45642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45642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45642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45642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45642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45642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45642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45642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45642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45642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45642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45642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45642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45642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45642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45642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45642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45642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45642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45642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45642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45642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45642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45642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45642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45642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45642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45642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45642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45642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45642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45642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45642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45642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45642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45642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45642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45642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45642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45642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45642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45642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45642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45642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45642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45642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45642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45642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45642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45642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45642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45642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45642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45642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45642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45642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45642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45642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45642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45642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45642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45642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45642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45642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45642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45642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45642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45642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45642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45642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45642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45642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45642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45642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45642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45642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45642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45642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45642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45642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45642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45642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45642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45642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45642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45642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45642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45642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45642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45642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45642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45642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45642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45642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45642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45642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45642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45642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45642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45642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45642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45642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45642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45642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45642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45642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45642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45642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45642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45642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45642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45642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45642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45642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45642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45642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45642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45642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45642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45642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45642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45642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45642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45642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45642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45642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45642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45642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45642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45642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45642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45642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45642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45642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45642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45642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45642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45642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45642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45642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45642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45642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45642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45642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45642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45642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45642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45642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45642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45642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45642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45642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45642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45642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45642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45642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45642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45642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45642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45642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45642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45642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45642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45642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45642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45642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45642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45642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45642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45642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45642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45642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45642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45642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45642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45642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45642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45642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45642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45642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45642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45642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45642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45642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45642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45642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45642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45642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45642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45642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45642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45642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45642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45642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45642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45642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45642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45642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45642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45642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45642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45642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45642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45642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45642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45642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45642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45642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45642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45642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45642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45642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45642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45642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45642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45642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45642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45642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45642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45642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45642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45642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45642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45642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45642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45642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45642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45642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45642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45642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45642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45642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45642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45642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45642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45642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45642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45642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45642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45642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45642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45642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45642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45642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45642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45642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45642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45642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45642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45642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45642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45642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45642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45642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45642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45642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45642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45642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45642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45642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45642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45642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45642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45642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45642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45642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45642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45642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45642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45642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45642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45642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45642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45642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45642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45642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45642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45642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45642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45642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45642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45642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45642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45642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45642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45642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45642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45642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45642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45642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45642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45642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45642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45642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45642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45642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45642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45642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45642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45642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45642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45642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45642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45642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45642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45642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45642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45642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45642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45642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45642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45642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45642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45642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45642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45642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45642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45642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45642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45642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45642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45642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45642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45642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45642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45642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45642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45642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45642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45642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45642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45642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45642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45642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45642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45642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45642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45642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45642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45642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45642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45642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45642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45642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45642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45642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45642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45642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45642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45642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45642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45642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45642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45642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45642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45642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45642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45642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45642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45642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45642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45642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45642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45642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45642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45642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45642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45642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45642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45642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45642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45642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45642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45642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45642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45642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45642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45642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45642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45642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45642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45642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45642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45642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45642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45642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45642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45642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45642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45642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45642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45642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45642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45642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45642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45642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45642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45642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45642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45642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45642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45642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45642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45642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45642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45642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45642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45642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45642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45642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45642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45642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45642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45642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45642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45642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45642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45642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45642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45642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45642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45642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45642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45642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45642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45642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45642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45642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45642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45642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45642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45642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45642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45642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45642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45642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45642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45642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45642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45642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45642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45642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45642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45642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45642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45642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45642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45642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45642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45642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45642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45642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45642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45642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45642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45642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45642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45642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45642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45642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45642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45642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45642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45642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45642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45642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45642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45642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45642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45642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45642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45642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45642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45642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45642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45642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45642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45642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45642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45642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45642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45642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45642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45642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45642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45642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45642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45642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45642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45642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45642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45642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45642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45642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45642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45642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45642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45642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45642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45642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45642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45642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45642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45642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45642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45642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45642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45642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45642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45642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45642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45642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45642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45642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45642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45642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45642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45642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45642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45642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45642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45642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45642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45642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45642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45642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45642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45642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45642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45642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45642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45642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45642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45642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45642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45642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45642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45642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45642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45642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45642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45642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45642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45642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45642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45642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45642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45642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45642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45642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45642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45642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45642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45642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45642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45642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45642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45642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45642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45642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45642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45642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45642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45642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45642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45642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45642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45642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45642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45642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45642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45642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45642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45642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45642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45642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45642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45642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45642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45642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45642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45642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45642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45642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45642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45642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45642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45642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45642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45642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45642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45642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45642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45642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45642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45642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45642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45642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45642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45642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45642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45642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45642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45642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45642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45642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45642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45642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45642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45642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45642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45642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45642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45642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45642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45642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45642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45642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45642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45642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45642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45642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45642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45642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45642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45642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45642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45642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45642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45642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45642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45642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45642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45642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45642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45642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45642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45642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45642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45642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45642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45642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45642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45642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45642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45642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45642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45642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45642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45642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45642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45642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45642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45642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45642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45642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45642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45642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45642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45642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45642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45642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45642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45642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45642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45642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45642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45642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45642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45642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45642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45642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45642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45642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45642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45642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45642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45642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45642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45642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45642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45642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45642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45642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45642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45642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45642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45642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45642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45642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45642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45642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45642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45642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45642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45642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45642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45642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45642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45642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45642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45642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45642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45642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45642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45642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45642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45642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45642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45642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45642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45642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45642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45642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45642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45642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45642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45642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45642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45642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45642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45642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45642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45642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45642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45642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45642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45642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45642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45642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45642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45642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45642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45642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45642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45642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45642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45642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45642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45642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45642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45642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45642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45642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45642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45642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45642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45642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45642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45642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45642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45642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45642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45642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45642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45642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45642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45642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45642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45642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45642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45642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45642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55544-2024</t>
        </is>
      </c>
      <c r="B920" s="1" t="n">
        <v>45622</v>
      </c>
      <c r="C920" s="1" t="n">
        <v>45642</v>
      </c>
      <c r="D920" t="inlineStr">
        <is>
          <t>VÄSTRA GÖTALANDS LÄN</t>
        </is>
      </c>
      <c r="E920" t="inlineStr">
        <is>
          <t>BORÅS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55535-2024</t>
        </is>
      </c>
      <c r="B921" s="1" t="n">
        <v>45622</v>
      </c>
      <c r="C921" s="1" t="n">
        <v>45642</v>
      </c>
      <c r="D921" t="inlineStr">
        <is>
          <t>VÄSTRA GÖTALANDS LÄN</t>
        </is>
      </c>
      <c r="E921" t="inlineStr">
        <is>
          <t>BORÅS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45642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45642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45642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45642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45642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45642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57419-2024</t>
        </is>
      </c>
      <c r="B928" s="1" t="n">
        <v>45629</v>
      </c>
      <c r="C928" s="1" t="n">
        <v>45642</v>
      </c>
      <c r="D928" t="inlineStr">
        <is>
          <t>VÄSTRA GÖTALANDS LÄN</t>
        </is>
      </c>
      <c r="E928" t="inlineStr">
        <is>
          <t>BORÅS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57421-2024</t>
        </is>
      </c>
      <c r="B929" s="1" t="n">
        <v>45629</v>
      </c>
      <c r="C929" s="1" t="n">
        <v>45642</v>
      </c>
      <c r="D929" t="inlineStr">
        <is>
          <t>VÄSTRA GÖTALANDS LÄN</t>
        </is>
      </c>
      <c r="E929" t="inlineStr">
        <is>
          <t>BORÅS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57422-2024</t>
        </is>
      </c>
      <c r="B930" s="1" t="n">
        <v>45629</v>
      </c>
      <c r="C930" s="1" t="n">
        <v>45642</v>
      </c>
      <c r="D930" t="inlineStr">
        <is>
          <t>VÄSTRA GÖTALANDS LÄN</t>
        </is>
      </c>
      <c r="E930" t="inlineStr">
        <is>
          <t>BORÅS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57426-2024</t>
        </is>
      </c>
      <c r="B931" s="1" t="n">
        <v>45629</v>
      </c>
      <c r="C931" s="1" t="n">
        <v>45642</v>
      </c>
      <c r="D931" t="inlineStr">
        <is>
          <t>VÄSTRA GÖTALANDS LÄN</t>
        </is>
      </c>
      <c r="E931" t="inlineStr">
        <is>
          <t>BORÅS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57430-2024</t>
        </is>
      </c>
      <c r="B932" s="1" t="n">
        <v>45629</v>
      </c>
      <c r="C932" s="1" t="n">
        <v>45642</v>
      </c>
      <c r="D932" t="inlineStr">
        <is>
          <t>VÄSTRA GÖTALANDS LÄN</t>
        </is>
      </c>
      <c r="E932" t="inlineStr">
        <is>
          <t>BORÅS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57429-2024</t>
        </is>
      </c>
      <c r="B933" s="1" t="n">
        <v>45629</v>
      </c>
      <c r="C933" s="1" t="n">
        <v>45642</v>
      </c>
      <c r="D933" t="inlineStr">
        <is>
          <t>VÄSTRA GÖTALANDS LÄN</t>
        </is>
      </c>
      <c r="E933" t="inlineStr">
        <is>
          <t>BORÅS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45642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57714-2024</t>
        </is>
      </c>
      <c r="B935" s="1" t="n">
        <v>45630</v>
      </c>
      <c r="C935" s="1" t="n">
        <v>45642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57719-2024</t>
        </is>
      </c>
      <c r="B936" s="1" t="n">
        <v>45630</v>
      </c>
      <c r="C936" s="1" t="n">
        <v>45642</v>
      </c>
      <c r="D936" t="inlineStr">
        <is>
          <t>VÄSTRA GÖTALANDS LÄN</t>
        </is>
      </c>
      <c r="E936" t="inlineStr">
        <is>
          <t>BORÅS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57592-2024</t>
        </is>
      </c>
      <c r="B937" s="1" t="n">
        <v>45630</v>
      </c>
      <c r="C937" s="1" t="n">
        <v>45642</v>
      </c>
      <c r="D937" t="inlineStr">
        <is>
          <t>VÄSTRA GÖTALANDS LÄN</t>
        </is>
      </c>
      <c r="E937" t="inlineStr">
        <is>
          <t>BORÅS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45642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45642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45642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45642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45642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59254-2024</t>
        </is>
      </c>
      <c r="B943" s="1" t="n">
        <v>45637</v>
      </c>
      <c r="C943" s="1" t="n">
        <v>45642</v>
      </c>
      <c r="D943" t="inlineStr">
        <is>
          <t>VÄSTRA GÖTALANDS LÄN</t>
        </is>
      </c>
      <c r="E943" t="inlineStr">
        <is>
          <t>BORÅS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59212-2024</t>
        </is>
      </c>
      <c r="B944" s="1" t="n">
        <v>45637</v>
      </c>
      <c r="C944" s="1" t="n">
        <v>45642</v>
      </c>
      <c r="D944" t="inlineStr">
        <is>
          <t>VÄSTRA GÖTALANDS LÄN</t>
        </is>
      </c>
      <c r="E944" t="inlineStr">
        <is>
          <t>BORÅS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59334-2024</t>
        </is>
      </c>
      <c r="B945" s="1" t="n">
        <v>45637</v>
      </c>
      <c r="C945" s="1" t="n">
        <v>45642</v>
      </c>
      <c r="D945" t="inlineStr">
        <is>
          <t>VÄSTRA GÖTALANDS LÄN</t>
        </is>
      </c>
      <c r="E945" t="inlineStr">
        <is>
          <t>BORÅS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59463-2024</t>
        </is>
      </c>
      <c r="B946" s="1" t="n">
        <v>45638</v>
      </c>
      <c r="C946" s="1" t="n">
        <v>45642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59512-2024</t>
        </is>
      </c>
      <c r="B947" s="1" t="n">
        <v>45638</v>
      </c>
      <c r="C947" s="1" t="n">
        <v>45642</v>
      </c>
      <c r="D947" t="inlineStr">
        <is>
          <t>VÄSTRA GÖTALANDS LÄN</t>
        </is>
      </c>
      <c r="E947" t="inlineStr">
        <is>
          <t>BORÅS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>
      <c r="A948" t="inlineStr">
        <is>
          <t>A 59770-2024</t>
        </is>
      </c>
      <c r="B948" s="1" t="n">
        <v>45639</v>
      </c>
      <c r="C948" s="1" t="n">
        <v>45642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2024-12-16T15:16:09Z</dcterms:created>
  <dcterms:modified xmlns:dcterms="http://purl.org/dc/terms/" xmlns:xsi="http://www.w3.org/2001/XMLSchema-instance" xsi:type="dcterms:W3CDTF">2024-12-16T15:16:10Z</dcterms:modified>
</cp:coreProperties>
</file>