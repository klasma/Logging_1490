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46307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46307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46307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46307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46307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46307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46307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46307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46307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46307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3095-2024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45316</v>
      </c>
      <c r="E18" s="1" t="n">
        <v>46307</v>
      </c>
      <c r="F18" t="inlineStr">
        <is>
          <t>VÄSTRA GÖTALANDS LÄN</t>
        </is>
      </c>
      <c r="G18" t="inlineStr">
        <is>
          <t>BORÅS</t>
        </is>
      </c>
      <c r="I18" t="n">
        <v>6.3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Skrovellav
Bårdlav
Fällmossa</t>
        </is>
      </c>
      <c r="W18">
        <f>HYPERLINK("https://klasma.github.io/Logging_1490/artfynd/A 3095-2024 artfynd.xlsx", "A 3095-2024")</f>
        <v/>
      </c>
      <c r="X18">
        <f>HYPERLINK("https://klasma.github.io/Logging_1490/kartor/A 3095-2024 karta.png", "A 3095-2024")</f>
        <v/>
      </c>
      <c r="Y18">
        <f>HYPERLINK("https://klasma.github.io/Logging_1490/kartor_geotiff/A 3095-2024 georefererad karta.tif", "A 3095-2024")</f>
        <v/>
      </c>
      <c r="AA18">
        <f>HYPERLINK("https://klasma.github.io/Logging_1490/klagomål/A 3095-2024 FSC-klagomål.docx", "A 3095-2024")</f>
        <v/>
      </c>
      <c r="AB18">
        <f>HYPERLINK("https://klasma.github.io/Logging_1490/klagomålsmail/A 3095-2024 FSC-klagomål mail.docx", "A 3095-2024")</f>
        <v/>
      </c>
      <c r="AC18">
        <f>HYPERLINK("https://klasma.github.io/Logging_1490/tillsyn/A 3095-2024 tillsynsbegäran.docx", "A 3095-2024")</f>
        <v/>
      </c>
      <c r="AD18">
        <f>HYPERLINK("https://klasma.github.io/Logging_1490/tillsynsmail/A 3095-2024 tillsynsbegäran mail.docx", "A 3095-2024")</f>
        <v/>
      </c>
    </row>
    <row r="19" ht="15" customHeight="1">
      <c r="A19" t="inlineStr">
        <is>
          <t>A 57442-2024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46307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11</v>
      </c>
      <c r="U19" t="n">
        <v>1</v>
      </c>
      <c r="V19" s="2" t="inlineStr">
        <is>
          <t>Talltita
Spillkråka
Revlummer</t>
        </is>
      </c>
      <c r="W19">
        <f>HYPERLINK("https://klasma.github.io/Logging_1490/artfynd/A 57442-2024 artfynd.xlsx", "A 57442-2024")</f>
        <v/>
      </c>
      <c r="X19">
        <f>HYPERLINK("https://klasma.github.io/Logging_1490/kartor/A 57442-2024 karta.png", "A 57442-2024")</f>
        <v/>
      </c>
      <c r="Y19">
        <f>HYPERLINK("https://klasma.github.io/Logging_1490/kartor_geotiff/A 57442-2024 georefererad karta.tif", "A 57442-2024")</f>
        <v/>
      </c>
      <c r="AA19">
        <f>HYPERLINK("https://klasma.github.io/Logging_1490/klagomål/A 57442-2024 FSC-klagomål.docx", "A 57442-2024")</f>
        <v/>
      </c>
      <c r="AB19">
        <f>HYPERLINK("https://klasma.github.io/Logging_1490/klagomålsmail/A 57442-2024 FSC-klagomål mail.docx", "A 57442-2024")</f>
        <v/>
      </c>
      <c r="AC19">
        <f>HYPERLINK("https://klasma.github.io/Logging_1490/tillsyn/A 57442-2024 tillsynsbegäran.docx", "A 57442-2024")</f>
        <v/>
      </c>
      <c r="AD19">
        <f>HYPERLINK("https://klasma.github.io/Logging_1490/tillsynsmail/A 57442-2024 tillsynsbegäran mail.docx", "A 57442-2024")</f>
        <v/>
      </c>
      <c r="AE19">
        <f>HYPERLINK("https://klasma.github.io/Logging_1490/fåglar/A 57442-2024 prioriterade fågelarter.docx", "A 57442-2024")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46307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46307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46307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46307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46307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46307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Brunfläckig pärlemorfjäril
Bårdlav
Fällmossa</t>
        </is>
      </c>
      <c r="W25">
        <f>HYPERLINK("https://klasma.github.io/Logging_1490/artfynd/A 58304-2025 artfynd.xlsx", "A 58304-2025")</f>
        <v/>
      </c>
      <c r="X25">
        <f>HYPERLINK("https://klasma.github.io/Logging_1490/kartor/A 58304-2025 karta.png", "A 58304-2025")</f>
        <v/>
      </c>
      <c r="Y25">
        <f>HYPERLINK("https://klasma.github.io/Logging_1490/kartor_geotiff/A 58304-2025 georefererad karta.tif", "A 58304-2025")</f>
        <v/>
      </c>
      <c r="AA25">
        <f>HYPERLINK("https://klasma.github.io/Logging_1490/klagomål/A 58304-2025 FSC-klagomål.docx", "A 58304-2025")</f>
        <v/>
      </c>
      <c r="AB25">
        <f>HYPERLINK("https://klasma.github.io/Logging_1490/klagomålsmail/A 58304-2025 FSC-klagomål mail.docx", "A 58304-2025")</f>
        <v/>
      </c>
      <c r="AC25">
        <f>HYPERLINK("https://klasma.github.io/Logging_1490/tillsyn/A 58304-2025 tillsynsbegäran.docx", "A 58304-2025")</f>
        <v/>
      </c>
      <c r="AD25">
        <f>HYPERLINK("https://klasma.github.io/Logging_1490/tillsynsmail/A 58304-2025 tillsynsbegäran mail.docx", "A 58304-2025")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46307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t="n">
        <v>9</v>
      </c>
      <c r="V26" s="2" t="inlineStr">
        <is>
          <t>Knärot
Huggorm
Nattviol</t>
        </is>
      </c>
      <c r="W26">
        <f>HYPERLINK("https://klasma.github.io/Logging_1490/artfynd/A 51423-2024 artfynd.xlsx", "A 51423-2024")</f>
        <v/>
      </c>
      <c r="X26">
        <f>HYPERLINK("https://klasma.github.io/Logging_1490/kartor/A 51423-2024 karta.png", "A 51423-2024")</f>
        <v/>
      </c>
      <c r="Y26">
        <f>HYPERLINK("https://klasma.github.io/Logging_1490/kartor_geotiff/A 51423-2024 georefererad karta.tif", "A 51423-2024")</f>
        <v/>
      </c>
      <c r="Z26">
        <f>HYPERLINK("https://klasma.github.io/Logging_1490/knärot/A 51423-2024 karta knärot.png", "A 51423-2024")</f>
        <v/>
      </c>
      <c r="AA26">
        <f>HYPERLINK("https://klasma.github.io/Logging_1490/klagomål/A 51423-2024 FSC-klagomål.docx", "A 51423-2024")</f>
        <v/>
      </c>
      <c r="AB26">
        <f>HYPERLINK("https://klasma.github.io/Logging_1490/klagomålsmail/A 51423-2024 FSC-klagomål mail.docx", "A 51423-2024")</f>
        <v/>
      </c>
      <c r="AC26">
        <f>HYPERLINK("https://klasma.github.io/Logging_1490/tillsyn/A 51423-2024 tillsynsbegäran.docx", "A 51423-2024")</f>
        <v/>
      </c>
      <c r="AD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46307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46307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46307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46307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4362-2022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44589</v>
      </c>
      <c r="E31" s="1" t="n">
        <v>46307</v>
      </c>
      <c r="F31" t="inlineStr">
        <is>
          <t>VÄSTRA GÖTALANDS LÄN</t>
        </is>
      </c>
      <c r="G31" t="inlineStr">
        <is>
          <t>BORÅS</t>
        </is>
      </c>
      <c r="I31" t="n">
        <v>3.7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Gröngöling
Svartvit flugsnappare</t>
        </is>
      </c>
      <c r="W31">
        <f>HYPERLINK("https://klasma.github.io/Logging_1490/artfynd/A 4362-2022 artfynd.xlsx", "A 4362-2022")</f>
        <v/>
      </c>
      <c r="X31">
        <f>HYPERLINK("https://klasma.github.io/Logging_1490/kartor/A 4362-2022 karta.png", "A 4362-2022")</f>
        <v/>
      </c>
      <c r="Y31">
        <f>HYPERLINK("https://klasma.github.io/Logging_1490/kartor_geotiff/A 4362-2022 georefererad karta.tif", "A 4362-2022")</f>
        <v/>
      </c>
      <c r="AA31">
        <f>HYPERLINK("https://klasma.github.io/Logging_1490/klagomål/A 4362-2022 FSC-klagomål.docx", "A 4362-2022")</f>
        <v/>
      </c>
      <c r="AB31">
        <f>HYPERLINK("https://klasma.github.io/Logging_1490/klagomålsmail/A 4362-2022 FSC-klagomål mail.docx", "A 4362-2022")</f>
        <v/>
      </c>
      <c r="AC31">
        <f>HYPERLINK("https://klasma.github.io/Logging_1490/tillsyn/A 4362-2022 tillsynsbegäran.docx", "A 4362-2022")</f>
        <v/>
      </c>
      <c r="AD31">
        <f>HYPERLINK("https://klasma.github.io/Logging_1490/tillsynsmail/A 4362-2022 tillsynsbegäran mail.docx", "A 4362-2022")</f>
        <v/>
      </c>
    </row>
    <row r="32" ht="15" customHeight="1">
      <c r="A32" t="inlineStr">
        <is>
          <t>A 36545-2023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46307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Revlummer</t>
        </is>
      </c>
      <c r="W32">
        <f>HYPERLINK("https://klasma.github.io/Logging_1490/artfynd/A 36545-2023 artfynd.xlsx", "A 36545-2023")</f>
        <v/>
      </c>
      <c r="X32">
        <f>HYPERLINK("https://klasma.github.io/Logging_1490/kartor/A 36545-2023 karta.png", "A 36545-2023")</f>
        <v/>
      </c>
      <c r="Y32">
        <f>HYPERLINK("https://klasma.github.io/Logging_1490/kartor_geotiff/A 36545-2023 georefererad karta.tif", "A 36545-2023")</f>
        <v/>
      </c>
      <c r="AA32">
        <f>HYPERLINK("https://klasma.github.io/Logging_1490/klagomål/A 36545-2023 FSC-klagomål.docx", "A 36545-2023")</f>
        <v/>
      </c>
      <c r="AB32">
        <f>HYPERLINK("https://klasma.github.io/Logging_1490/klagomålsmail/A 36545-2023 FSC-klagomål mail.docx", "A 36545-2023")</f>
        <v/>
      </c>
      <c r="AC32">
        <f>HYPERLINK("https://klasma.github.io/Logging_1490/tillsyn/A 36545-2023 tillsynsbegäran.docx", "A 36545-2023")</f>
        <v/>
      </c>
      <c r="AD32">
        <f>HYPERLINK("https://klasma.github.io/Logging_1490/tillsynsmail/A 36545-2023 tillsynsbegäran mail.docx", "A 36545-2023")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46307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46307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46307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36596-2023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46307</v>
      </c>
      <c r="F36" t="inlineStr">
        <is>
          <t>VÄSTRA GÖTALANDS LÄN</t>
        </is>
      </c>
      <c r="G36" t="inlineStr">
        <is>
          <t>BORÅS</t>
        </is>
      </c>
      <c r="I36" t="n">
        <v>1.5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0</v>
      </c>
      <c r="V36" s="2" t="inlineStr">
        <is>
          <t>Grönvit nattviol
Nattviol</t>
        </is>
      </c>
      <c r="W36">
        <f>HYPERLINK("https://klasma.github.io/Logging_1490/artfynd/A 36596-2023 artfynd.xlsx", "A 36596-2023")</f>
        <v/>
      </c>
      <c r="X36">
        <f>HYPERLINK("https://klasma.github.io/Logging_1490/kartor/A 36596-2023 karta.png", "A 36596-2023")</f>
        <v/>
      </c>
      <c r="Y36">
        <f>HYPERLINK("https://klasma.github.io/Logging_1490/kartor_geotiff/A 36596-2023 georefererad karta.tif", "A 36596-2023")</f>
        <v/>
      </c>
      <c r="AA36">
        <f>HYPERLINK("https://klasma.github.io/Logging_1490/klagomål/A 36596-2023 FSC-klagomål.docx", "A 36596-2023")</f>
        <v/>
      </c>
      <c r="AB36">
        <f>HYPERLINK("https://klasma.github.io/Logging_1490/klagomålsmail/A 36596-2023 FSC-klagomål mail.docx", "A 36596-2023")</f>
        <v/>
      </c>
      <c r="AC36">
        <f>HYPERLINK("https://klasma.github.io/Logging_1490/tillsyn/A 36596-2023 tillsynsbegäran.docx", "A 36596-2023")</f>
        <v/>
      </c>
      <c r="AD36">
        <f>HYPERLINK("https://klasma.github.io/Logging_1490/tillsynsmail/A 36596-2023 tillsynsbegäran mail.docx", "A 36596-2023")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46307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46307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46307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46307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46307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46307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46307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46307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46307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46307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46307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46307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46307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46307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53533-2022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46307</v>
      </c>
      <c r="F51" t="inlineStr">
        <is>
          <t>VÄSTRA GÖTALANDS LÄN</t>
        </is>
      </c>
      <c r="G51" t="inlineStr">
        <is>
          <t>BORÅS</t>
        </is>
      </c>
      <c r="I51" t="n">
        <v>1.7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HYPERLINK("https://klasma.github.io/Logging_1490/artfynd/A 53533-2022 artfynd.xlsx", "A 53533-2022")</f>
        <v/>
      </c>
      <c r="X51">
        <f>HYPERLINK("https://klasma.github.io/Logging_1490/kartor/A 53533-2022 karta.png", "A 53533-2022")</f>
        <v/>
      </c>
      <c r="Y51">
        <f>HYPERLINK("https://klasma.github.io/Logging_1490/kartor_geotiff/A 53533-2022 georefererad karta.tif", "A 53533-2022")</f>
        <v/>
      </c>
      <c r="AA51">
        <f>HYPERLINK("https://klasma.github.io/Logging_1490/klagomål/A 53533-2022 FSC-klagomål.docx", "A 53533-2022")</f>
        <v/>
      </c>
      <c r="AB51">
        <f>HYPERLINK("https://klasma.github.io/Logging_1490/klagomålsmail/A 53533-2022 FSC-klagomål mail.docx", "A 53533-2022")</f>
        <v/>
      </c>
      <c r="AC51">
        <f>HYPERLINK("https://klasma.github.io/Logging_1490/tillsyn/A 53533-2022 tillsynsbegäran.docx", "A 53533-2022")</f>
        <v/>
      </c>
      <c r="AD51">
        <f>HYPERLINK("https://klasma.github.io/Logging_1490/tillsynsmail/A 53533-2022 tillsynsbegäran mail.docx", "A 53533-2022")</f>
        <v/>
      </c>
    </row>
    <row r="52" ht="15" customHeight="1">
      <c r="A52" t="inlineStr">
        <is>
          <t>A 3719-2024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46307</v>
      </c>
      <c r="F52" t="inlineStr">
        <is>
          <t>VÄSTRA GÖTALANDS LÄN</t>
        </is>
      </c>
      <c r="G52" t="inlineStr">
        <is>
          <t>BORÅS</t>
        </is>
      </c>
      <c r="H52" t="inlineStr">
        <is>
          <t>Kommuner</t>
        </is>
      </c>
      <c r="I52" t="n">
        <v>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Hasselmus</t>
        </is>
      </c>
      <c r="W52">
        <f>HYPERLINK("https://klasma.github.io/Logging_1490/artfynd/A 3719-2024 artfynd.xlsx", "A 3719-2024")</f>
        <v/>
      </c>
      <c r="X52">
        <f>HYPERLINK("https://klasma.github.io/Logging_1490/kartor/A 3719-2024 karta.png", "A 3719-2024")</f>
        <v/>
      </c>
      <c r="Y52">
        <f>HYPERLINK("https://klasma.github.io/Logging_1490/kartor_geotiff/A 3719-2024 georefererad karta.tif", "A 3719-2024")</f>
        <v/>
      </c>
      <c r="AA52">
        <f>HYPERLINK("https://klasma.github.io/Logging_1490/klagomål/A 3719-2024 FSC-klagomål.docx", "A 3719-2024")</f>
        <v/>
      </c>
      <c r="AB52">
        <f>HYPERLINK("https://klasma.github.io/Logging_1490/klagomålsmail/A 3719-2024 FSC-klagomål mail.docx", "A 3719-2024")</f>
        <v/>
      </c>
      <c r="AC52">
        <f>HYPERLINK("https://klasma.github.io/Logging_1490/tillsyn/A 3719-2024 tillsynsbegäran.docx", "A 3719-2024")</f>
        <v/>
      </c>
      <c r="AD52">
        <f>HYPERLINK("https://klasma.github.io/Logging_1490/tillsynsmail/A 3719-2024 tillsynsbegäran mail.docx", "A 3719-2024")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46307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27342-2022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46307</v>
      </c>
      <c r="F54" t="inlineStr">
        <is>
          <t>VÄSTRA GÖTALANDS LÄN</t>
        </is>
      </c>
      <c r="G54" t="inlineStr">
        <is>
          <t>BORÅS</t>
        </is>
      </c>
      <c r="I54" t="n">
        <v>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HYPERLINK("https://klasma.github.io/Logging_1490/artfynd/A 27342-2022 artfynd.xlsx", "A 27342-2022")</f>
        <v/>
      </c>
      <c r="X54">
        <f>HYPERLINK("https://klasma.github.io/Logging_1490/kartor/A 27342-2022 karta.png", "A 27342-2022")</f>
        <v/>
      </c>
      <c r="Y54">
        <f>HYPERLINK("https://klasma.github.io/Logging_1490/kartor_geotiff/A 27342-2022 georefererad karta.tif", "A 27342-2022")</f>
        <v/>
      </c>
      <c r="AA54">
        <f>HYPERLINK("https://klasma.github.io/Logging_1490/klagomål/A 27342-2022 FSC-klagomål.docx", "A 27342-2022")</f>
        <v/>
      </c>
      <c r="AB54">
        <f>HYPERLINK("https://klasma.github.io/Logging_1490/klagomålsmail/A 27342-2022 FSC-klagomål mail.docx", "A 27342-2022")</f>
        <v/>
      </c>
      <c r="AC54">
        <f>HYPERLINK("https://klasma.github.io/Logging_1490/tillsyn/A 27342-2022 tillsynsbegäran.docx", "A 27342-2022")</f>
        <v/>
      </c>
      <c r="AD54">
        <f>HYPERLINK("https://klasma.github.io/Logging_1490/tillsynsmail/A 27342-2022 tillsynsbegäran mail.docx", "A 27342-2022")</f>
        <v/>
      </c>
      <c r="AE54">
        <f>HYPERLINK("https://klasma.github.io/Logging_1490/fåglar/A 27342-2022 prioriterade fågelarter.docx", "A 27342-2022")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46307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4358-2025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46307</v>
      </c>
      <c r="F56" t="inlineStr">
        <is>
          <t>VÄSTRA GÖTALANDS LÄN</t>
        </is>
      </c>
      <c r="G56" t="inlineStr">
        <is>
          <t>BORÅS</t>
        </is>
      </c>
      <c r="H56" t="inlineStr">
        <is>
          <t>Sveaskog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HYPERLINK("https://klasma.github.io/Logging_1490/artfynd/A 4358-2025 artfynd.xlsx", "A 4358-2025")</f>
        <v/>
      </c>
      <c r="X56">
        <f>HYPERLINK("https://klasma.github.io/Logging_1490/kartor/A 4358-2025 karta.png", "A 4358-2025")</f>
        <v/>
      </c>
      <c r="Y56">
        <f>HYPERLINK("https://klasma.github.io/Logging_1490/kartor_geotiff/A 4358-2025 georefererad karta.tif", "A 4358-2025")</f>
        <v/>
      </c>
      <c r="AA56">
        <f>HYPERLINK("https://klasma.github.io/Logging_1490/klagomål/A 4358-2025 FSC-klagomål.docx", "A 4358-2025")</f>
        <v/>
      </c>
      <c r="AB56">
        <f>HYPERLINK("https://klasma.github.io/Logging_1490/klagomålsmail/A 4358-2025 FSC-klagomål mail.docx", "A 4358-2025")</f>
        <v/>
      </c>
      <c r="AC56">
        <f>HYPERLINK("https://klasma.github.io/Logging_1490/tillsyn/A 4358-2025 tillsynsbegäran.docx", "A 4358-2025")</f>
        <v/>
      </c>
      <c r="AD56">
        <f>HYPERLINK("https://klasma.github.io/Logging_1490/tillsynsmail/A 4358-2025 tillsynsbegäran mail.docx", "A 4358-2025")</f>
        <v/>
      </c>
      <c r="AE56">
        <f>HYPERLINK("https://klasma.github.io/Logging_1490/fåglar/A 4358-2025 prioriterade fågelarter.docx", "A 4358-2025")</f>
        <v/>
      </c>
    </row>
    <row r="57" ht="15" customHeight="1">
      <c r="A57" t="inlineStr">
        <is>
          <t>A 57439-2024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46307</v>
      </c>
      <c r="F57" t="inlineStr">
        <is>
          <t>VÄSTRA GÖTALANDS LÄN</t>
        </is>
      </c>
      <c r="G57" t="inlineStr">
        <is>
          <t>BORÅS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HYPERLINK("https://klasma.github.io/Logging_1490/artfynd/A 57439-2024 artfynd.xlsx", "A 57439-2024")</f>
        <v/>
      </c>
      <c r="X57">
        <f>HYPERLINK("https://klasma.github.io/Logging_1490/kartor/A 57439-2024 karta.png", "A 57439-2024")</f>
        <v/>
      </c>
      <c r="Y57">
        <f>HYPERLINK("https://klasma.github.io/Logging_1490/kartor_geotiff/A 57439-2024 georefererad karta.tif", "A 57439-2024")</f>
        <v/>
      </c>
      <c r="AA57">
        <f>HYPERLINK("https://klasma.github.io/Logging_1490/klagomål/A 57439-2024 FSC-klagomål.docx", "A 57439-2024")</f>
        <v/>
      </c>
      <c r="AB57">
        <f>HYPERLINK("https://klasma.github.io/Logging_1490/klagomålsmail/A 57439-2024 FSC-klagomål mail.docx", "A 57439-2024")</f>
        <v/>
      </c>
      <c r="AC57">
        <f>HYPERLINK("https://klasma.github.io/Logging_1490/tillsyn/A 57439-2024 tillsynsbegäran.docx", "A 57439-2024")</f>
        <v/>
      </c>
      <c r="AD57">
        <f>HYPERLINK("https://klasma.github.io/Logging_1490/tillsynsmail/A 57439-2024 tillsynsbegäran mail.docx", "A 57439-2024")</f>
        <v/>
      </c>
    </row>
    <row r="58" ht="15" customHeight="1">
      <c r="A58" t="inlineStr">
        <is>
          <t>A 33140-2023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46307</v>
      </c>
      <c r="F58" t="inlineStr">
        <is>
          <t>VÄSTRA GÖTALANDS LÄN</t>
        </is>
      </c>
      <c r="G58" t="inlineStr">
        <is>
          <t>BORÅS</t>
        </is>
      </c>
      <c r="I58" t="n">
        <v>5.1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HYPERLINK("https://klasma.github.io/Logging_1490/artfynd/A 33140-2023 artfynd.xlsx", "A 33140-2023")</f>
        <v/>
      </c>
      <c r="X58">
        <f>HYPERLINK("https://klasma.github.io/Logging_1490/kartor/A 33140-2023 karta.png", "A 33140-2023")</f>
        <v/>
      </c>
      <c r="Y58">
        <f>HYPERLINK("https://klasma.github.io/Logging_1490/kartor_geotiff/A 33140-2023 georefererad karta.tif", "A 33140-2023")</f>
        <v/>
      </c>
      <c r="AA58">
        <f>HYPERLINK("https://klasma.github.io/Logging_1490/klagomål/A 33140-2023 FSC-klagomål.docx", "A 33140-2023")</f>
        <v/>
      </c>
      <c r="AB58">
        <f>HYPERLINK("https://klasma.github.io/Logging_1490/klagomålsmail/A 33140-2023 FSC-klagomål mail.docx", "A 33140-2023")</f>
        <v/>
      </c>
      <c r="AC58">
        <f>HYPERLINK("https://klasma.github.io/Logging_1490/tillsyn/A 33140-2023 tillsynsbegäran.docx", "A 33140-2023")</f>
        <v/>
      </c>
      <c r="AD58">
        <f>HYPERLINK("https://klasma.github.io/Logging_1490/tillsynsmail/A 33140-2023 tillsynsbegäran mail.docx", "A 33140-2023")</f>
        <v/>
      </c>
    </row>
    <row r="59" ht="15" customHeight="1">
      <c r="A59" t="inlineStr">
        <is>
          <t>A 23756-2025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46307</v>
      </c>
      <c r="F59" t="inlineStr">
        <is>
          <t>VÄSTRA GÖTALANDS LÄN</t>
        </is>
      </c>
      <c r="G59" t="inlineStr">
        <is>
          <t>BORÅS</t>
        </is>
      </c>
      <c r="I59" t="n">
        <v>1.9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23756-2025 artfynd.xlsx", "A 23756-2025")</f>
        <v/>
      </c>
      <c r="X59">
        <f>HYPERLINK("https://klasma.github.io/Logging_1490/kartor/A 23756-2025 karta.png", "A 23756-2025")</f>
        <v/>
      </c>
      <c r="Y59">
        <f>HYPERLINK("https://klasma.github.io/Logging_1490/kartor_geotiff/A 23756-2025 georefererad karta.tif", "A 23756-2025")</f>
        <v/>
      </c>
      <c r="AA59">
        <f>HYPERLINK("https://klasma.github.io/Logging_1490/klagomål/A 23756-2025 FSC-klagomål.docx", "A 23756-2025")</f>
        <v/>
      </c>
      <c r="AB59">
        <f>HYPERLINK("https://klasma.github.io/Logging_1490/klagomålsmail/A 23756-2025 FSC-klagomål mail.docx", "A 23756-2025")</f>
        <v/>
      </c>
      <c r="AC59">
        <f>HYPERLINK("https://klasma.github.io/Logging_1490/tillsyn/A 23756-2025 tillsynsbegäran.docx", "A 23756-2025")</f>
        <v/>
      </c>
      <c r="AD59">
        <f>HYPERLINK("https://klasma.github.io/Logging_1490/tillsynsmail/A 23756-2025 tillsynsbegäran mail.docx", "A 23756-2025")</f>
        <v/>
      </c>
      <c r="AE59">
        <f>HYPERLINK("https://klasma.github.io/Logging_1490/fåglar/A 23756-2025 prioriterade fågelarter.docx", "A 23756-2025")</f>
        <v/>
      </c>
    </row>
    <row r="60" ht="15" customHeight="1">
      <c r="A60" t="inlineStr">
        <is>
          <t>A 23755-2025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46307</v>
      </c>
      <c r="F60" t="inlineStr">
        <is>
          <t>VÄSTRA GÖTALANDS LÄN</t>
        </is>
      </c>
      <c r="G60" t="inlineStr">
        <is>
          <t>BORÅS</t>
        </is>
      </c>
      <c r="I60" t="n">
        <v>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groda</t>
        </is>
      </c>
      <c r="W60">
        <f>HYPERLINK("https://klasma.github.io/Logging_1490/artfynd/A 23755-2025 artfynd.xlsx", "A 23755-2025")</f>
        <v/>
      </c>
      <c r="X60">
        <f>HYPERLINK("https://klasma.github.io/Logging_1490/kartor/A 23755-2025 karta.png", "A 23755-2025")</f>
        <v/>
      </c>
      <c r="Y60">
        <f>HYPERLINK("https://klasma.github.io/Logging_1490/kartor_geotiff/A 23755-2025 georefererad karta.tif", "A 23755-2025")</f>
        <v/>
      </c>
      <c r="AA60">
        <f>HYPERLINK("https://klasma.github.io/Logging_1490/klagomål/A 23755-2025 FSC-klagomål.docx", "A 23755-2025")</f>
        <v/>
      </c>
      <c r="AB60">
        <f>HYPERLINK("https://klasma.github.io/Logging_1490/klagomålsmail/A 23755-2025 FSC-klagomål mail.docx", "A 23755-2025")</f>
        <v/>
      </c>
      <c r="AC60">
        <f>HYPERLINK("https://klasma.github.io/Logging_1490/tillsyn/A 23755-2025 tillsynsbegäran.docx", "A 23755-2025")</f>
        <v/>
      </c>
      <c r="AD60">
        <f>HYPERLINK("https://klasma.github.io/Logging_1490/tillsynsmail/A 23755-2025 tillsynsbegäran mail.docx", "A 23755-2025")</f>
        <v/>
      </c>
    </row>
    <row r="61" ht="15" customHeight="1">
      <c r="A61" t="inlineStr">
        <is>
          <t>A 3772-2024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46307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Vågbandad barkbock</t>
        </is>
      </c>
      <c r="W61">
        <f>HYPERLINK("https://klasma.github.io/Logging_1490/artfynd/A 3772-2024 artfynd.xlsx", "A 3772-2024")</f>
        <v/>
      </c>
      <c r="X61">
        <f>HYPERLINK("https://klasma.github.io/Logging_1490/kartor/A 3772-2024 karta.png", "A 3772-2024")</f>
        <v/>
      </c>
      <c r="Y61">
        <f>HYPERLINK("https://klasma.github.io/Logging_1490/kartor_geotiff/A 3772-2024 georefererad karta.tif", "A 3772-2024")</f>
        <v/>
      </c>
      <c r="AA61">
        <f>HYPERLINK("https://klasma.github.io/Logging_1490/klagomål/A 3772-2024 FSC-klagomål.docx", "A 3772-2024")</f>
        <v/>
      </c>
      <c r="AB61">
        <f>HYPERLINK("https://klasma.github.io/Logging_1490/klagomålsmail/A 3772-2024 FSC-klagomål mail.docx", "A 3772-2024")</f>
        <v/>
      </c>
      <c r="AC61">
        <f>HYPERLINK("https://klasma.github.io/Logging_1490/tillsyn/A 3772-2024 tillsynsbegäran.docx", "A 3772-2024")</f>
        <v/>
      </c>
      <c r="AD61">
        <f>HYPERLINK("https://klasma.github.io/Logging_1490/tillsynsmail/A 3772-2024 tillsynsbegäran mail.docx", "A 3772-2024")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46307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46307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50068-2025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46307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1.2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HYPERLINK("https://klasma.github.io/Logging_1490/artfynd/A 50068-2025 artfynd.xlsx", "A 50068-2025")</f>
        <v/>
      </c>
      <c r="X64">
        <f>HYPERLINK("https://klasma.github.io/Logging_1490/kartor/A 50068-2025 karta.png", "A 50068-2025")</f>
        <v/>
      </c>
      <c r="Y64">
        <f>HYPERLINK("https://klasma.github.io/Logging_1490/kartor_geotiff/A 50068-2025 georefererad karta.tif", "A 50068-2025")</f>
        <v/>
      </c>
      <c r="AA64">
        <f>HYPERLINK("https://klasma.github.io/Logging_1490/klagomål/A 50068-2025 FSC-klagomål.docx", "A 50068-2025")</f>
        <v/>
      </c>
      <c r="AB64">
        <f>HYPERLINK("https://klasma.github.io/Logging_1490/klagomålsmail/A 50068-2025 FSC-klagomål mail.docx", "A 50068-2025")</f>
        <v/>
      </c>
      <c r="AC64">
        <f>HYPERLINK("https://klasma.github.io/Logging_1490/tillsyn/A 50068-2025 tillsynsbegäran.docx", "A 50068-2025")</f>
        <v/>
      </c>
      <c r="AD64">
        <f>HYPERLINK("https://klasma.github.io/Logging_1490/tillsynsmail/A 50068-2025 tillsynsbegäran mail.docx", "A 50068-2025")</f>
        <v/>
      </c>
    </row>
    <row r="65" ht="15" customHeight="1">
      <c r="A65" t="inlineStr">
        <is>
          <t>A 29911-2025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46307</v>
      </c>
      <c r="F65" t="inlineStr">
        <is>
          <t>VÄSTRA GÖTALANDS LÄN</t>
        </is>
      </c>
      <c r="G65" t="inlineStr">
        <is>
          <t>BORÅS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Lönnlav</t>
        </is>
      </c>
      <c r="W65">
        <f>HYPERLINK("https://klasma.github.io/Logging_1490/artfynd/A 29911-2025 artfynd.xlsx", "A 29911-2025")</f>
        <v/>
      </c>
      <c r="X65">
        <f>HYPERLINK("https://klasma.github.io/Logging_1490/kartor/A 29911-2025 karta.png", "A 29911-2025")</f>
        <v/>
      </c>
      <c r="Y65">
        <f>HYPERLINK("https://klasma.github.io/Logging_1490/kartor_geotiff/A 29911-2025 georefererad karta.tif", "A 29911-2025")</f>
        <v/>
      </c>
      <c r="AA65">
        <f>HYPERLINK("https://klasma.github.io/Logging_1490/klagomål/A 29911-2025 FSC-klagomål.docx", "A 29911-2025")</f>
        <v/>
      </c>
      <c r="AB65">
        <f>HYPERLINK("https://klasma.github.io/Logging_1490/klagomålsmail/A 29911-2025 FSC-klagomål mail.docx", "A 29911-2025")</f>
        <v/>
      </c>
      <c r="AC65">
        <f>HYPERLINK("https://klasma.github.io/Logging_1490/tillsyn/A 29911-2025 tillsynsbegäran.docx", "A 29911-2025")</f>
        <v/>
      </c>
      <c r="AD65">
        <f>HYPERLINK("https://klasma.github.io/Logging_1490/tillsynsmail/A 29911-2025 tillsynsbegäran mail.docx", "A 29911-2025")</f>
        <v/>
      </c>
    </row>
    <row r="66" ht="15" customHeight="1">
      <c r="A66" t="inlineStr">
        <is>
          <t>A 33724-2025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45841</v>
      </c>
      <c r="E66" s="1" t="n">
        <v>46307</v>
      </c>
      <c r="F66" t="inlineStr">
        <is>
          <t>VÄSTRA GÖTALANDS LÄN</t>
        </is>
      </c>
      <c r="G66" t="inlineStr">
        <is>
          <t>BORÅS</t>
        </is>
      </c>
      <c r="I66" t="n">
        <v>0.7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HYPERLINK("https://klasma.github.io/Logging_1490/artfynd/A 33724-2025 artfynd.xlsx", "A 33724-2025")</f>
        <v/>
      </c>
      <c r="X66">
        <f>HYPERLINK("https://klasma.github.io/Logging_1490/kartor/A 33724-2025 karta.png", "A 33724-2025")</f>
        <v/>
      </c>
      <c r="Y66">
        <f>HYPERLINK("https://klasma.github.io/Logging_1490/kartor_geotiff/A 33724-2025 georefererad karta.tif", "A 33724-2025")</f>
        <v/>
      </c>
      <c r="AA66">
        <f>HYPERLINK("https://klasma.github.io/Logging_1490/klagomål/A 33724-2025 FSC-klagomål.docx", "A 33724-2025")</f>
        <v/>
      </c>
      <c r="AB66">
        <f>HYPERLINK("https://klasma.github.io/Logging_1490/klagomålsmail/A 33724-2025 FSC-klagomål mail.docx", "A 33724-2025")</f>
        <v/>
      </c>
      <c r="AC66">
        <f>HYPERLINK("https://klasma.github.io/Logging_1490/tillsyn/A 33724-2025 tillsynsbegäran.docx", "A 33724-2025")</f>
        <v/>
      </c>
      <c r="AD66">
        <f>HYPERLINK("https://klasma.github.io/Logging_1490/tillsynsmail/A 33724-2025 tillsynsbegäran mail.docx", "A 33724-2025")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46307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46307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46307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46307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46307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3760-2024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46307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6.8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Kråka</t>
        </is>
      </c>
      <c r="W72">
        <f>HYPERLINK("https://klasma.github.io/Logging_1490/artfynd/A 3760-2024 artfynd.xlsx", "A 3760-2024")</f>
        <v/>
      </c>
      <c r="X72">
        <f>HYPERLINK("https://klasma.github.io/Logging_1490/kartor/A 3760-2024 karta.png", "A 3760-2024")</f>
        <v/>
      </c>
      <c r="Y72">
        <f>HYPERLINK("https://klasma.github.io/Logging_1490/kartor_geotiff/A 3760-2024 georefererad karta.tif", "A 3760-2024")</f>
        <v/>
      </c>
      <c r="AA72">
        <f>HYPERLINK("https://klasma.github.io/Logging_1490/klagomål/A 3760-2024 FSC-klagomål.docx", "A 3760-2024")</f>
        <v/>
      </c>
      <c r="AB72">
        <f>HYPERLINK("https://klasma.github.io/Logging_1490/klagomålsmail/A 3760-2024 FSC-klagomål mail.docx", "A 3760-2024")</f>
        <v/>
      </c>
      <c r="AC72">
        <f>HYPERLINK("https://klasma.github.io/Logging_1490/tillsyn/A 3760-2024 tillsynsbegäran.docx", "A 3760-2024")</f>
        <v/>
      </c>
      <c r="AD72">
        <f>HYPERLINK("https://klasma.github.io/Logging_1490/tillsynsmail/A 3760-2024 tillsynsbegäran mail.docx", "A 3760-2024")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46307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38108-2026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46307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HYPERLINK("https://klasma.github.io/Logging_1490/artfynd/A 38108-2026 artfynd.xlsx", "A 38108-2026")</f>
        <v/>
      </c>
      <c r="X74">
        <f>HYPERLINK("https://klasma.github.io/Logging_1490/kartor/A 38108-2026 karta.png", "A 38108-2026")</f>
        <v/>
      </c>
      <c r="Y74">
        <f>HYPERLINK("https://klasma.github.io/Logging_1490/kartor_geotiff/A 38108-2026 georefererad karta.tif", "A 38108-2026")</f>
        <v/>
      </c>
      <c r="AA74">
        <f>HYPERLINK("https://klasma.github.io/Logging_1490/klagomål/A 38108-2026 FSC-klagomål.docx", "A 38108-2026")</f>
        <v/>
      </c>
      <c r="AB74">
        <f>HYPERLINK("https://klasma.github.io/Logging_1490/klagomålsmail/A 38108-2026 FSC-klagomål mail.docx", "A 38108-2026")</f>
        <v/>
      </c>
      <c r="AC74">
        <f>HYPERLINK("https://klasma.github.io/Logging_1490/tillsyn/A 38108-2026 tillsynsbegäran.docx", "A 38108-2026")</f>
        <v/>
      </c>
      <c r="AD74">
        <f>HYPERLINK("https://klasma.github.io/Logging_1490/tillsynsmail/A 38108-2026 tillsynsbegäran mail.docx", "A 38108-2026")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46307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46307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46307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46307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64665-2021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46307</v>
      </c>
      <c r="F79" t="inlineStr">
        <is>
          <t>VÄSTRA GÖTALANDS LÄN</t>
        </is>
      </c>
      <c r="G79" t="inlineStr">
        <is>
          <t>BORÅS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46307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46307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46307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46307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46307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46307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46307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46307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46307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46307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46307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46307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46307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46307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46307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46307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46307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46307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46307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46307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46307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46307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46307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46307</v>
      </c>
      <c r="F103" t="inlineStr">
        <is>
          <t>VÄSTRA GÖTALANDS LÄN</t>
        </is>
      </c>
      <c r="G103" t="inlineStr">
        <is>
          <t>BORÅS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46307</v>
      </c>
      <c r="F104" t="inlineStr">
        <is>
          <t>VÄSTRA GÖTALANDS LÄN</t>
        </is>
      </c>
      <c r="G104" t="inlineStr">
        <is>
          <t>BORÅS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44673</v>
      </c>
      <c r="E105" s="1" t="n">
        <v>46307</v>
      </c>
      <c r="F105" t="inlineStr">
        <is>
          <t>VÄSTRA GÖTALANDS LÄN</t>
        </is>
      </c>
      <c r="G105" t="inlineStr">
        <is>
          <t>BORÅS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44753</v>
      </c>
      <c r="E106" s="1" t="n">
        <v>46307</v>
      </c>
      <c r="F106" t="inlineStr">
        <is>
          <t>VÄSTRA GÖTALANDS LÄN</t>
        </is>
      </c>
      <c r="G106" t="inlineStr">
        <is>
          <t>BORÅS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46307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52307-2022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44873</v>
      </c>
      <c r="E108" s="1" t="n">
        <v>46307</v>
      </c>
      <c r="F108" t="inlineStr">
        <is>
          <t>VÄSTRA GÖTALANDS LÄN</t>
        </is>
      </c>
      <c r="G108" t="inlineStr">
        <is>
          <t>BORÅS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46307</v>
      </c>
      <c r="F109" t="inlineStr">
        <is>
          <t>VÄSTRA GÖTALANDS LÄN</t>
        </is>
      </c>
      <c r="G109" t="inlineStr">
        <is>
          <t>BORÅS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46307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44642</v>
      </c>
      <c r="E111" s="1" t="n">
        <v>46307</v>
      </c>
      <c r="F111" t="inlineStr">
        <is>
          <t>VÄSTRA GÖTALANDS LÄN</t>
        </is>
      </c>
      <c r="G111" t="inlineStr">
        <is>
          <t>BORÅS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44565</v>
      </c>
      <c r="E112" s="1" t="n">
        <v>46307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44605</v>
      </c>
      <c r="E113" s="1" t="n">
        <v>46307</v>
      </c>
      <c r="F113" t="inlineStr">
        <is>
          <t>VÄSTRA GÖTALANDS LÄN</t>
        </is>
      </c>
      <c r="G113" t="inlineStr">
        <is>
          <t>BORÅS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46307</v>
      </c>
      <c r="F114" t="inlineStr">
        <is>
          <t>VÄSTRA GÖTALANDS LÄN</t>
        </is>
      </c>
      <c r="G114" t="inlineStr">
        <is>
          <t>BORÅS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46307</v>
      </c>
      <c r="F115" t="inlineStr">
        <is>
          <t>VÄSTRA GÖTALANDS LÄN</t>
        </is>
      </c>
      <c r="G115" t="inlineStr">
        <is>
          <t>BORÅS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46307</v>
      </c>
      <c r="F116" t="inlineStr">
        <is>
          <t>VÄSTRA GÖTALANDS LÄN</t>
        </is>
      </c>
      <c r="G116" t="inlineStr">
        <is>
          <t>BORÅS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46307</v>
      </c>
      <c r="F117" t="inlineStr">
        <is>
          <t>VÄSTRA GÖTALANDS LÄN</t>
        </is>
      </c>
      <c r="G117" t="inlineStr">
        <is>
          <t>BORÅS</t>
        </is>
      </c>
      <c r="H117" t="inlineStr">
        <is>
          <t>Kyrkan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46307</v>
      </c>
      <c r="F118" t="inlineStr">
        <is>
          <t>VÄSTRA GÖTALANDS LÄN</t>
        </is>
      </c>
      <c r="G118" t="inlineStr">
        <is>
          <t>BORÅS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46307</v>
      </c>
      <c r="F119" t="inlineStr">
        <is>
          <t>VÄSTRA GÖTALANDS LÄN</t>
        </is>
      </c>
      <c r="G119" t="inlineStr">
        <is>
          <t>BORÅS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46307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46307</v>
      </c>
      <c r="F121" t="inlineStr">
        <is>
          <t>VÄSTRA GÖTALANDS LÄN</t>
        </is>
      </c>
      <c r="G121" t="inlineStr">
        <is>
          <t>BORÅS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46307</v>
      </c>
      <c r="F122" t="inlineStr">
        <is>
          <t>VÄSTRA GÖTALANDS LÄN</t>
        </is>
      </c>
      <c r="G122" t="inlineStr">
        <is>
          <t>BORÅS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46307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46307</v>
      </c>
      <c r="F124" t="inlineStr">
        <is>
          <t>VÄSTRA GÖTALANDS LÄN</t>
        </is>
      </c>
      <c r="G124" t="inlineStr">
        <is>
          <t>BORÅS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45650</v>
      </c>
      <c r="E125" s="1" t="n">
        <v>46307</v>
      </c>
      <c r="F125" t="inlineStr">
        <is>
          <t>VÄSTRA GÖTALANDS LÄN</t>
        </is>
      </c>
      <c r="G125" t="inlineStr">
        <is>
          <t>BORÅS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46307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46307</v>
      </c>
      <c r="F127" t="inlineStr">
        <is>
          <t>VÄSTRA GÖTALANDS LÄN</t>
        </is>
      </c>
      <c r="G127" t="inlineStr">
        <is>
          <t>BORÅS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46307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46307</v>
      </c>
      <c r="F129" t="inlineStr">
        <is>
          <t>VÄSTRA GÖTALANDS LÄN</t>
        </is>
      </c>
      <c r="G129" t="inlineStr">
        <is>
          <t>BORÅS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46307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46307</v>
      </c>
      <c r="F131" t="inlineStr">
        <is>
          <t>VÄSTRA GÖTALANDS LÄN</t>
        </is>
      </c>
      <c r="G131" t="inlineStr">
        <is>
          <t>BORÅS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45412</v>
      </c>
      <c r="E132" s="1" t="n">
        <v>46307</v>
      </c>
      <c r="F132" t="inlineStr">
        <is>
          <t>VÄSTRA GÖTALANDS LÄN</t>
        </is>
      </c>
      <c r="G132" t="inlineStr">
        <is>
          <t>BORÅS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45050</v>
      </c>
      <c r="E133" s="1" t="n">
        <v>46307</v>
      </c>
      <c r="F133" t="inlineStr">
        <is>
          <t>VÄSTRA GÖTALANDS LÄN</t>
        </is>
      </c>
      <c r="G133" t="inlineStr">
        <is>
          <t>BORÅS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46307</v>
      </c>
      <c r="F134" t="inlineStr">
        <is>
          <t>VÄSTRA GÖTALANDS LÄN</t>
        </is>
      </c>
      <c r="G134" t="inlineStr">
        <is>
          <t>BORÅS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46307</v>
      </c>
      <c r="F135" t="inlineStr">
        <is>
          <t>VÄSTRA GÖTALANDS LÄN</t>
        </is>
      </c>
      <c r="G135" t="inlineStr">
        <is>
          <t>BORÅS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46307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46307</v>
      </c>
      <c r="F137" t="inlineStr">
        <is>
          <t>VÄSTRA GÖTALANDS LÄN</t>
        </is>
      </c>
      <c r="G137" t="inlineStr">
        <is>
          <t>BORÅS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46307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46307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46307</v>
      </c>
      <c r="F140" t="inlineStr">
        <is>
          <t>VÄSTRA GÖTALANDS LÄN</t>
        </is>
      </c>
      <c r="G140" t="inlineStr">
        <is>
          <t>BORÅS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45727</v>
      </c>
      <c r="E141" s="1" t="n">
        <v>46307</v>
      </c>
      <c r="F141" t="inlineStr">
        <is>
          <t>VÄSTRA GÖTALANDS LÄN</t>
        </is>
      </c>
      <c r="G141" t="inlineStr">
        <is>
          <t>BORÅS</t>
        </is>
      </c>
      <c r="H141" t="inlineStr">
        <is>
          <t>Kyrkan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45421</v>
      </c>
      <c r="E142" s="1" t="n">
        <v>46307</v>
      </c>
      <c r="F142" t="inlineStr">
        <is>
          <t>VÄSTRA GÖTALANDS LÄN</t>
        </is>
      </c>
      <c r="G142" t="inlineStr">
        <is>
          <t>BORÅS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46307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24860-2022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44728</v>
      </c>
      <c r="E144" s="1" t="n">
        <v>46307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46307</v>
      </c>
      <c r="F145" t="inlineStr">
        <is>
          <t>VÄSTRA GÖTALANDS LÄN</t>
        </is>
      </c>
      <c r="G145" t="inlineStr">
        <is>
          <t>BORÅS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46307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46307</v>
      </c>
      <c r="F147" t="inlineStr">
        <is>
          <t>VÄSTRA GÖTALANDS LÄN</t>
        </is>
      </c>
      <c r="G147" t="inlineStr">
        <is>
          <t>BORÅS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46307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46307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46307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46307</v>
      </c>
      <c r="F151" t="inlineStr">
        <is>
          <t>VÄSTRA GÖTALANDS LÄN</t>
        </is>
      </c>
      <c r="G151" t="inlineStr">
        <is>
          <t>BORÅS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46307</v>
      </c>
      <c r="F152" t="inlineStr">
        <is>
          <t>VÄSTRA GÖTALANDS LÄN</t>
        </is>
      </c>
      <c r="G152" t="inlineStr">
        <is>
          <t>BORÅS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50605-2022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44866</v>
      </c>
      <c r="E153" s="1" t="n">
        <v>46307</v>
      </c>
      <c r="F153" t="inlineStr">
        <is>
          <t>VÄSTRA GÖTALANDS LÄN</t>
        </is>
      </c>
      <c r="G153" t="inlineStr">
        <is>
          <t>BORÅS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46307</v>
      </c>
      <c r="F154" t="inlineStr">
        <is>
          <t>VÄSTRA GÖTALANDS LÄN</t>
        </is>
      </c>
      <c r="G154" t="inlineStr">
        <is>
          <t>BORÅS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46307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46307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46307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46307</v>
      </c>
      <c r="F158" t="inlineStr">
        <is>
          <t>VÄSTRA GÖTALANDS LÄN</t>
        </is>
      </c>
      <c r="G158" t="inlineStr">
        <is>
          <t>BORÅS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72566-2021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44546</v>
      </c>
      <c r="E159" s="1" t="n">
        <v>46307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45412</v>
      </c>
      <c r="E160" s="1" t="n">
        <v>46307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46307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46307</v>
      </c>
      <c r="F162" t="inlineStr">
        <is>
          <t>VÄSTRA GÖTALANDS LÄN</t>
        </is>
      </c>
      <c r="G162" t="inlineStr">
        <is>
          <t>BORÅS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32482-2023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45120</v>
      </c>
      <c r="E163" s="1" t="n">
        <v>46307</v>
      </c>
      <c r="F163" t="inlineStr">
        <is>
          <t>VÄSTRA GÖTALANDS LÄN</t>
        </is>
      </c>
      <c r="G163" t="inlineStr">
        <is>
          <t>BORÅS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46307</v>
      </c>
      <c r="F164" t="inlineStr">
        <is>
          <t>VÄSTRA GÖTALANDS LÄN</t>
        </is>
      </c>
      <c r="G164" t="inlineStr">
        <is>
          <t>BORÅS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45120</v>
      </c>
      <c r="E165" s="1" t="n">
        <v>46307</v>
      </c>
      <c r="F165" t="inlineStr">
        <is>
          <t>VÄSTRA GÖTALANDS LÄN</t>
        </is>
      </c>
      <c r="G165" t="inlineStr">
        <is>
          <t>BORÅS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46307</v>
      </c>
      <c r="F166" t="inlineStr">
        <is>
          <t>VÄSTRA GÖTALANDS LÄN</t>
        </is>
      </c>
      <c r="G166" t="inlineStr">
        <is>
          <t>BORÅS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46307</v>
      </c>
      <c r="F167" t="inlineStr">
        <is>
          <t>VÄSTRA GÖTALANDS LÄN</t>
        </is>
      </c>
      <c r="G167" t="inlineStr">
        <is>
          <t>BORÅS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48358-2023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45205</v>
      </c>
      <c r="E168" s="1" t="n">
        <v>46307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46307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46307</v>
      </c>
      <c r="F170" t="inlineStr">
        <is>
          <t>VÄSTRA GÖTALANDS LÄN</t>
        </is>
      </c>
      <c r="G170" t="inlineStr">
        <is>
          <t>BORÅS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46307</v>
      </c>
      <c r="F171" t="inlineStr">
        <is>
          <t>VÄSTRA GÖTALANDS LÄN</t>
        </is>
      </c>
      <c r="G171" t="inlineStr">
        <is>
          <t>BORÅS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46307</v>
      </c>
      <c r="F172" t="inlineStr">
        <is>
          <t>VÄSTRA GÖTALANDS LÄN</t>
        </is>
      </c>
      <c r="G172" t="inlineStr">
        <is>
          <t>BORÅS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46307</v>
      </c>
      <c r="F173" t="inlineStr">
        <is>
          <t>VÄSTRA GÖTALANDS LÄN</t>
        </is>
      </c>
      <c r="G173" t="inlineStr">
        <is>
          <t>BORÅS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46307</v>
      </c>
      <c r="F174" t="inlineStr">
        <is>
          <t>VÄSTRA GÖTALANDS LÄN</t>
        </is>
      </c>
      <c r="G174" t="inlineStr">
        <is>
          <t>BORÅS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44837</v>
      </c>
      <c r="E175" s="1" t="n">
        <v>46307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46307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46307</v>
      </c>
      <c r="F177" t="inlineStr">
        <is>
          <t>VÄSTRA GÖTALANDS LÄN</t>
        </is>
      </c>
      <c r="G177" t="inlineStr">
        <is>
          <t>BORÅS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46307</v>
      </c>
      <c r="F178" t="inlineStr">
        <is>
          <t>VÄSTRA GÖTALANDS LÄN</t>
        </is>
      </c>
      <c r="G178" t="inlineStr">
        <is>
          <t>BORÅS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46307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46307</v>
      </c>
      <c r="F180" t="inlineStr">
        <is>
          <t>VÄSTRA GÖTALANDS LÄN</t>
        </is>
      </c>
      <c r="G180" t="inlineStr">
        <is>
          <t>BORÅS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46307</v>
      </c>
      <c r="F181" t="inlineStr">
        <is>
          <t>VÄSTRA GÖTALANDS LÄN</t>
        </is>
      </c>
      <c r="G181" t="inlineStr">
        <is>
          <t>BORÅS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46307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46307</v>
      </c>
      <c r="F183" t="inlineStr">
        <is>
          <t>VÄSTRA GÖTALANDS LÄN</t>
        </is>
      </c>
      <c r="G183" t="inlineStr">
        <is>
          <t>BORÅS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46307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46307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46307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46307</v>
      </c>
      <c r="F187" t="inlineStr">
        <is>
          <t>VÄSTRA GÖTALANDS LÄN</t>
        </is>
      </c>
      <c r="G187" t="inlineStr">
        <is>
          <t>BORÅS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46307</v>
      </c>
      <c r="F188" t="inlineStr">
        <is>
          <t>VÄSTRA GÖTALANDS LÄN</t>
        </is>
      </c>
      <c r="G188" t="inlineStr">
        <is>
          <t>BORÅS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44577</v>
      </c>
      <c r="E189" s="1" t="n">
        <v>46307</v>
      </c>
      <c r="F189" t="inlineStr">
        <is>
          <t>VÄSTRA GÖTALANDS LÄN</t>
        </is>
      </c>
      <c r="G189" t="inlineStr">
        <is>
          <t>BORÅS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45294</v>
      </c>
      <c r="E190" s="1" t="n">
        <v>46307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46307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46307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46307</v>
      </c>
      <c r="F193" t="inlineStr">
        <is>
          <t>VÄSTRA GÖTALANDS LÄN</t>
        </is>
      </c>
      <c r="G193" t="inlineStr">
        <is>
          <t>BORÅS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46307</v>
      </c>
      <c r="F194" t="inlineStr">
        <is>
          <t>VÄSTRA GÖTALANDS LÄN</t>
        </is>
      </c>
      <c r="G194" t="inlineStr">
        <is>
          <t>BORÅS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46307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46307</v>
      </c>
      <c r="F196" t="inlineStr">
        <is>
          <t>VÄSTRA GÖTALANDS LÄN</t>
        </is>
      </c>
      <c r="G196" t="inlineStr">
        <is>
          <t>BORÅS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46307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Kyrkan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46307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46307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46307</v>
      </c>
      <c r="F200" t="inlineStr">
        <is>
          <t>VÄSTRA GÖTALANDS LÄN</t>
        </is>
      </c>
      <c r="G200" t="inlineStr">
        <is>
          <t>BORÅS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46307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46307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46307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46307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45120</v>
      </c>
      <c r="E205" s="1" t="n">
        <v>46307</v>
      </c>
      <c r="F205" t="inlineStr">
        <is>
          <t>VÄSTRA GÖTALANDS LÄN</t>
        </is>
      </c>
      <c r="G205" t="inlineStr">
        <is>
          <t>BORÅS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11362-2022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44630</v>
      </c>
      <c r="E206" s="1" t="n">
        <v>46307</v>
      </c>
      <c r="F206" t="inlineStr">
        <is>
          <t>VÄSTRA GÖTALANDS LÄN</t>
        </is>
      </c>
      <c r="G206" t="inlineStr">
        <is>
          <t>BORÅS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46307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46307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46307</v>
      </c>
      <c r="F209" t="inlineStr">
        <is>
          <t>VÄSTRA GÖTALANDS LÄN</t>
        </is>
      </c>
      <c r="G209" t="inlineStr">
        <is>
          <t>BORÅS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46307</v>
      </c>
      <c r="F210" t="inlineStr">
        <is>
          <t>VÄSTRA GÖTALANDS LÄN</t>
        </is>
      </c>
      <c r="G210" t="inlineStr">
        <is>
          <t>BORÅS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46307</v>
      </c>
      <c r="F211" t="inlineStr">
        <is>
          <t>VÄSTRA GÖTALANDS LÄN</t>
        </is>
      </c>
      <c r="G211" t="inlineStr">
        <is>
          <t>BORÅS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46307</v>
      </c>
      <c r="F212" t="inlineStr">
        <is>
          <t>VÄSTRA GÖTALANDS LÄN</t>
        </is>
      </c>
      <c r="G212" t="inlineStr">
        <is>
          <t>BORÅS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46307</v>
      </c>
      <c r="F213" t="inlineStr">
        <is>
          <t>VÄSTRA GÖTALANDS LÄN</t>
        </is>
      </c>
      <c r="G213" t="inlineStr">
        <is>
          <t>BORÅS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46307</v>
      </c>
      <c r="F214" t="inlineStr">
        <is>
          <t>VÄSTRA GÖTALANDS LÄN</t>
        </is>
      </c>
      <c r="G214" t="inlineStr">
        <is>
          <t>BORÅS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46307</v>
      </c>
      <c r="F215" t="inlineStr">
        <is>
          <t>VÄSTRA GÖTALANDS LÄN</t>
        </is>
      </c>
      <c r="G215" t="inlineStr">
        <is>
          <t>BORÅS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46307</v>
      </c>
      <c r="F216" t="inlineStr">
        <is>
          <t>VÄSTRA GÖTALANDS LÄN</t>
        </is>
      </c>
      <c r="G216" t="inlineStr">
        <is>
          <t>BORÅS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46307</v>
      </c>
      <c r="F217" t="inlineStr">
        <is>
          <t>VÄSTRA GÖTALANDS LÄN</t>
        </is>
      </c>
      <c r="G217" t="inlineStr">
        <is>
          <t>BORÅS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45593</v>
      </c>
      <c r="E218" s="1" t="n">
        <v>46307</v>
      </c>
      <c r="F218" t="inlineStr">
        <is>
          <t>VÄSTRA GÖTALANDS LÄN</t>
        </is>
      </c>
      <c r="G218" t="inlineStr">
        <is>
          <t>BORÅS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46307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45783</v>
      </c>
      <c r="E220" s="1" t="n">
        <v>46307</v>
      </c>
      <c r="F220" t="inlineStr">
        <is>
          <t>VÄSTRA GÖTALANDS LÄN</t>
        </is>
      </c>
      <c r="G220" t="inlineStr">
        <is>
          <t>BORÅS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56684-2022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44888</v>
      </c>
      <c r="E221" s="1" t="n">
        <v>46307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Kyrkan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46307</v>
      </c>
      <c r="F222" t="inlineStr">
        <is>
          <t>VÄSTRA GÖTALANDS LÄN</t>
        </is>
      </c>
      <c r="G222" t="inlineStr">
        <is>
          <t>BORÅS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46307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46307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45611</v>
      </c>
      <c r="E225" s="1" t="n">
        <v>46307</v>
      </c>
      <c r="F225" t="inlineStr">
        <is>
          <t>VÄSTRA GÖTALANDS LÄN</t>
        </is>
      </c>
      <c r="G225" t="inlineStr">
        <is>
          <t>BORÅS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46307</v>
      </c>
      <c r="F226" t="inlineStr">
        <is>
          <t>VÄSTRA GÖTALANDS LÄN</t>
        </is>
      </c>
      <c r="G226" t="inlineStr">
        <is>
          <t>BORÅS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46307</v>
      </c>
      <c r="F227" t="inlineStr">
        <is>
          <t>VÄSTRA GÖTALANDS LÄN</t>
        </is>
      </c>
      <c r="G227" t="inlineStr">
        <is>
          <t>BORÅS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46307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46307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46307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44639</v>
      </c>
      <c r="E231" s="1" t="n">
        <v>46307</v>
      </c>
      <c r="F231" t="inlineStr">
        <is>
          <t>VÄSTRA GÖTALANDS LÄN</t>
        </is>
      </c>
      <c r="G231" t="inlineStr">
        <is>
          <t>BORÅS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46307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8240-2022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44609</v>
      </c>
      <c r="E233" s="1" t="n">
        <v>46307</v>
      </c>
      <c r="F233" t="inlineStr">
        <is>
          <t>VÄSTRA GÖTALANDS LÄN</t>
        </is>
      </c>
      <c r="G233" t="inlineStr">
        <is>
          <t>BORÅS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46307</v>
      </c>
      <c r="F234" t="inlineStr">
        <is>
          <t>VÄSTRA GÖTALANDS LÄN</t>
        </is>
      </c>
      <c r="G234" t="inlineStr">
        <is>
          <t>BORÅS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46307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46307</v>
      </c>
      <c r="F236" t="inlineStr">
        <is>
          <t>VÄSTRA GÖTALANDS LÄN</t>
        </is>
      </c>
      <c r="G236" t="inlineStr">
        <is>
          <t>BORÅS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46307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65064-2021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44515</v>
      </c>
      <c r="E238" s="1" t="n">
        <v>46307</v>
      </c>
      <c r="F238" t="inlineStr">
        <is>
          <t>VÄSTRA GÖTALANDS LÄN</t>
        </is>
      </c>
      <c r="G238" t="inlineStr">
        <is>
          <t>BORÅS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46307</v>
      </c>
      <c r="F239" t="inlineStr">
        <is>
          <t>VÄSTRA GÖTALANDS LÄN</t>
        </is>
      </c>
      <c r="G239" t="inlineStr">
        <is>
          <t>BORÅS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46307</v>
      </c>
      <c r="F240" t="inlineStr">
        <is>
          <t>VÄSTRA GÖTALANDS LÄN</t>
        </is>
      </c>
      <c r="G240" t="inlineStr">
        <is>
          <t>BORÅS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46307</v>
      </c>
      <c r="F241" t="inlineStr">
        <is>
          <t>VÄSTRA GÖTALANDS LÄN</t>
        </is>
      </c>
      <c r="G241" t="inlineStr">
        <is>
          <t>BORÅS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46307</v>
      </c>
      <c r="F242" t="inlineStr">
        <is>
          <t>VÄSTRA GÖTALANDS LÄN</t>
        </is>
      </c>
      <c r="G242" t="inlineStr">
        <is>
          <t>BORÅS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46307</v>
      </c>
      <c r="F243" t="inlineStr">
        <is>
          <t>VÄSTRA GÖTALANDS LÄN</t>
        </is>
      </c>
      <c r="G243" t="inlineStr">
        <is>
          <t>BORÅS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46307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46307</v>
      </c>
      <c r="F245" t="inlineStr">
        <is>
          <t>VÄSTRA GÖTALANDS LÄN</t>
        </is>
      </c>
      <c r="G245" t="inlineStr">
        <is>
          <t>BORÅS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46307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45104</v>
      </c>
      <c r="E247" s="1" t="n">
        <v>46307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46307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46307</v>
      </c>
      <c r="F249" t="inlineStr">
        <is>
          <t>VÄSTRA GÖTALANDS LÄN</t>
        </is>
      </c>
      <c r="G249" t="inlineStr">
        <is>
          <t>BORÅS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46307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46307</v>
      </c>
      <c r="F251" t="inlineStr">
        <is>
          <t>VÄSTRA GÖTALANDS LÄN</t>
        </is>
      </c>
      <c r="G251" t="inlineStr">
        <is>
          <t>BORÅS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46307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46307</v>
      </c>
      <c r="F253" t="inlineStr">
        <is>
          <t>VÄSTRA GÖTALANDS LÄN</t>
        </is>
      </c>
      <c r="G253" t="inlineStr">
        <is>
          <t>BORÅS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44547</v>
      </c>
      <c r="E254" s="1" t="n">
        <v>46307</v>
      </c>
      <c r="F254" t="inlineStr">
        <is>
          <t>VÄSTRA GÖTALANDS LÄN</t>
        </is>
      </c>
      <c r="G254" t="inlineStr">
        <is>
          <t>BORÅS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46307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46307</v>
      </c>
      <c r="F256" t="inlineStr">
        <is>
          <t>VÄSTRA GÖTALANDS LÄN</t>
        </is>
      </c>
      <c r="G256" t="inlineStr">
        <is>
          <t>BORÅS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46307</v>
      </c>
      <c r="F257" t="inlineStr">
        <is>
          <t>VÄSTRA GÖTALANDS LÄN</t>
        </is>
      </c>
      <c r="G257" t="inlineStr">
        <is>
          <t>BORÅS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46307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46307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46307</v>
      </c>
      <c r="F260" t="inlineStr">
        <is>
          <t>VÄSTRA GÖTALANDS LÄN</t>
        </is>
      </c>
      <c r="G260" t="inlineStr">
        <is>
          <t>BORÅS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46307</v>
      </c>
      <c r="F261" t="inlineStr">
        <is>
          <t>VÄSTRA GÖTALANDS LÄN</t>
        </is>
      </c>
      <c r="G261" t="inlineStr">
        <is>
          <t>BORÅS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46307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44941</v>
      </c>
      <c r="E263" s="1" t="n">
        <v>46307</v>
      </c>
      <c r="F263" t="inlineStr">
        <is>
          <t>VÄSTRA GÖTALANDS LÄN</t>
        </is>
      </c>
      <c r="G263" t="inlineStr">
        <is>
          <t>BORÅS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27335-2024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45472</v>
      </c>
      <c r="E264" s="1" t="n">
        <v>46307</v>
      </c>
      <c r="F264" t="inlineStr">
        <is>
          <t>VÄSTRA GÖTALANDS LÄN</t>
        </is>
      </c>
      <c r="G264" t="inlineStr">
        <is>
          <t>BORÅS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46307</v>
      </c>
      <c r="F265" t="inlineStr">
        <is>
          <t>VÄSTRA GÖTALANDS LÄN</t>
        </is>
      </c>
      <c r="G265" t="inlineStr">
        <is>
          <t>BORÅS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46307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46307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46307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46307</v>
      </c>
      <c r="F269" t="inlineStr">
        <is>
          <t>VÄSTRA GÖTALANDS LÄN</t>
        </is>
      </c>
      <c r="G269" t="inlineStr">
        <is>
          <t>BORÅS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46307</v>
      </c>
      <c r="F270" t="inlineStr">
        <is>
          <t>VÄSTRA GÖTALANDS LÄN</t>
        </is>
      </c>
      <c r="G270" t="inlineStr">
        <is>
          <t>BORÅS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46307</v>
      </c>
      <c r="F271" t="inlineStr">
        <is>
          <t>VÄSTRA GÖTALANDS LÄN</t>
        </is>
      </c>
      <c r="G271" t="inlineStr">
        <is>
          <t>BORÅS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46307</v>
      </c>
      <c r="F272" t="inlineStr">
        <is>
          <t>VÄSTRA GÖTALANDS LÄN</t>
        </is>
      </c>
      <c r="G272" t="inlineStr">
        <is>
          <t>BORÅS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44639</v>
      </c>
      <c r="E273" s="1" t="n">
        <v>46307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46307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46307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46307</v>
      </c>
      <c r="F276" t="inlineStr">
        <is>
          <t>VÄSTRA GÖTALANDS LÄN</t>
        </is>
      </c>
      <c r="G276" t="inlineStr">
        <is>
          <t>BORÅS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46307</v>
      </c>
      <c r="F277" t="inlineStr">
        <is>
          <t>VÄSTRA GÖTALANDS LÄN</t>
        </is>
      </c>
      <c r="G277" t="inlineStr">
        <is>
          <t>BORÅS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46307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46307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46307</v>
      </c>
      <c r="F280" t="inlineStr">
        <is>
          <t>VÄSTRA GÖTALANDS LÄN</t>
        </is>
      </c>
      <c r="G280" t="inlineStr">
        <is>
          <t>BORÅS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45800</v>
      </c>
      <c r="E281" s="1" t="n">
        <v>46307</v>
      </c>
      <c r="F281" t="inlineStr">
        <is>
          <t>VÄSTRA GÖTALANDS LÄN</t>
        </is>
      </c>
      <c r="G281" t="inlineStr">
        <is>
          <t>BORÅS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45351</v>
      </c>
      <c r="E282" s="1" t="n">
        <v>46307</v>
      </c>
      <c r="F282" t="inlineStr">
        <is>
          <t>VÄSTRA GÖTALANDS LÄN</t>
        </is>
      </c>
      <c r="G282" t="inlineStr">
        <is>
          <t>BORÅS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46307</v>
      </c>
      <c r="F283" t="inlineStr">
        <is>
          <t>VÄSTRA GÖTALANDS LÄN</t>
        </is>
      </c>
      <c r="G283" t="inlineStr">
        <is>
          <t>BORÅS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46307</v>
      </c>
      <c r="F284" t="inlineStr">
        <is>
          <t>VÄSTRA GÖTALANDS LÄN</t>
        </is>
      </c>
      <c r="G284" t="inlineStr">
        <is>
          <t>BORÅS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46307</v>
      </c>
      <c r="F285" t="inlineStr">
        <is>
          <t>VÄSTRA GÖTALANDS LÄN</t>
        </is>
      </c>
      <c r="G285" t="inlineStr">
        <is>
          <t>BORÅS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46307</v>
      </c>
      <c r="F286" t="inlineStr">
        <is>
          <t>VÄSTRA GÖTALANDS LÄN</t>
        </is>
      </c>
      <c r="G286" t="inlineStr">
        <is>
          <t>BORÅS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46307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44748</v>
      </c>
      <c r="E288" s="1" t="n">
        <v>46307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44740</v>
      </c>
      <c r="E289" s="1" t="n">
        <v>46307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46307</v>
      </c>
      <c r="F290" t="inlineStr">
        <is>
          <t>VÄSTRA GÖTALANDS LÄN</t>
        </is>
      </c>
      <c r="G290" t="inlineStr">
        <is>
          <t>BORÅS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46307</v>
      </c>
      <c r="F291" t="inlineStr">
        <is>
          <t>VÄSTRA GÖTALANDS LÄN</t>
        </is>
      </c>
      <c r="G291" t="inlineStr">
        <is>
          <t>BORÅS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46307</v>
      </c>
      <c r="F292" t="inlineStr">
        <is>
          <t>VÄSTRA GÖTALANDS LÄN</t>
        </is>
      </c>
      <c r="G292" t="inlineStr">
        <is>
          <t>BORÅS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46307</v>
      </c>
      <c r="F293" t="inlineStr">
        <is>
          <t>VÄSTRA GÖTALANDS LÄN</t>
        </is>
      </c>
      <c r="G293" t="inlineStr">
        <is>
          <t>BORÅS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44656</v>
      </c>
      <c r="E294" s="1" t="n">
        <v>46307</v>
      </c>
      <c r="F294" t="inlineStr">
        <is>
          <t>VÄSTRA GÖTALANDS LÄN</t>
        </is>
      </c>
      <c r="G294" t="inlineStr">
        <is>
          <t>BORÅS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46307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45812</v>
      </c>
      <c r="E296" s="1" t="n">
        <v>46307</v>
      </c>
      <c r="F296" t="inlineStr">
        <is>
          <t>VÄSTRA GÖTALANDS LÄN</t>
        </is>
      </c>
      <c r="G296" t="inlineStr">
        <is>
          <t>BORÅS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46307</v>
      </c>
      <c r="F297" t="inlineStr">
        <is>
          <t>VÄSTRA GÖTALANDS LÄN</t>
        </is>
      </c>
      <c r="G297" t="inlineStr">
        <is>
          <t>BORÅS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46307</v>
      </c>
      <c r="F298" t="inlineStr">
        <is>
          <t>VÄSTRA GÖTALANDS LÄN</t>
        </is>
      </c>
      <c r="G298" t="inlineStr">
        <is>
          <t>BORÅS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46307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46307</v>
      </c>
      <c r="F300" t="inlineStr">
        <is>
          <t>VÄSTRA GÖTALANDS LÄN</t>
        </is>
      </c>
      <c r="G300" t="inlineStr">
        <is>
          <t>BORÅS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46307</v>
      </c>
      <c r="F301" t="inlineStr">
        <is>
          <t>VÄSTRA GÖTALANDS LÄN</t>
        </is>
      </c>
      <c r="G301" t="inlineStr">
        <is>
          <t>BORÅS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46307</v>
      </c>
      <c r="F302" t="inlineStr">
        <is>
          <t>VÄSTRA GÖTALANDS LÄN</t>
        </is>
      </c>
      <c r="G302" t="inlineStr">
        <is>
          <t>BORÅS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45212</v>
      </c>
      <c r="E303" s="1" t="n">
        <v>46307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45343</v>
      </c>
      <c r="E304" s="1" t="n">
        <v>46307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46307</v>
      </c>
      <c r="F305" t="inlineStr">
        <is>
          <t>VÄSTRA GÖTALANDS LÄN</t>
        </is>
      </c>
      <c r="G305" t="inlineStr">
        <is>
          <t>BORÅS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46307</v>
      </c>
      <c r="F306" t="inlineStr">
        <is>
          <t>VÄSTRA GÖTALANDS LÄN</t>
        </is>
      </c>
      <c r="G306" t="inlineStr">
        <is>
          <t>BORÅS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46307</v>
      </c>
      <c r="F307" t="inlineStr">
        <is>
          <t>VÄSTRA GÖTALANDS LÄN</t>
        </is>
      </c>
      <c r="G307" t="inlineStr">
        <is>
          <t>BORÅS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24183-2024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45456</v>
      </c>
      <c r="E308" s="1" t="n">
        <v>46307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46307</v>
      </c>
      <c r="F309" t="inlineStr">
        <is>
          <t>VÄSTRA GÖTALANDS LÄN</t>
        </is>
      </c>
      <c r="G309" t="inlineStr">
        <is>
          <t>BORÅS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46307</v>
      </c>
      <c r="F310" t="inlineStr">
        <is>
          <t>VÄSTRA GÖTALANDS LÄN</t>
        </is>
      </c>
      <c r="G310" t="inlineStr">
        <is>
          <t>BORÅS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13436-2025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45735</v>
      </c>
      <c r="E311" s="1" t="n">
        <v>46307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28171-2022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44746</v>
      </c>
      <c r="E312" s="1" t="n">
        <v>46307</v>
      </c>
      <c r="F312" t="inlineStr">
        <is>
          <t>VÄSTRA GÖTALANDS LÄN</t>
        </is>
      </c>
      <c r="G312" t="inlineStr">
        <is>
          <t>BORÅS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46307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46307</v>
      </c>
      <c r="F314" t="inlineStr">
        <is>
          <t>VÄSTRA GÖTALANDS LÄN</t>
        </is>
      </c>
      <c r="G314" t="inlineStr">
        <is>
          <t>BORÅS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45472</v>
      </c>
      <c r="E315" s="1" t="n">
        <v>46307</v>
      </c>
      <c r="F315" t="inlineStr">
        <is>
          <t>VÄSTRA GÖTALANDS LÄN</t>
        </is>
      </c>
      <c r="G315" t="inlineStr">
        <is>
          <t>BORÅS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46307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Kyrkan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45356</v>
      </c>
      <c r="E317" s="1" t="n">
        <v>46307</v>
      </c>
      <c r="F317" t="inlineStr">
        <is>
          <t>VÄSTRA GÖTALANDS LÄN</t>
        </is>
      </c>
      <c r="G317" t="inlineStr">
        <is>
          <t>BORÅS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46307</v>
      </c>
      <c r="F318" t="inlineStr">
        <is>
          <t>VÄSTRA GÖTALANDS LÄN</t>
        </is>
      </c>
      <c r="G318" t="inlineStr">
        <is>
          <t>BORÅS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46307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45823</v>
      </c>
      <c r="E320" s="1" t="n">
        <v>46307</v>
      </c>
      <c r="F320" t="inlineStr">
        <is>
          <t>VÄSTRA GÖTALANDS LÄN</t>
        </is>
      </c>
      <c r="G320" t="inlineStr">
        <is>
          <t>BORÅS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46307</v>
      </c>
      <c r="F321" t="inlineStr">
        <is>
          <t>VÄSTRA GÖTALANDS LÄN</t>
        </is>
      </c>
      <c r="G321" t="inlineStr">
        <is>
          <t>BORÅS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46307</v>
      </c>
      <c r="F322" t="inlineStr">
        <is>
          <t>VÄSTRA GÖTALANDS LÄN</t>
        </is>
      </c>
      <c r="G322" t="inlineStr">
        <is>
          <t>BORÅS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46307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46307</v>
      </c>
      <c r="F324" t="inlineStr">
        <is>
          <t>VÄSTRA GÖTALANDS LÄN</t>
        </is>
      </c>
      <c r="G324" t="inlineStr">
        <is>
          <t>BORÅS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45126</v>
      </c>
      <c r="E325" s="1" t="n">
        <v>46307</v>
      </c>
      <c r="F325" t="inlineStr">
        <is>
          <t>VÄSTRA GÖTALANDS LÄN</t>
        </is>
      </c>
      <c r="G325" t="inlineStr">
        <is>
          <t>BORÅS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46307</v>
      </c>
      <c r="F326" t="inlineStr">
        <is>
          <t>VÄSTRA GÖTALANDS LÄN</t>
        </is>
      </c>
      <c r="G326" t="inlineStr">
        <is>
          <t>BORÅS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46307</v>
      </c>
      <c r="F327" t="inlineStr">
        <is>
          <t>VÄSTRA GÖTALANDS LÄN</t>
        </is>
      </c>
      <c r="G327" t="inlineStr">
        <is>
          <t>BORÅS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46307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46307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46307</v>
      </c>
      <c r="F330" t="inlineStr">
        <is>
          <t>VÄSTRA GÖTALANDS LÄN</t>
        </is>
      </c>
      <c r="G330" t="inlineStr">
        <is>
          <t>BORÅS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45723</v>
      </c>
      <c r="E331" s="1" t="n">
        <v>46307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46307</v>
      </c>
      <c r="F332" t="inlineStr">
        <is>
          <t>VÄSTRA GÖTALANDS LÄN</t>
        </is>
      </c>
      <c r="G332" t="inlineStr">
        <is>
          <t>BORÅS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45741</v>
      </c>
      <c r="E333" s="1" t="n">
        <v>46307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30312-2025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45827</v>
      </c>
      <c r="E334" s="1" t="n">
        <v>46307</v>
      </c>
      <c r="F334" t="inlineStr">
        <is>
          <t>VÄSTRA GÖTALANDS LÄN</t>
        </is>
      </c>
      <c r="G334" t="inlineStr">
        <is>
          <t>BORÅS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46307</v>
      </c>
      <c r="F335" t="inlineStr">
        <is>
          <t>VÄSTRA GÖTALANDS LÄN</t>
        </is>
      </c>
      <c r="G335" t="inlineStr">
        <is>
          <t>BORÅS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46307</v>
      </c>
      <c r="F336" t="inlineStr">
        <is>
          <t>VÄSTRA GÖTALANDS LÄN</t>
        </is>
      </c>
      <c r="G336" t="inlineStr">
        <is>
          <t>BORÅS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46307</v>
      </c>
      <c r="F337" t="inlineStr">
        <is>
          <t>VÄSTRA GÖTALANDS LÄN</t>
        </is>
      </c>
      <c r="G337" t="inlineStr">
        <is>
          <t>BORÅS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46307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45832</v>
      </c>
      <c r="E339" s="1" t="n">
        <v>46307</v>
      </c>
      <c r="F339" t="inlineStr">
        <is>
          <t>VÄSTRA GÖTALANDS LÄN</t>
        </is>
      </c>
      <c r="G339" t="inlineStr">
        <is>
          <t>BORÅS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46307</v>
      </c>
      <c r="F340" t="inlineStr">
        <is>
          <t>VÄSTRA GÖTALANDS LÄN</t>
        </is>
      </c>
      <c r="G340" t="inlineStr">
        <is>
          <t>BORÅS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45741</v>
      </c>
      <c r="E341" s="1" t="n">
        <v>46307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52369-2025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46307</v>
      </c>
      <c r="F342" t="inlineStr">
        <is>
          <t>VÄSTRA GÖTALANDS LÄN</t>
        </is>
      </c>
      <c r="G342" t="inlineStr">
        <is>
          <t>BORÅS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46307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46307</v>
      </c>
      <c r="F344" t="inlineStr">
        <is>
          <t>VÄSTRA GÖTALANDS LÄN</t>
        </is>
      </c>
      <c r="G344" t="inlineStr">
        <is>
          <t>BORÅS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46307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Kommuner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46307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46307</v>
      </c>
      <c r="F347" t="inlineStr">
        <is>
          <t>VÄSTRA GÖTALANDS LÄN</t>
        </is>
      </c>
      <c r="G347" t="inlineStr">
        <is>
          <t>BORÅS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46307</v>
      </c>
      <c r="F348" t="inlineStr">
        <is>
          <t>VÄSTRA GÖTALANDS LÄN</t>
        </is>
      </c>
      <c r="G348" t="inlineStr">
        <is>
          <t>BORÅS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46307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53942-2025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45961</v>
      </c>
      <c r="E350" s="1" t="n">
        <v>46307</v>
      </c>
      <c r="F350" t="inlineStr">
        <is>
          <t>VÄSTRA GÖTALANDS LÄN</t>
        </is>
      </c>
      <c r="G350" t="inlineStr">
        <is>
          <t>BORÅS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45836</v>
      </c>
      <c r="E351" s="1" t="n">
        <v>46307</v>
      </c>
      <c r="F351" t="inlineStr">
        <is>
          <t>VÄSTRA GÖTALANDS LÄN</t>
        </is>
      </c>
      <c r="G351" t="inlineStr">
        <is>
          <t>BORÅS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46307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46307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46307</v>
      </c>
      <c r="F354" t="inlineStr">
        <is>
          <t>VÄSTRA GÖTALANDS LÄN</t>
        </is>
      </c>
      <c r="G354" t="inlineStr">
        <is>
          <t>BORÅS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45839</v>
      </c>
      <c r="E355" s="1" t="n">
        <v>46307</v>
      </c>
      <c r="F355" t="inlineStr">
        <is>
          <t>VÄSTRA GÖTALANDS LÄN</t>
        </is>
      </c>
      <c r="G355" t="inlineStr">
        <is>
          <t>BORÅS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46307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46307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46307</v>
      </c>
      <c r="F358" t="inlineStr">
        <is>
          <t>VÄSTRA GÖTALANDS LÄN</t>
        </is>
      </c>
      <c r="G358" t="inlineStr">
        <is>
          <t>BORÅS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46307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46307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46307</v>
      </c>
      <c r="F361" t="inlineStr">
        <is>
          <t>VÄSTRA GÖTALANDS LÄN</t>
        </is>
      </c>
      <c r="G361" t="inlineStr">
        <is>
          <t>BORÅS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46307</v>
      </c>
      <c r="F362" t="inlineStr">
        <is>
          <t>VÄSTRA GÖTALANDS LÄN</t>
        </is>
      </c>
      <c r="G362" t="inlineStr">
        <is>
          <t>BORÅS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46307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46307</v>
      </c>
      <c r="F364" t="inlineStr">
        <is>
          <t>VÄSTRA GÖTALANDS LÄN</t>
        </is>
      </c>
      <c r="G364" t="inlineStr">
        <is>
          <t>BORÅS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46307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46307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46307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46307</v>
      </c>
      <c r="F368" t="inlineStr">
        <is>
          <t>VÄSTRA GÖTALANDS LÄN</t>
        </is>
      </c>
      <c r="G368" t="inlineStr">
        <is>
          <t>BORÅS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46307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46307</v>
      </c>
      <c r="F370" t="inlineStr">
        <is>
          <t>VÄSTRA GÖTALANDS LÄN</t>
        </is>
      </c>
      <c r="G370" t="inlineStr">
        <is>
          <t>BORÅS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46307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46307</v>
      </c>
      <c r="F372" t="inlineStr">
        <is>
          <t>VÄSTRA GÖTALANDS LÄN</t>
        </is>
      </c>
      <c r="G372" t="inlineStr">
        <is>
          <t>BORÅS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46307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46307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46307</v>
      </c>
      <c r="F375" t="inlineStr">
        <is>
          <t>VÄSTRA GÖTALANDS LÄN</t>
        </is>
      </c>
      <c r="G375" t="inlineStr">
        <is>
          <t>BORÅS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45186</v>
      </c>
      <c r="E376" s="1" t="n">
        <v>46307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46307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46307</v>
      </c>
      <c r="F378" t="inlineStr">
        <is>
          <t>VÄSTRA GÖTALANDS LÄN</t>
        </is>
      </c>
      <c r="G378" t="inlineStr">
        <is>
          <t>BORÅS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46307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56376-2025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45974</v>
      </c>
      <c r="E380" s="1" t="n">
        <v>46307</v>
      </c>
      <c r="F380" t="inlineStr">
        <is>
          <t>VÄSTRA GÖTALANDS LÄN</t>
        </is>
      </c>
      <c r="G380" t="inlineStr">
        <is>
          <t>BORÅS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46307</v>
      </c>
      <c r="F381" t="inlineStr">
        <is>
          <t>VÄSTRA GÖTALANDS LÄN</t>
        </is>
      </c>
      <c r="G381" t="inlineStr">
        <is>
          <t>BORÅS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46307</v>
      </c>
      <c r="F382" t="inlineStr">
        <is>
          <t>VÄSTRA GÖTALANDS LÄN</t>
        </is>
      </c>
      <c r="G382" t="inlineStr">
        <is>
          <t>BORÅS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45289</v>
      </c>
      <c r="E383" s="1" t="n">
        <v>46307</v>
      </c>
      <c r="F383" t="inlineStr">
        <is>
          <t>VÄSTRA GÖTALANDS LÄN</t>
        </is>
      </c>
      <c r="G383" t="inlineStr">
        <is>
          <t>BORÅS</t>
        </is>
      </c>
      <c r="I383" t="n">
        <v>12.5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46307</v>
      </c>
      <c r="F384" t="inlineStr">
        <is>
          <t>VÄSTRA GÖTALANDS LÄN</t>
        </is>
      </c>
      <c r="G384" t="inlineStr">
        <is>
          <t>BORÅS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46307</v>
      </c>
      <c r="F385" t="inlineStr">
        <is>
          <t>VÄSTRA GÖTALANDS LÄN</t>
        </is>
      </c>
      <c r="G385" t="inlineStr">
        <is>
          <t>BORÅS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45392</v>
      </c>
      <c r="E386" s="1" t="n">
        <v>46307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45225</v>
      </c>
      <c r="E387" s="1" t="n">
        <v>46307</v>
      </c>
      <c r="F387" t="inlineStr">
        <is>
          <t>VÄSTRA GÖTALANDS LÄN</t>
        </is>
      </c>
      <c r="G387" t="inlineStr">
        <is>
          <t>BORÅS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46307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44839</v>
      </c>
      <c r="E389" s="1" t="n">
        <v>46307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46307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46307</v>
      </c>
      <c r="F391" t="inlineStr">
        <is>
          <t>VÄSTRA GÖTALANDS LÄN</t>
        </is>
      </c>
      <c r="G391" t="inlineStr">
        <is>
          <t>BORÅS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45612</v>
      </c>
      <c r="E392" s="1" t="n">
        <v>46307</v>
      </c>
      <c r="F392" t="inlineStr">
        <is>
          <t>VÄSTRA GÖTALANDS LÄN</t>
        </is>
      </c>
      <c r="G392" t="inlineStr">
        <is>
          <t>BORÅS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46307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Kommuner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45510</v>
      </c>
      <c r="E394" s="1" t="n">
        <v>46307</v>
      </c>
      <c r="F394" t="inlineStr">
        <is>
          <t>VÄSTRA GÖTALANDS LÄN</t>
        </is>
      </c>
      <c r="G394" t="inlineStr">
        <is>
          <t>BORÅS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45610</v>
      </c>
      <c r="E395" s="1" t="n">
        <v>46307</v>
      </c>
      <c r="F395" t="inlineStr">
        <is>
          <t>VÄSTRA GÖTALANDS LÄN</t>
        </is>
      </c>
      <c r="G395" t="inlineStr">
        <is>
          <t>BORÅS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46307</v>
      </c>
      <c r="F396" t="inlineStr">
        <is>
          <t>VÄSTRA GÖTALANDS LÄN</t>
        </is>
      </c>
      <c r="G396" t="inlineStr">
        <is>
          <t>BORÅS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46307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44916</v>
      </c>
      <c r="E398" s="1" t="n">
        <v>46307</v>
      </c>
      <c r="F398" t="inlineStr">
        <is>
          <t>VÄSTRA GÖTALANDS LÄN</t>
        </is>
      </c>
      <c r="G398" t="inlineStr">
        <is>
          <t>BORÅS</t>
        </is>
      </c>
      <c r="I398" t="n">
        <v>9.800000000000001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43185-2024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45567</v>
      </c>
      <c r="E399" s="1" t="n">
        <v>46307</v>
      </c>
      <c r="F399" t="inlineStr">
        <is>
          <t>VÄSTRA GÖTALANDS LÄN</t>
        </is>
      </c>
      <c r="G399" t="inlineStr">
        <is>
          <t>BORÅS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46307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45294</v>
      </c>
      <c r="E401" s="1" t="n">
        <v>46307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57782-2022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46307</v>
      </c>
      <c r="F402" t="inlineStr">
        <is>
          <t>VÄSTRA GÖTALANDS LÄN</t>
        </is>
      </c>
      <c r="G402" t="inlineStr">
        <is>
          <t>BORÅS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46307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45877</v>
      </c>
      <c r="E404" s="1" t="n">
        <v>46307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46307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38674-2024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45547</v>
      </c>
      <c r="E406" s="1" t="n">
        <v>46307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58304-2025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45982</v>
      </c>
      <c r="E407" s="1" t="n">
        <v>46307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  <c r="X407">
        <f>HYPERLINK("https://klasma.github.io/Logging_1490/kartor/A 58304-2025 karta.png", "A 58304-2025")</f>
        <v/>
      </c>
      <c r="Y407">
        <f>HYPERLINK("https://klasma.github.io/Logging_1490/kartor_geotiff/A 58304-2025 georefererad karta.tif", "A 58304-2025")</f>
        <v/>
      </c>
      <c r="AA407">
        <f>HYPERLINK("https://klasma.github.io/Logging_1490/klagomål/A 58304-2025 FSC-klagomål.docx", "A 58304-2025")</f>
        <v/>
      </c>
      <c r="AB407">
        <f>HYPERLINK("https://klasma.github.io/Logging_1490/klagomålsmail/A 58304-2025 FSC-klagomål mail.docx", "A 58304-2025")</f>
        <v/>
      </c>
      <c r="AC407">
        <f>HYPERLINK("https://klasma.github.io/Logging_1490/tillsyn/A 58304-2025 tillsynsbegäran.docx", "A 58304-2025")</f>
        <v/>
      </c>
      <c r="AD407">
        <f>HYPERLINK("https://klasma.github.io/Logging_1490/tillsynsmail/A 58304-2025 tillsynsbegäran mail.docx", "A 58304-2025")</f>
        <v/>
      </c>
    </row>
    <row r="408" ht="15" customHeight="1">
      <c r="A408" t="inlineStr">
        <is>
          <t>A 63169-2023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45273</v>
      </c>
      <c r="E408" s="1" t="n">
        <v>46307</v>
      </c>
      <c r="F408" t="inlineStr">
        <is>
          <t>VÄSTRA GÖTALANDS LÄN</t>
        </is>
      </c>
      <c r="G408" t="inlineStr">
        <is>
          <t>BORÅS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46307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46307</v>
      </c>
      <c r="F410" t="inlineStr">
        <is>
          <t>VÄSTRA GÖTALANDS LÄN</t>
        </is>
      </c>
      <c r="G410" t="inlineStr">
        <is>
          <t>BORÅS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44506-2023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45189</v>
      </c>
      <c r="E411" s="1" t="n">
        <v>46307</v>
      </c>
      <c r="F411" t="inlineStr">
        <is>
          <t>VÄSTRA GÖTALANDS LÄN</t>
        </is>
      </c>
      <c r="G411" t="inlineStr">
        <is>
          <t>BORÅS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45548</v>
      </c>
      <c r="E412" s="1" t="n">
        <v>46307</v>
      </c>
      <c r="F412" t="inlineStr">
        <is>
          <t>VÄSTRA GÖTALANDS LÄN</t>
        </is>
      </c>
      <c r="G412" t="inlineStr">
        <is>
          <t>BORÅS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46307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46307</v>
      </c>
      <c r="F414" t="inlineStr">
        <is>
          <t>VÄSTRA GÖTALANDS LÄN</t>
        </is>
      </c>
      <c r="G414" t="inlineStr">
        <is>
          <t>BORÅS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46307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46307</v>
      </c>
      <c r="F416" t="inlineStr">
        <is>
          <t>VÄSTRA GÖTALANDS LÄN</t>
        </is>
      </c>
      <c r="G416" t="inlineStr">
        <is>
          <t>BORÅS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46307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46307</v>
      </c>
      <c r="F418" t="inlineStr">
        <is>
          <t>VÄSTRA GÖTALANDS LÄN</t>
        </is>
      </c>
      <c r="G418" t="inlineStr">
        <is>
          <t>BORÅS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52410-2023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45224</v>
      </c>
      <c r="E419" s="1" t="n">
        <v>46307</v>
      </c>
      <c r="F419" t="inlineStr">
        <is>
          <t>VÄSTRA GÖTALANDS LÄN</t>
        </is>
      </c>
      <c r="G419" t="inlineStr">
        <is>
          <t>BORÅS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44854</v>
      </c>
      <c r="E420" s="1" t="n">
        <v>46307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46307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44949</v>
      </c>
      <c r="E422" s="1" t="n">
        <v>46307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44866</v>
      </c>
      <c r="E423" s="1" t="n">
        <v>46307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46307</v>
      </c>
      <c r="F424" t="inlineStr">
        <is>
          <t>VÄSTRA GÖTALANDS LÄN</t>
        </is>
      </c>
      <c r="G424" t="inlineStr">
        <is>
          <t>BORÅS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54871-2022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46307</v>
      </c>
      <c r="F425" t="inlineStr">
        <is>
          <t>VÄSTRA GÖTALANDS LÄN</t>
        </is>
      </c>
      <c r="G425" t="inlineStr">
        <is>
          <t>BORÅS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54878-2022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46307</v>
      </c>
      <c r="F426" t="inlineStr">
        <is>
          <t>VÄSTRA GÖTALANDS LÄN</t>
        </is>
      </c>
      <c r="G426" t="inlineStr">
        <is>
          <t>BORÅS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46382-2023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45197</v>
      </c>
      <c r="E427" s="1" t="n">
        <v>46307</v>
      </c>
      <c r="F427" t="inlineStr">
        <is>
          <t>VÄSTRA GÖTALANDS LÄN</t>
        </is>
      </c>
      <c r="G427" t="inlineStr">
        <is>
          <t>BORÅS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45180</v>
      </c>
      <c r="E428" s="1" t="n">
        <v>46307</v>
      </c>
      <c r="F428" t="inlineStr">
        <is>
          <t>VÄSTRA GÖTALANDS LÄN</t>
        </is>
      </c>
      <c r="G428" t="inlineStr">
        <is>
          <t>BORÅS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46307</v>
      </c>
      <c r="F429" t="inlineStr">
        <is>
          <t>VÄSTRA GÖTALANDS LÄN</t>
        </is>
      </c>
      <c r="G429" t="inlineStr">
        <is>
          <t>BORÅS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44964</v>
      </c>
      <c r="E430" s="1" t="n">
        <v>46307</v>
      </c>
      <c r="F430" t="inlineStr">
        <is>
          <t>VÄSTRA GÖTALANDS LÄN</t>
        </is>
      </c>
      <c r="G430" t="inlineStr">
        <is>
          <t>BORÅS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46307</v>
      </c>
      <c r="F431" t="inlineStr">
        <is>
          <t>VÄSTRA GÖTALANDS LÄN</t>
        </is>
      </c>
      <c r="G431" t="inlineStr">
        <is>
          <t>BORÅS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45053</v>
      </c>
      <c r="E432" s="1" t="n">
        <v>46307</v>
      </c>
      <c r="F432" t="inlineStr">
        <is>
          <t>VÄSTRA GÖTALANDS LÄN</t>
        </is>
      </c>
      <c r="G432" t="inlineStr">
        <is>
          <t>BORÅS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46307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46105</v>
      </c>
      <c r="E434" s="1" t="n">
        <v>46307</v>
      </c>
      <c r="F434" t="inlineStr">
        <is>
          <t>VÄSTRA GÖTALANDS LÄN</t>
        </is>
      </c>
      <c r="G434" t="inlineStr">
        <is>
          <t>BORÅS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46307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46307</v>
      </c>
      <c r="F436" t="inlineStr">
        <is>
          <t>VÄSTRA GÖTALANDS LÄN</t>
        </is>
      </c>
      <c r="G436" t="inlineStr">
        <is>
          <t>BORÅS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44875</v>
      </c>
      <c r="E437" s="1" t="n">
        <v>46307</v>
      </c>
      <c r="F437" t="inlineStr">
        <is>
          <t>VÄSTRA GÖTALANDS LÄN</t>
        </is>
      </c>
      <c r="G437" t="inlineStr">
        <is>
          <t>BORÅS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45561</v>
      </c>
      <c r="E438" s="1" t="n">
        <v>46307</v>
      </c>
      <c r="F438" t="inlineStr">
        <is>
          <t>VÄSTRA GÖTALANDS LÄN</t>
        </is>
      </c>
      <c r="G438" t="inlineStr">
        <is>
          <t>BORÅS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46307</v>
      </c>
      <c r="F439" t="inlineStr">
        <is>
          <t>VÄSTRA GÖTALANDS LÄN</t>
        </is>
      </c>
      <c r="G439" t="inlineStr">
        <is>
          <t>BORÅS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46307</v>
      </c>
      <c r="F440" t="inlineStr">
        <is>
          <t>VÄSTRA GÖTALANDS LÄN</t>
        </is>
      </c>
      <c r="G440" t="inlineStr">
        <is>
          <t>BORÅS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46307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46307</v>
      </c>
      <c r="F442" t="inlineStr">
        <is>
          <t>VÄSTRA GÖTALANDS LÄN</t>
        </is>
      </c>
      <c r="G442" t="inlineStr">
        <is>
          <t>BORÅS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46307</v>
      </c>
      <c r="F443" t="inlineStr">
        <is>
          <t>VÄSTRA GÖTALANDS LÄN</t>
        </is>
      </c>
      <c r="G443" t="inlineStr">
        <is>
          <t>BORÅS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46307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46307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60931-2022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44914</v>
      </c>
      <c r="E446" s="1" t="n">
        <v>46307</v>
      </c>
      <c r="F446" t="inlineStr">
        <is>
          <t>VÄSTRA GÖTALANDS LÄN</t>
        </is>
      </c>
      <c r="G446" t="inlineStr">
        <is>
          <t>BORÅS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45769</v>
      </c>
      <c r="E447" s="1" t="n">
        <v>46307</v>
      </c>
      <c r="F447" t="inlineStr">
        <is>
          <t>VÄSTRA GÖTALANDS LÄN</t>
        </is>
      </c>
      <c r="G447" t="inlineStr">
        <is>
          <t>BORÅS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46307</v>
      </c>
      <c r="F448" t="inlineStr">
        <is>
          <t>VÄSTRA GÖTALANDS LÄN</t>
        </is>
      </c>
      <c r="G448" t="inlineStr">
        <is>
          <t>BORÅS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46307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46307</v>
      </c>
      <c r="F450" t="inlineStr">
        <is>
          <t>VÄSTRA GÖTALANDS LÄN</t>
        </is>
      </c>
      <c r="G450" t="inlineStr">
        <is>
          <t>BORÅS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45994</v>
      </c>
      <c r="E451" s="1" t="n">
        <v>46307</v>
      </c>
      <c r="F451" t="inlineStr">
        <is>
          <t>VÄSTRA GÖTALANDS LÄN</t>
        </is>
      </c>
      <c r="G451" t="inlineStr">
        <is>
          <t>BORÅS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45994</v>
      </c>
      <c r="E452" s="1" t="n">
        <v>46307</v>
      </c>
      <c r="F452" t="inlineStr">
        <is>
          <t>VÄSTRA GÖTALANDS LÄN</t>
        </is>
      </c>
      <c r="G452" t="inlineStr">
        <is>
          <t>BORÅS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17234-2026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46119</v>
      </c>
      <c r="E453" s="1" t="n">
        <v>46307</v>
      </c>
      <c r="F453" t="inlineStr">
        <is>
          <t>VÄSTRA GÖTALANDS LÄN</t>
        </is>
      </c>
      <c r="G453" t="inlineStr">
        <is>
          <t>BORÅS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58734-2021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44489</v>
      </c>
      <c r="E454" s="1" t="n">
        <v>46307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46307</v>
      </c>
      <c r="F455" t="inlineStr">
        <is>
          <t>VÄSTRA GÖTALANDS LÄN</t>
        </is>
      </c>
      <c r="G455" t="inlineStr">
        <is>
          <t>BORÅS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44995</v>
      </c>
      <c r="E456" s="1" t="n">
        <v>46307</v>
      </c>
      <c r="F456" t="inlineStr">
        <is>
          <t>VÄSTRA GÖTALANDS LÄN</t>
        </is>
      </c>
      <c r="G456" t="inlineStr">
        <is>
          <t>BORÅS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60617-2025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45996</v>
      </c>
      <c r="E457" s="1" t="n">
        <v>46307</v>
      </c>
      <c r="F457" t="inlineStr">
        <is>
          <t>VÄSTRA GÖTALANDS LÄN</t>
        </is>
      </c>
      <c r="G457" t="inlineStr">
        <is>
          <t>BORÅS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46307</v>
      </c>
      <c r="F458" t="inlineStr">
        <is>
          <t>VÄSTRA GÖTALANDS LÄN</t>
        </is>
      </c>
      <c r="G458" t="inlineStr">
        <is>
          <t>BORÅS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46128</v>
      </c>
      <c r="E459" s="1" t="n">
        <v>46307</v>
      </c>
      <c r="F459" t="inlineStr">
        <is>
          <t>VÄSTRA GÖTALANDS LÄN</t>
        </is>
      </c>
      <c r="G459" t="inlineStr">
        <is>
          <t>BORÅS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44592</v>
      </c>
      <c r="E460" s="1" t="n">
        <v>46307</v>
      </c>
      <c r="F460" t="inlineStr">
        <is>
          <t>VÄSTRA GÖTALANDS LÄN</t>
        </is>
      </c>
      <c r="G460" t="inlineStr">
        <is>
          <t>BORÅS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45048</v>
      </c>
      <c r="E461" s="1" t="n">
        <v>46307</v>
      </c>
      <c r="F461" t="inlineStr">
        <is>
          <t>VÄSTRA GÖTALANDS LÄN</t>
        </is>
      </c>
      <c r="G461" t="inlineStr">
        <is>
          <t>BORÅS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45301</v>
      </c>
      <c r="E462" s="1" t="n">
        <v>46307</v>
      </c>
      <c r="F462" t="inlineStr">
        <is>
          <t>VÄSTRA GÖTALANDS LÄN</t>
        </is>
      </c>
      <c r="G462" t="inlineStr">
        <is>
          <t>BORÅS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31213-2022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44771</v>
      </c>
      <c r="E463" s="1" t="n">
        <v>46307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45546</v>
      </c>
      <c r="E464" s="1" t="n">
        <v>46307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48711-2024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45593</v>
      </c>
      <c r="E465" s="1" t="n">
        <v>46307</v>
      </c>
      <c r="F465" t="inlineStr">
        <is>
          <t>VÄSTRA GÖTALANDS LÄN</t>
        </is>
      </c>
      <c r="G465" t="inlineStr">
        <is>
          <t>BORÅS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46307</v>
      </c>
      <c r="F466" t="inlineStr">
        <is>
          <t>VÄSTRA GÖTALANDS LÄN</t>
        </is>
      </c>
      <c r="G466" t="inlineStr">
        <is>
          <t>BORÅS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46307</v>
      </c>
      <c r="F467" t="inlineStr">
        <is>
          <t>VÄSTRA GÖTALANDS LÄN</t>
        </is>
      </c>
      <c r="G467" t="inlineStr">
        <is>
          <t>BORÅS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2008-2024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45308</v>
      </c>
      <c r="E468" s="1" t="n">
        <v>46307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44656</v>
      </c>
      <c r="E469" s="1" t="n">
        <v>46307</v>
      </c>
      <c r="F469" t="inlineStr">
        <is>
          <t>VÄSTRA GÖTALANDS LÄN</t>
        </is>
      </c>
      <c r="G469" t="inlineStr">
        <is>
          <t>BORÅS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46307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Kommuner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46307</v>
      </c>
      <c r="F471" t="inlineStr">
        <is>
          <t>VÄSTRA GÖTALANDS LÄN</t>
        </is>
      </c>
      <c r="G471" t="inlineStr">
        <is>
          <t>BORÅS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46307</v>
      </c>
      <c r="F472" t="inlineStr">
        <is>
          <t>VÄSTRA GÖTALANDS LÄN</t>
        </is>
      </c>
      <c r="G472" t="inlineStr">
        <is>
          <t>BORÅS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46307</v>
      </c>
      <c r="F473" t="inlineStr">
        <is>
          <t>VÄSTRA GÖTALANDS LÄN</t>
        </is>
      </c>
      <c r="G473" t="inlineStr">
        <is>
          <t>BORÅS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4757-2025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45688</v>
      </c>
      <c r="E474" s="1" t="n">
        <v>46307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46307</v>
      </c>
      <c r="F475" t="inlineStr">
        <is>
          <t>VÄSTRA GÖTALANDS LÄN</t>
        </is>
      </c>
      <c r="G475" t="inlineStr">
        <is>
          <t>BORÅS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45701</v>
      </c>
      <c r="E476" s="1" t="n">
        <v>46307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45713</v>
      </c>
      <c r="E477" s="1" t="n">
        <v>46307</v>
      </c>
      <c r="F477" t="inlineStr">
        <is>
          <t>VÄSTRA GÖTALANDS LÄN</t>
        </is>
      </c>
      <c r="G477" t="inlineStr">
        <is>
          <t>BORÅS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46307</v>
      </c>
      <c r="F478" t="inlineStr">
        <is>
          <t>VÄSTRA GÖTALANDS LÄN</t>
        </is>
      </c>
      <c r="G478" t="inlineStr">
        <is>
          <t>BORÅS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46307</v>
      </c>
      <c r="F479" t="inlineStr">
        <is>
          <t>VÄSTRA GÖTALANDS LÄN</t>
        </is>
      </c>
      <c r="G479" t="inlineStr">
        <is>
          <t>BORÅS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45699</v>
      </c>
      <c r="E480" s="1" t="n">
        <v>46307</v>
      </c>
      <c r="F480" t="inlineStr">
        <is>
          <t>VÄSTRA GÖTALANDS LÄN</t>
        </is>
      </c>
      <c r="G480" t="inlineStr">
        <is>
          <t>BORÅS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46307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70988-2021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44538</v>
      </c>
      <c r="E482" s="1" t="n">
        <v>46307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45176</v>
      </c>
      <c r="E483" s="1" t="n">
        <v>46307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46307</v>
      </c>
      <c r="F484" t="inlineStr">
        <is>
          <t>VÄSTRA GÖTALANDS LÄN</t>
        </is>
      </c>
      <c r="G484" t="inlineStr">
        <is>
          <t>BORÅS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21739-2026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46147</v>
      </c>
      <c r="E485" s="1" t="n">
        <v>46307</v>
      </c>
      <c r="F485" t="inlineStr">
        <is>
          <t>VÄSTRA GÖTALANDS LÄN</t>
        </is>
      </c>
      <c r="G485" t="inlineStr">
        <is>
          <t>BORÅS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45863</v>
      </c>
      <c r="E486" s="1" t="n">
        <v>46307</v>
      </c>
      <c r="F486" t="inlineStr">
        <is>
          <t>VÄSTRA GÖTALANDS LÄN</t>
        </is>
      </c>
      <c r="G486" t="inlineStr">
        <is>
          <t>BORÅS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45855</v>
      </c>
      <c r="E487" s="1" t="n">
        <v>46307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31940-2024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45510</v>
      </c>
      <c r="E488" s="1" t="n">
        <v>46307</v>
      </c>
      <c r="F488" t="inlineStr">
        <is>
          <t>VÄSTRA GÖTALANDS LÄN</t>
        </is>
      </c>
      <c r="G488" t="inlineStr">
        <is>
          <t>BORÅS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46307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44958</v>
      </c>
      <c r="E490" s="1" t="n">
        <v>46307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46307</v>
      </c>
      <c r="F491" t="inlineStr">
        <is>
          <t>VÄSTRA GÖTALANDS LÄN</t>
        </is>
      </c>
      <c r="G491" t="inlineStr">
        <is>
          <t>BORÅS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46307</v>
      </c>
      <c r="F492" t="inlineStr">
        <is>
          <t>VÄSTRA GÖTALANDS LÄN</t>
        </is>
      </c>
      <c r="G492" t="inlineStr">
        <is>
          <t>BORÅS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46307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46307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45953</v>
      </c>
      <c r="E495" s="1" t="n">
        <v>46307</v>
      </c>
      <c r="F495" t="inlineStr">
        <is>
          <t>VÄSTRA GÖTALANDS LÄN</t>
        </is>
      </c>
      <c r="G495" t="inlineStr">
        <is>
          <t>BORÅS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46307</v>
      </c>
      <c r="F496" t="inlineStr">
        <is>
          <t>VÄSTRA GÖTALANDS LÄN</t>
        </is>
      </c>
      <c r="G496" t="inlineStr">
        <is>
          <t>BORÅS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46307</v>
      </c>
      <c r="F497" t="inlineStr">
        <is>
          <t>VÄSTRA GÖTALANDS LÄN</t>
        </is>
      </c>
      <c r="G497" t="inlineStr">
        <is>
          <t>BORÅS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46307</v>
      </c>
      <c r="F498" t="inlineStr">
        <is>
          <t>VÄSTRA GÖTALANDS LÄN</t>
        </is>
      </c>
      <c r="G498" t="inlineStr">
        <is>
          <t>BORÅS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45805</v>
      </c>
      <c r="E499" s="1" t="n">
        <v>46307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46307</v>
      </c>
      <c r="F500" t="inlineStr">
        <is>
          <t>VÄSTRA GÖTALANDS LÄN</t>
        </is>
      </c>
      <c r="G500" t="inlineStr">
        <is>
          <t>BORÅS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46307</v>
      </c>
      <c r="F501" t="inlineStr">
        <is>
          <t>VÄSTRA GÖTALANDS LÄN</t>
        </is>
      </c>
      <c r="G501" t="inlineStr">
        <is>
          <t>BORÅS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45842</v>
      </c>
      <c r="E502" s="1" t="n">
        <v>46307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46307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46307</v>
      </c>
      <c r="F504" t="inlineStr">
        <is>
          <t>VÄSTRA GÖTALANDS LÄN</t>
        </is>
      </c>
      <c r="G504" t="inlineStr">
        <is>
          <t>BORÅS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46307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45870</v>
      </c>
      <c r="E506" s="1" t="n">
        <v>46307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46307</v>
      </c>
      <c r="F507" t="inlineStr">
        <is>
          <t>VÄSTRA GÖTALANDS LÄN</t>
        </is>
      </c>
      <c r="G507" t="inlineStr">
        <is>
          <t>BORÅS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46307</v>
      </c>
      <c r="F508" t="inlineStr">
        <is>
          <t>VÄSTRA GÖTALANDS LÄN</t>
        </is>
      </c>
      <c r="G508" t="inlineStr">
        <is>
          <t>BORÅS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46307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45870</v>
      </c>
      <c r="E510" s="1" t="n">
        <v>46307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46307</v>
      </c>
      <c r="F511" t="inlineStr">
        <is>
          <t>VÄSTRA GÖTALANDS LÄN</t>
        </is>
      </c>
      <c r="G511" t="inlineStr">
        <is>
          <t>BORÅS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46574-2022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44848</v>
      </c>
      <c r="E512" s="1" t="n">
        <v>46307</v>
      </c>
      <c r="F512" t="inlineStr">
        <is>
          <t>VÄSTRA GÖTALANDS LÄN</t>
        </is>
      </c>
      <c r="G512" t="inlineStr">
        <is>
          <t>BORÅS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27334-2024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45472</v>
      </c>
      <c r="E513" s="1" t="n">
        <v>46307</v>
      </c>
      <c r="F513" t="inlineStr">
        <is>
          <t>VÄSTRA GÖTALANDS LÄN</t>
        </is>
      </c>
      <c r="G513" t="inlineStr">
        <is>
          <t>BORÅS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45525</v>
      </c>
      <c r="E514" s="1" t="n">
        <v>46307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55146-2025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46307</v>
      </c>
      <c r="F515" t="inlineStr">
        <is>
          <t>VÄSTRA GÖTALANDS LÄN</t>
        </is>
      </c>
      <c r="G515" t="inlineStr">
        <is>
          <t>BORÅS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46307</v>
      </c>
      <c r="F516" t="inlineStr">
        <is>
          <t>VÄSTRA GÖTALANDS LÄN</t>
        </is>
      </c>
      <c r="G516" t="inlineStr">
        <is>
          <t>BORÅS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45050</v>
      </c>
      <c r="E517" s="1" t="n">
        <v>46307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46307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46307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46307</v>
      </c>
      <c r="F520" t="inlineStr">
        <is>
          <t>VÄSTRA GÖTALANDS LÄN</t>
        </is>
      </c>
      <c r="G520" t="inlineStr">
        <is>
          <t>BORÅS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20653-2026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46141</v>
      </c>
      <c r="E521" s="1" t="n">
        <v>46307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20279-2026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46136</v>
      </c>
      <c r="E522" s="1" t="n">
        <v>46307</v>
      </c>
      <c r="F522" t="inlineStr">
        <is>
          <t>VÄSTRA GÖTALANDS LÄN</t>
        </is>
      </c>
      <c r="G522" t="inlineStr">
        <is>
          <t>BORÅS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48449-2025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45935</v>
      </c>
      <c r="E523" s="1" t="n">
        <v>46307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46307</v>
      </c>
      <c r="F524" t="inlineStr">
        <is>
          <t>VÄSTRA GÖTALANDS LÄN</t>
        </is>
      </c>
      <c r="G524" t="inlineStr">
        <is>
          <t>BORÅS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46307</v>
      </c>
      <c r="F525" t="inlineStr">
        <is>
          <t>VÄSTRA GÖTALANDS LÄN</t>
        </is>
      </c>
      <c r="G525" t="inlineStr">
        <is>
          <t>BORÅS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46307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46307</v>
      </c>
      <c r="F527" t="inlineStr">
        <is>
          <t>VÄSTRA GÖTALANDS LÄN</t>
        </is>
      </c>
      <c r="G527" t="inlineStr">
        <is>
          <t>BORÅS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46307</v>
      </c>
      <c r="F528" t="inlineStr">
        <is>
          <t>VÄSTRA GÖTALANDS LÄN</t>
        </is>
      </c>
      <c r="G528" t="inlineStr">
        <is>
          <t>BORÅS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46307</v>
      </c>
      <c r="F529" t="inlineStr">
        <is>
          <t>VÄSTRA GÖTALANDS LÄN</t>
        </is>
      </c>
      <c r="G529" t="inlineStr">
        <is>
          <t>BORÅS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46307</v>
      </c>
      <c r="F530" t="inlineStr">
        <is>
          <t>VÄSTRA GÖTALANDS LÄN</t>
        </is>
      </c>
      <c r="G530" t="inlineStr">
        <is>
          <t>BORÅS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46307</v>
      </c>
      <c r="F531" t="inlineStr">
        <is>
          <t>VÄSTRA GÖTALANDS LÄN</t>
        </is>
      </c>
      <c r="G531" t="inlineStr">
        <is>
          <t>BORÅS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22371-2026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46307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46307</v>
      </c>
      <c r="F533" t="inlineStr">
        <is>
          <t>VÄSTRA GÖTALANDS LÄN</t>
        </is>
      </c>
      <c r="G533" t="inlineStr">
        <is>
          <t>BORÅS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46307</v>
      </c>
      <c r="F534" t="inlineStr">
        <is>
          <t>VÄSTRA GÖTALANDS LÄN</t>
        </is>
      </c>
      <c r="G534" t="inlineStr">
        <is>
          <t>BORÅS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46307</v>
      </c>
      <c r="F535" t="inlineStr">
        <is>
          <t>VÄSTRA GÖTALANDS LÄN</t>
        </is>
      </c>
      <c r="G535" t="inlineStr">
        <is>
          <t>BORÅS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46307</v>
      </c>
      <c r="F536" t="inlineStr">
        <is>
          <t>VÄSTRA GÖTALANDS LÄN</t>
        </is>
      </c>
      <c r="G536" t="inlineStr">
        <is>
          <t>BORÅS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46307</v>
      </c>
      <c r="F537" t="inlineStr">
        <is>
          <t>VÄSTRA GÖTALANDS LÄN</t>
        </is>
      </c>
      <c r="G537" t="inlineStr">
        <is>
          <t>BORÅS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45337</v>
      </c>
      <c r="E538" s="1" t="n">
        <v>46307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12635-2026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46091</v>
      </c>
      <c r="E539" s="1" t="n">
        <v>46307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46307</v>
      </c>
      <c r="F540" t="inlineStr">
        <is>
          <t>VÄSTRA GÖTALANDS LÄN</t>
        </is>
      </c>
      <c r="G540" t="inlineStr">
        <is>
          <t>BORÅS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46307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44825</v>
      </c>
      <c r="E542" s="1" t="n">
        <v>46307</v>
      </c>
      <c r="F542" t="inlineStr">
        <is>
          <t>VÄSTRA GÖTALANDS LÄN</t>
        </is>
      </c>
      <c r="G542" t="inlineStr">
        <is>
          <t>BORÅS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44782-2025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45917</v>
      </c>
      <c r="E543" s="1" t="n">
        <v>46307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34195-2025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45845</v>
      </c>
      <c r="E544" s="1" t="n">
        <v>46307</v>
      </c>
      <c r="F544" t="inlineStr">
        <is>
          <t>VÄSTRA GÖTALANDS LÄN</t>
        </is>
      </c>
      <c r="G544" t="inlineStr">
        <is>
          <t>BORÅS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25238-2026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46175</v>
      </c>
      <c r="E545" s="1" t="n">
        <v>46307</v>
      </c>
      <c r="F545" t="inlineStr">
        <is>
          <t>VÄSTRA GÖTALANDS LÄN</t>
        </is>
      </c>
      <c r="G545" t="inlineStr">
        <is>
          <t>BORÅS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46176</v>
      </c>
      <c r="E546" s="1" t="n">
        <v>46307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46307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Kyrkan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46307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46307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46307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Kyrkan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46307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46307</v>
      </c>
      <c r="F552" t="inlineStr">
        <is>
          <t>VÄSTRA GÖTALANDS LÄN</t>
        </is>
      </c>
      <c r="G552" t="inlineStr">
        <is>
          <t>BORÅS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46307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46307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46307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46307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46307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Kyrkan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46307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46307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46307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46307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46307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29606-2026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46307</v>
      </c>
      <c r="F563" t="inlineStr">
        <is>
          <t>VÄSTRA GÖTALANDS LÄN</t>
        </is>
      </c>
      <c r="G563" t="inlineStr">
        <is>
          <t>BORÅS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46307</v>
      </c>
      <c r="F564" t="inlineStr">
        <is>
          <t>VÄSTRA GÖTALANDS LÄN</t>
        </is>
      </c>
      <c r="G564" t="inlineStr">
        <is>
          <t>BORÅS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46307</v>
      </c>
      <c r="F565" t="inlineStr">
        <is>
          <t>VÄSTRA GÖTALANDS LÄN</t>
        </is>
      </c>
      <c r="G565" t="inlineStr">
        <is>
          <t>BORÅS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46217</v>
      </c>
      <c r="E566" s="1" t="n">
        <v>46307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46307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46216</v>
      </c>
      <c r="E568" s="1" t="n">
        <v>46307</v>
      </c>
      <c r="F568" t="inlineStr">
        <is>
          <t>VÄSTRA GÖTALANDS LÄN</t>
        </is>
      </c>
      <c r="G568" t="inlineStr">
        <is>
          <t>BORÅS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46307</v>
      </c>
      <c r="F569" t="inlineStr">
        <is>
          <t>VÄSTRA GÖTALANDS LÄN</t>
        </is>
      </c>
      <c r="G569" t="inlineStr">
        <is>
          <t>BORÅS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36405-2026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46307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46307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46307</v>
      </c>
      <c r="F572" t="inlineStr">
        <is>
          <t>VÄSTRA GÖTALANDS LÄN</t>
        </is>
      </c>
      <c r="G572" t="inlineStr">
        <is>
          <t>BORÅS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46224</v>
      </c>
      <c r="E573" s="1" t="n">
        <v>46307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46307</v>
      </c>
      <c r="F574" t="inlineStr">
        <is>
          <t>VÄSTRA GÖTALANDS LÄN</t>
        </is>
      </c>
      <c r="G574" t="inlineStr">
        <is>
          <t>BORÅS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46307</v>
      </c>
      <c r="F575" t="inlineStr">
        <is>
          <t>VÄSTRA GÖTALANDS LÄN</t>
        </is>
      </c>
      <c r="G575" t="inlineStr">
        <is>
          <t>BORÅS</t>
        </is>
      </c>
      <c r="H575" t="inlineStr">
        <is>
          <t>Kommuner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46307</v>
      </c>
      <c r="F576" t="inlineStr">
        <is>
          <t>VÄSTRA GÖTALANDS LÄN</t>
        </is>
      </c>
      <c r="G576" t="inlineStr">
        <is>
          <t>BORÅS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46307</v>
      </c>
      <c r="F577" t="inlineStr">
        <is>
          <t>VÄSTRA GÖTALANDS LÄN</t>
        </is>
      </c>
      <c r="G577" t="inlineStr">
        <is>
          <t>BORÅS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46287</v>
      </c>
      <c r="E578" s="1" t="n">
        <v>46307</v>
      </c>
      <c r="F578" t="inlineStr">
        <is>
          <t>VÄSTRA GÖTALANDS LÄN</t>
        </is>
      </c>
      <c r="G578" t="inlineStr">
        <is>
          <t>BORÅS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45895</v>
      </c>
      <c r="E579" s="1" t="n">
        <v>46307</v>
      </c>
      <c r="F579" t="inlineStr">
        <is>
          <t>VÄSTRA GÖTALANDS LÄN</t>
        </is>
      </c>
      <c r="G579" t="inlineStr">
        <is>
          <t>BORÅS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46307</v>
      </c>
      <c r="F580" t="inlineStr">
        <is>
          <t>VÄSTRA GÖTALANDS LÄN</t>
        </is>
      </c>
      <c r="G580" t="inlineStr">
        <is>
          <t>BORÅS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45792</v>
      </c>
      <c r="E581" s="1" t="n">
        <v>46307</v>
      </c>
      <c r="F581" t="inlineStr">
        <is>
          <t>VÄSTRA GÖTALANDS LÄN</t>
        </is>
      </c>
      <c r="G581" t="inlineStr">
        <is>
          <t>BORÅS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46246</v>
      </c>
      <c r="E582" s="1" t="n">
        <v>46307</v>
      </c>
      <c r="F582" t="inlineStr">
        <is>
          <t>VÄSTRA GÖTALANDS LÄN</t>
        </is>
      </c>
      <c r="G582" t="inlineStr">
        <is>
          <t>BORÅS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46307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46289</v>
      </c>
      <c r="E584" s="1" t="n">
        <v>46307</v>
      </c>
      <c r="F584" t="inlineStr">
        <is>
          <t>VÄSTRA GÖTALANDS LÄN</t>
        </is>
      </c>
      <c r="G584" t="inlineStr">
        <is>
          <t>BORÅS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45720</v>
      </c>
      <c r="E585" s="1" t="n">
        <v>46307</v>
      </c>
      <c r="F585" t="inlineStr">
        <is>
          <t>VÄSTRA GÖTALANDS LÄN</t>
        </is>
      </c>
      <c r="G585" t="inlineStr">
        <is>
          <t>BORÅS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46307</v>
      </c>
      <c r="F586" t="inlineStr">
        <is>
          <t>VÄSTRA GÖTALANDS LÄN</t>
        </is>
      </c>
      <c r="G586" t="inlineStr">
        <is>
          <t>BORÅS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46307</v>
      </c>
      <c r="F587" t="inlineStr">
        <is>
          <t>VÄSTRA GÖTALANDS LÄN</t>
        </is>
      </c>
      <c r="G587" t="inlineStr">
        <is>
          <t>BORÅS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46307</v>
      </c>
      <c r="F588" t="inlineStr">
        <is>
          <t>VÄSTRA GÖTALANDS LÄN</t>
        </is>
      </c>
      <c r="G588" t="inlineStr">
        <is>
          <t>BORÅS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46307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46307</v>
      </c>
      <c r="F590" t="inlineStr">
        <is>
          <t>VÄSTRA GÖTALANDS LÄN</t>
        </is>
      </c>
      <c r="G590" t="inlineStr">
        <is>
          <t>BORÅS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46307</v>
      </c>
      <c r="F591" t="inlineStr">
        <is>
          <t>VÄSTRA GÖTALANDS LÄN</t>
        </is>
      </c>
      <c r="G591" t="inlineStr">
        <is>
          <t>BORÅS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46307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46295</v>
      </c>
      <c r="E593" s="1" t="n">
        <v>46307</v>
      </c>
      <c r="F593" t="inlineStr">
        <is>
          <t>VÄSTRA GÖTALANDS LÄN</t>
        </is>
      </c>
      <c r="G593" t="inlineStr">
        <is>
          <t>BORÅS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49081-2025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45937</v>
      </c>
      <c r="E594" s="1" t="n">
        <v>46307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46307</v>
      </c>
      <c r="F595" t="inlineStr">
        <is>
          <t>VÄSTRA GÖTALANDS LÄN</t>
        </is>
      </c>
      <c r="G595" t="inlineStr">
        <is>
          <t>BORÅS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46307</v>
      </c>
      <c r="F596" t="inlineStr">
        <is>
          <t>VÄSTRA GÖTALANDS LÄN</t>
        </is>
      </c>
      <c r="G596" t="inlineStr">
        <is>
          <t>BORÅS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46307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46307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45294</v>
      </c>
      <c r="E599" s="1" t="n">
        <v>46307</v>
      </c>
      <c r="F599" t="inlineStr">
        <is>
          <t>VÄSTRA GÖTALANDS LÄN</t>
        </is>
      </c>
      <c r="G599" t="inlineStr">
        <is>
          <t>BORÅS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46307</v>
      </c>
      <c r="F600" t="inlineStr">
        <is>
          <t>VÄSTRA GÖTALANDS LÄN</t>
        </is>
      </c>
      <c r="G600" t="inlineStr">
        <is>
          <t>BORÅS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46307</v>
      </c>
      <c r="F601" t="inlineStr">
        <is>
          <t>VÄSTRA GÖTALANDS LÄN</t>
        </is>
      </c>
      <c r="G601" t="inlineStr">
        <is>
          <t>BORÅS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45308</v>
      </c>
      <c r="E602" s="1" t="n">
        <v>46307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46307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46307</v>
      </c>
      <c r="F604" t="inlineStr">
        <is>
          <t>VÄSTRA GÖTALANDS LÄN</t>
        </is>
      </c>
      <c r="G604" t="inlineStr">
        <is>
          <t>BORÅS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46303</v>
      </c>
      <c r="E605" s="1" t="n">
        <v>46307</v>
      </c>
      <c r="F605" t="inlineStr">
        <is>
          <t>VÄSTRA GÖTALANDS LÄN</t>
        </is>
      </c>
      <c r="G605" t="inlineStr">
        <is>
          <t>BORÅS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46303</v>
      </c>
      <c r="E606" s="1" t="n">
        <v>46307</v>
      </c>
      <c r="F606" t="inlineStr">
        <is>
          <t>VÄSTRA GÖTALANDS LÄN</t>
        </is>
      </c>
      <c r="G606" t="inlineStr">
        <is>
          <t>BORÅS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46307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46307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46260</v>
      </c>
      <c r="E609" s="1" t="n">
        <v>46307</v>
      </c>
      <c r="F609" t="inlineStr">
        <is>
          <t>VÄSTRA GÖTALANDS LÄN</t>
        </is>
      </c>
      <c r="G609" t="inlineStr">
        <is>
          <t>BORÅS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46307</v>
      </c>
      <c r="F610" t="inlineStr">
        <is>
          <t>VÄSTRA GÖTALANDS LÄN</t>
        </is>
      </c>
      <c r="G610" t="inlineStr">
        <is>
          <t>BORÅS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46307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46307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46307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46307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46307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2978-2023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45174</v>
      </c>
      <c r="E616" s="1" t="n">
        <v>46307</v>
      </c>
      <c r="F616" t="inlineStr">
        <is>
          <t>VÄSTRA GÖTALANDS LÄN</t>
        </is>
      </c>
      <c r="G616" t="inlineStr">
        <is>
          <t>BORÅS</t>
        </is>
      </c>
      <c r="I616" t="n">
        <v>65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4414-2022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44785</v>
      </c>
      <c r="E617" s="1" t="n">
        <v>46307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1019-2023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45008</v>
      </c>
      <c r="E618" s="1" t="n">
        <v>46307</v>
      </c>
      <c r="F618" t="inlineStr">
        <is>
          <t>VÄSTRA GÖTALANDS LÄN</t>
        </is>
      </c>
      <c r="G618" t="inlineStr">
        <is>
          <t>BORÅS</t>
        </is>
      </c>
      <c r="I618" t="n">
        <v>18.4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46307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46307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46307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46307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46307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46307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46307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46307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1800-2025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46307</v>
      </c>
      <c r="F627" t="inlineStr">
        <is>
          <t>VÄSTRA GÖTALANDS LÄN</t>
        </is>
      </c>
      <c r="G627" t="inlineStr">
        <is>
          <t>BORÅS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1640-2024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45429</v>
      </c>
      <c r="E628" s="1" t="n">
        <v>46307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1979-2025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45831</v>
      </c>
      <c r="E629" s="1" t="n">
        <v>46307</v>
      </c>
      <c r="F629" t="inlineStr">
        <is>
          <t>VÄSTRA GÖTALANDS LÄN</t>
        </is>
      </c>
      <c r="G629" t="inlineStr">
        <is>
          <t>BORÅS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2374-2025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45890</v>
      </c>
      <c r="E630" s="1" t="n">
        <v>46307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3201-2025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45979</v>
      </c>
      <c r="E631" s="1" t="n">
        <v>46307</v>
      </c>
      <c r="F631" t="inlineStr">
        <is>
          <t>VÄSTRA GÖTALANDS LÄN</t>
        </is>
      </c>
      <c r="G631" t="inlineStr">
        <is>
          <t>BORÅS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944-2025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46307</v>
      </c>
      <c r="F632" t="inlineStr">
        <is>
          <t>VÄSTRA GÖTALANDS LÄN</t>
        </is>
      </c>
      <c r="G632" t="inlineStr">
        <is>
          <t>BORÅS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943-2025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46307</v>
      </c>
      <c r="F633" t="inlineStr">
        <is>
          <t>VÄSTRA GÖTALANDS LÄN</t>
        </is>
      </c>
      <c r="G633" t="inlineStr">
        <is>
          <t>BORÅS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2453-2023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45127</v>
      </c>
      <c r="E634" s="1" t="n">
        <v>46307</v>
      </c>
      <c r="F634" t="inlineStr">
        <is>
          <t>VÄSTRA GÖTALANDS LÄN</t>
        </is>
      </c>
      <c r="G634" t="inlineStr">
        <is>
          <t>BORÅS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46073</v>
      </c>
      <c r="E635" s="1" t="n">
        <v>46307</v>
      </c>
      <c r="F635" t="inlineStr">
        <is>
          <t>VÄSTRA GÖTALANDS LÄN</t>
        </is>
      </c>
      <c r="G635" t="inlineStr">
        <is>
          <t>BORÅS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560-2026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46083</v>
      </c>
      <c r="E636" s="1" t="n">
        <v>46307</v>
      </c>
      <c r="F636" t="inlineStr">
        <is>
          <t>VÄSTRA GÖTALANDS LÄN</t>
        </is>
      </c>
      <c r="G636" t="inlineStr">
        <is>
          <t>BORÅS</t>
        </is>
      </c>
      <c r="I636" t="n">
        <v>17.6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2026-10-12T02:00:38Z</dcterms:created>
  <dcterms:modified xmlns:dcterms="http://purl.org/dc/terms/" xmlns:xsi="http://www.w3.org/2001/XMLSchema-instance" xsi:type="dcterms:W3CDTF">2026-10-12T02:00:39Z</dcterms:modified>
</cp:coreProperties>
</file>