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46279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46279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46279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46279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46279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46279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46279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46279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46279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46279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46279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46279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46279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46279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46279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28586-2022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44748</v>
      </c>
      <c r="E18" s="1" t="n">
        <v>46279</v>
      </c>
      <c r="F18" t="inlineStr">
        <is>
          <t>VÄSTRA GÖTALANDS LÄN</t>
        </is>
      </c>
      <c r="G18" t="inlineStr">
        <is>
          <t>BORÅS</t>
        </is>
      </c>
      <c r="H18" t="inlineStr">
        <is>
          <t>Kommuner</t>
        </is>
      </c>
      <c r="I18" t="n">
        <v>4.9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Tallriska
Talltita
Brandticka</t>
        </is>
      </c>
      <c r="W18">
        <f>HYPERLINK("https://klasma.github.io/Logging_1490/artfynd/A 28586-2022 artfynd.xlsx", "A 28586-2022")</f>
        <v/>
      </c>
      <c r="X18">
        <f>HYPERLINK("https://klasma.github.io/Logging_1490/kartor/A 28586-2022 karta.png", "A 28586-2022")</f>
        <v/>
      </c>
      <c r="Y18">
        <f>HYPERLINK("https://klasma.github.io/Logging_1490/kartor_geotiff/A 28586-2022 georefererad karta.tif", "A 28586-2022")</f>
        <v/>
      </c>
      <c r="AA18">
        <f>HYPERLINK("https://klasma.github.io/Logging_1490/klagomål/A 28586-2022 FSC-klagomål.docx", "A 28586-2022")</f>
        <v/>
      </c>
      <c r="AB18">
        <f>HYPERLINK("https://klasma.github.io/Logging_1490/klagomålsmail/A 28586-2022 FSC-klagomål mail.docx", "A 28586-2022")</f>
        <v/>
      </c>
      <c r="AC18">
        <f>HYPERLINK("https://klasma.github.io/Logging_1490/tillsyn/A 28586-2022 tillsynsbegäran.docx", "A 28586-2022")</f>
        <v/>
      </c>
      <c r="AD18">
        <f>HYPERLINK("https://klasma.github.io/Logging_1490/tillsynsmail/A 28586-2022 tillsynsbegäran mail.docx", "A 28586-2022")</f>
        <v/>
      </c>
      <c r="AE18">
        <f>HYPERLINK("https://klasma.github.io/Logging_1490/fåglar/A 28586-2022 prioriterade fågelarter.docx", "A 28586-2022")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46279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58304-2025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45982</v>
      </c>
      <c r="E20" s="1" t="n">
        <v>46279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0.3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Brunfläckig pärlemorfjäril
Bårdlav
Fällmossa</t>
        </is>
      </c>
      <c r="W20">
        <f>HYPERLINK("https://klasma.github.io/Logging_1490/artfynd/A 58304-2025 artfynd.xlsx", "A 58304-2025")</f>
        <v/>
      </c>
      <c r="X20">
        <f>HYPERLINK("https://klasma.github.io/Logging_1490/kartor/A 58304-2025 karta.png", "A 58304-2025")</f>
        <v/>
      </c>
      <c r="Y20">
        <f>HYPERLINK("https://klasma.github.io/Logging_1490/kartor_geotiff/A 58304-2025 georefererad karta.tif", "A 58304-2025")</f>
        <v/>
      </c>
      <c r="AA20">
        <f>HYPERLINK("https://klasma.github.io/Logging_1490/klagomål/A 58304-2025 FSC-klagomål.docx", "A 58304-2025")</f>
        <v/>
      </c>
      <c r="AB20">
        <f>HYPERLINK("https://klasma.github.io/Logging_1490/klagomålsmail/A 58304-2025 FSC-klagomål mail.docx", "A 58304-2025")</f>
        <v/>
      </c>
      <c r="AC20">
        <f>HYPERLINK("https://klasma.github.io/Logging_1490/tillsyn/A 58304-2025 tillsynsbegäran.docx", "A 58304-2025")</f>
        <v/>
      </c>
      <c r="AD20">
        <f>HYPERLINK("https://klasma.github.io/Logging_1490/tillsynsmail/A 58304-2025 tillsynsbegäran mail.docx", "A 58304-2025")</f>
        <v/>
      </c>
    </row>
    <row r="21" ht="15" customHeight="1">
      <c r="A21" t="inlineStr">
        <is>
          <t>A 51423-2024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45604</v>
      </c>
      <c r="E21" s="1" t="n">
        <v>46279</v>
      </c>
      <c r="F21" t="inlineStr">
        <is>
          <t>VÄSTRA GÖTALANDS LÄN</t>
        </is>
      </c>
      <c r="G21" t="inlineStr">
        <is>
          <t>BORÅS</t>
        </is>
      </c>
      <c r="I21" t="n">
        <v>1.7</v>
      </c>
      <c r="J21" t="n">
        <v>3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11</v>
      </c>
      <c r="U21" t="n">
        <v>9</v>
      </c>
      <c r="V21" s="2" t="inlineStr">
        <is>
          <t>Knärot
Huggorm
Nattviol</t>
        </is>
      </c>
      <c r="W21">
        <f>HYPERLINK("https://klasma.github.io/Logging_1490/artfynd/A 51423-2024 artfynd.xlsx", "A 51423-2024")</f>
        <v/>
      </c>
      <c r="X21">
        <f>HYPERLINK("https://klasma.github.io/Logging_1490/kartor/A 51423-2024 karta.png", "A 51423-2024")</f>
        <v/>
      </c>
      <c r="Y21">
        <f>HYPERLINK("https://klasma.github.io/Logging_1490/kartor_geotiff/A 51423-2024 georefererad karta.tif", "A 51423-2024")</f>
        <v/>
      </c>
      <c r="Z21">
        <f>HYPERLINK("https://klasma.github.io/Logging_1490/knärot/A 51423-2024 karta knärot.png", "A 51423-2024")</f>
        <v/>
      </c>
      <c r="AA21">
        <f>HYPERLINK("https://klasma.github.io/Logging_1490/klagomål/A 51423-2024 FSC-klagomål.docx", "A 51423-2024")</f>
        <v/>
      </c>
      <c r="AB21">
        <f>HYPERLINK("https://klasma.github.io/Logging_1490/klagomålsmail/A 51423-2024 FSC-klagomål mail.docx", "A 51423-2024")</f>
        <v/>
      </c>
      <c r="AC21">
        <f>HYPERLINK("https://klasma.github.io/Logging_1490/tillsyn/A 51423-2024 tillsynsbegäran.docx", "A 51423-2024")</f>
        <v/>
      </c>
      <c r="AD21">
        <f>HYPERLINK("https://klasma.github.io/Logging_1490/tillsynsmail/A 51423-2024 tillsynsbegäran mail.docx", "A 51423-2024")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46279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46279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46279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46279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46279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46279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46279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46279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46279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55712-2021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46279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3.6</v>
      </c>
      <c r="J31" t="n">
        <v>1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1</v>
      </c>
      <c r="V31" s="2" t="inlineStr">
        <is>
          <t>Skogsalm
Knärot</t>
        </is>
      </c>
      <c r="W31">
        <f>HYPERLINK("https://klasma.github.io/Logging_1490/artfynd/A 55712-2021 artfynd.xlsx", "A 55712-2021")</f>
        <v/>
      </c>
      <c r="X31">
        <f>HYPERLINK("https://klasma.github.io/Logging_1490/kartor/A 55712-2021 karta.png", "A 55712-2021")</f>
        <v/>
      </c>
      <c r="Y31">
        <f>HYPERLINK("https://klasma.github.io/Logging_1490/kartor_geotiff/A 55712-2021 georefererad karta.tif", "A 55712-2021")</f>
        <v/>
      </c>
      <c r="Z31">
        <f>HYPERLINK("https://klasma.github.io/Logging_1490/knärot/A 55712-2021 karta knärot.png", "A 55712-2021")</f>
        <v/>
      </c>
      <c r="AA31">
        <f>HYPERLINK("https://klasma.github.io/Logging_1490/klagomål/A 55712-2021 FSC-klagomål.docx", "A 55712-2021")</f>
        <v/>
      </c>
      <c r="AB31">
        <f>HYPERLINK("https://klasma.github.io/Logging_1490/klagomålsmail/A 55712-2021 FSC-klagomål mail.docx", "A 55712-2021")</f>
        <v/>
      </c>
      <c r="AC31">
        <f>HYPERLINK("https://klasma.github.io/Logging_1490/tillsyn/A 55712-2021 tillsynsbegäran.docx", "A 55712-2021")</f>
        <v/>
      </c>
      <c r="AD31">
        <f>HYPERLINK("https://klasma.github.io/Logging_1490/tillsynsmail/A 55712-2021 tillsynsbegäran mail.docx", "A 55712-2021")</f>
        <v/>
      </c>
    </row>
    <row r="32" ht="15" customHeight="1">
      <c r="A32" t="inlineStr">
        <is>
          <t>A 11373-2022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44630</v>
      </c>
      <c r="E32" s="1" t="n">
        <v>46279</v>
      </c>
      <c r="F32" t="inlineStr">
        <is>
          <t>VÄSTRA GÖTALANDS LÄN</t>
        </is>
      </c>
      <c r="G32" t="inlineStr">
        <is>
          <t>BORÅS</t>
        </is>
      </c>
      <c r="I32" t="n">
        <v>7.8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Spillkråka
Åkergroda</t>
        </is>
      </c>
      <c r="W32">
        <f>HYPERLINK("https://klasma.github.io/Logging_1490/artfynd/A 11373-2022 artfynd.xlsx", "A 11373-2022")</f>
        <v/>
      </c>
      <c r="X32">
        <f>HYPERLINK("https://klasma.github.io/Logging_1490/kartor/A 11373-2022 karta.png", "A 11373-2022")</f>
        <v/>
      </c>
      <c r="Y32">
        <f>HYPERLINK("https://klasma.github.io/Logging_1490/kartor_geotiff/A 11373-2022 georefererad karta.tif", "A 11373-2022")</f>
        <v/>
      </c>
      <c r="AA32">
        <f>HYPERLINK("https://klasma.github.io/Logging_1490/klagomål/A 11373-2022 FSC-klagomål.docx", "A 11373-2022")</f>
        <v/>
      </c>
      <c r="AB32">
        <f>HYPERLINK("https://klasma.github.io/Logging_1490/klagomålsmail/A 11373-2022 FSC-klagomål mail.docx", "A 11373-2022")</f>
        <v/>
      </c>
      <c r="AC32">
        <f>HYPERLINK("https://klasma.github.io/Logging_1490/tillsyn/A 11373-2022 tillsynsbegäran.docx", "A 11373-2022")</f>
        <v/>
      </c>
      <c r="AD32">
        <f>HYPERLINK("https://klasma.github.io/Logging_1490/tillsynsmail/A 11373-2022 tillsynsbegäran mail.docx", "A 11373-2022")</f>
        <v/>
      </c>
      <c r="AE32">
        <f>HYPERLINK("https://klasma.github.io/Logging_1490/fåglar/A 11373-2022 prioriterade fågelarter.docx", "A 11373-2022")</f>
        <v/>
      </c>
    </row>
    <row r="33" ht="15" customHeight="1">
      <c r="A33" t="inlineStr">
        <is>
          <t>A 34341-2025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46279</v>
      </c>
      <c r="F33" t="inlineStr">
        <is>
          <t>VÄSTRA GÖTALANDS LÄN</t>
        </is>
      </c>
      <c r="G33" t="inlineStr">
        <is>
          <t>BORÅS</t>
        </is>
      </c>
      <c r="I33" t="n">
        <v>2.7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Svavelriska
Nattskärra</t>
        </is>
      </c>
      <c r="W33">
        <f>HYPERLINK("https://klasma.github.io/Logging_1490/artfynd/A 34341-2025 artfynd.xlsx", "A 34341-2025")</f>
        <v/>
      </c>
      <c r="X33">
        <f>HYPERLINK("https://klasma.github.io/Logging_1490/kartor/A 34341-2025 karta.png", "A 34341-2025")</f>
        <v/>
      </c>
      <c r="Y33">
        <f>HYPERLINK("https://klasma.github.io/Logging_1490/kartor_geotiff/A 34341-2025 georefererad karta.tif", "A 34341-2025")</f>
        <v/>
      </c>
      <c r="AA33">
        <f>HYPERLINK("https://klasma.github.io/Logging_1490/klagomål/A 34341-2025 FSC-klagomål.docx", "A 34341-2025")</f>
        <v/>
      </c>
      <c r="AB33">
        <f>HYPERLINK("https://klasma.github.io/Logging_1490/klagomålsmail/A 34341-2025 FSC-klagomål mail.docx", "A 34341-2025")</f>
        <v/>
      </c>
      <c r="AC33">
        <f>HYPERLINK("https://klasma.github.io/Logging_1490/tillsyn/A 34341-2025 tillsynsbegäran.docx", "A 34341-2025")</f>
        <v/>
      </c>
      <c r="AD33">
        <f>HYPERLINK("https://klasma.github.io/Logging_1490/tillsynsmail/A 34341-2025 tillsynsbegäran mail.docx", "A 34341-2025")</f>
        <v/>
      </c>
      <c r="AE33">
        <f>HYPERLINK("https://klasma.github.io/Logging_1490/fåglar/A 34341-2025 prioriterade fågelarter.docx", "A 34341-2025")</f>
        <v/>
      </c>
    </row>
    <row r="34" ht="15" customHeight="1">
      <c r="A34" t="inlineStr">
        <is>
          <t>A 36260-2025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45867</v>
      </c>
      <c r="E34" s="1" t="n">
        <v>46279</v>
      </c>
      <c r="F34" t="inlineStr">
        <is>
          <t>VÄSTRA GÖTALANDS LÄN</t>
        </is>
      </c>
      <c r="G34" t="inlineStr">
        <is>
          <t>BORÅS</t>
        </is>
      </c>
      <c r="I34" t="n">
        <v>0.8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Fällmossa
Guldlockmossa</t>
        </is>
      </c>
      <c r="W34">
        <f>HYPERLINK("https://klasma.github.io/Logging_1490/artfynd/A 36260-2025 artfynd.xlsx", "A 36260-2025")</f>
        <v/>
      </c>
      <c r="X34">
        <f>HYPERLINK("https://klasma.github.io/Logging_1490/kartor/A 36260-2025 karta.png", "A 36260-2025")</f>
        <v/>
      </c>
      <c r="Y34">
        <f>HYPERLINK("https://klasma.github.io/Logging_1490/kartor_geotiff/A 36260-2025 georefererad karta.tif", "A 36260-2025")</f>
        <v/>
      </c>
      <c r="AA34">
        <f>HYPERLINK("https://klasma.github.io/Logging_1490/klagomål/A 36260-2025 FSC-klagomål.docx", "A 36260-2025")</f>
        <v/>
      </c>
      <c r="AB34">
        <f>HYPERLINK("https://klasma.github.io/Logging_1490/klagomålsmail/A 36260-2025 FSC-klagomål mail.docx", "A 36260-2025")</f>
        <v/>
      </c>
      <c r="AC34">
        <f>HYPERLINK("https://klasma.github.io/Logging_1490/tillsyn/A 36260-2025 tillsynsbegäran.docx", "A 36260-2025")</f>
        <v/>
      </c>
      <c r="AD34">
        <f>HYPERLINK("https://klasma.github.io/Logging_1490/tillsynsmail/A 36260-2025 tillsynsbegäran mail.docx", "A 36260-2025")</f>
        <v/>
      </c>
    </row>
    <row r="35" ht="15" customHeight="1">
      <c r="A35" t="inlineStr">
        <is>
          <t>A 32027-2023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46279</v>
      </c>
      <c r="F35" t="inlineStr">
        <is>
          <t>VÄSTRA GÖTALANDS LÄN</t>
        </is>
      </c>
      <c r="G35" t="inlineStr">
        <is>
          <t>BORÅS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Lopplummer (aggregat)
Revlummer</t>
        </is>
      </c>
      <c r="W35">
        <f>HYPERLINK("https://klasma.github.io/Logging_1490/artfynd/A 32027-2023 artfynd.xlsx", "A 32027-2023")</f>
        <v/>
      </c>
      <c r="X35">
        <f>HYPERLINK("https://klasma.github.io/Logging_1490/kartor/A 32027-2023 karta.png", "A 32027-2023")</f>
        <v/>
      </c>
      <c r="Y35">
        <f>HYPERLINK("https://klasma.github.io/Logging_1490/kartor_geotiff/A 32027-2023 georefererad karta.tif", "A 32027-2023")</f>
        <v/>
      </c>
      <c r="AA35">
        <f>HYPERLINK("https://klasma.github.io/Logging_1490/klagomål/A 32027-2023 FSC-klagomål.docx", "A 32027-2023")</f>
        <v/>
      </c>
      <c r="AB35">
        <f>HYPERLINK("https://klasma.github.io/Logging_1490/klagomålsmail/A 32027-2023 FSC-klagomål mail.docx", "A 32027-2023")</f>
        <v/>
      </c>
      <c r="AC35">
        <f>HYPERLINK("https://klasma.github.io/Logging_1490/tillsyn/A 32027-2023 tillsynsbegäran.docx", "A 32027-2023")</f>
        <v/>
      </c>
      <c r="AD35">
        <f>HYPERLINK("https://klasma.github.io/Logging_1490/tillsynsmail/A 32027-2023 tillsynsbegäran mail.docx", "A 32027-2023")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46279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46279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46279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36545-2023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46279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Kattfotslav
Revlummer</t>
        </is>
      </c>
      <c r="W39">
        <f>HYPERLINK("https://klasma.github.io/Logging_1490/artfynd/A 36545-2023 artfynd.xlsx", "A 36545-2023")</f>
        <v/>
      </c>
      <c r="X39">
        <f>HYPERLINK("https://klasma.github.io/Logging_1490/kartor/A 36545-2023 karta.png", "A 36545-2023")</f>
        <v/>
      </c>
      <c r="Y39">
        <f>HYPERLINK("https://klasma.github.io/Logging_1490/kartor_geotiff/A 36545-2023 georefererad karta.tif", "A 36545-2023")</f>
        <v/>
      </c>
      <c r="AA39">
        <f>HYPERLINK("https://klasma.github.io/Logging_1490/klagomål/A 36545-2023 FSC-klagomål.docx", "A 36545-2023")</f>
        <v/>
      </c>
      <c r="AB39">
        <f>HYPERLINK("https://klasma.github.io/Logging_1490/klagomålsmail/A 36545-2023 FSC-klagomål mail.docx", "A 36545-2023")</f>
        <v/>
      </c>
      <c r="AC39">
        <f>HYPERLINK("https://klasma.github.io/Logging_1490/tillsyn/A 36545-2023 tillsynsbegäran.docx", "A 36545-2023")</f>
        <v/>
      </c>
      <c r="AD39">
        <f>HYPERLINK("https://klasma.github.io/Logging_1490/tillsynsmail/A 36545-2023 tillsynsbegäran mail.docx", "A 36545-2023")</f>
        <v/>
      </c>
    </row>
    <row r="40" ht="15" customHeight="1">
      <c r="A40" t="inlineStr">
        <is>
          <t>A 6659-2025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45700</v>
      </c>
      <c r="E40" s="1" t="n">
        <v>46279</v>
      </c>
      <c r="F40" t="inlineStr">
        <is>
          <t>VÄSTRA GÖTALANDS LÄN</t>
        </is>
      </c>
      <c r="G40" t="inlineStr">
        <is>
          <t>BORÅS</t>
        </is>
      </c>
      <c r="I40" t="n">
        <v>1.6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Järnsparv
Spillkråka</t>
        </is>
      </c>
      <c r="W40">
        <f>HYPERLINK("https://klasma.github.io/Logging_1490/artfynd/A 6659-2025 artfynd.xlsx", "A 6659-2025")</f>
        <v/>
      </c>
      <c r="X40">
        <f>HYPERLINK("https://klasma.github.io/Logging_1490/kartor/A 6659-2025 karta.png", "A 6659-2025")</f>
        <v/>
      </c>
      <c r="Y40">
        <f>HYPERLINK("https://klasma.github.io/Logging_1490/kartor_geotiff/A 6659-2025 georefererad karta.tif", "A 6659-2025")</f>
        <v/>
      </c>
      <c r="AA40">
        <f>HYPERLINK("https://klasma.github.io/Logging_1490/klagomål/A 6659-2025 FSC-klagomål.docx", "A 6659-2025")</f>
        <v/>
      </c>
      <c r="AB40">
        <f>HYPERLINK("https://klasma.github.io/Logging_1490/klagomålsmail/A 6659-2025 FSC-klagomål mail.docx", "A 6659-2025")</f>
        <v/>
      </c>
      <c r="AC40">
        <f>HYPERLINK("https://klasma.github.io/Logging_1490/tillsyn/A 6659-2025 tillsynsbegäran.docx", "A 6659-2025")</f>
        <v/>
      </c>
      <c r="AD40">
        <f>HYPERLINK("https://klasma.github.io/Logging_1490/tillsynsmail/A 6659-2025 tillsynsbegäran mail.docx", "A 6659-2025")</f>
        <v/>
      </c>
      <c r="AE40">
        <f>HYPERLINK("https://klasma.github.io/Logging_1490/fåglar/A 6659-2025 prioriterade fågelarter.docx", "A 6659-2025")</f>
        <v/>
      </c>
    </row>
    <row r="41" ht="15" customHeight="1">
      <c r="A41" t="inlineStr">
        <is>
          <t>A 36596-2023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46279</v>
      </c>
      <c r="F41" t="inlineStr">
        <is>
          <t>VÄSTRA GÖTALANDS LÄN</t>
        </is>
      </c>
      <c r="G41" t="inlineStr">
        <is>
          <t>BORÅS</t>
        </is>
      </c>
      <c r="I41" t="n">
        <v>1.5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6</v>
      </c>
      <c r="U41" t="n">
        <v>0</v>
      </c>
      <c r="V41" s="2" t="inlineStr">
        <is>
          <t>Grönvit nattviol
Nattviol</t>
        </is>
      </c>
      <c r="W41">
        <f>HYPERLINK("https://klasma.github.io/Logging_1490/artfynd/A 36596-2023 artfynd.xlsx", "A 36596-2023")</f>
        <v/>
      </c>
      <c r="X41">
        <f>HYPERLINK("https://klasma.github.io/Logging_1490/kartor/A 36596-2023 karta.png", "A 36596-2023")</f>
        <v/>
      </c>
      <c r="Y41">
        <f>HYPERLINK("https://klasma.github.io/Logging_1490/kartor_geotiff/A 36596-2023 georefererad karta.tif", "A 36596-2023")</f>
        <v/>
      </c>
      <c r="AA41">
        <f>HYPERLINK("https://klasma.github.io/Logging_1490/klagomål/A 36596-2023 FSC-klagomål.docx", "A 36596-2023")</f>
        <v/>
      </c>
      <c r="AB41">
        <f>HYPERLINK("https://klasma.github.io/Logging_1490/klagomålsmail/A 36596-2023 FSC-klagomål mail.docx", "A 36596-2023")</f>
        <v/>
      </c>
      <c r="AC41">
        <f>HYPERLINK("https://klasma.github.io/Logging_1490/tillsyn/A 36596-2023 tillsynsbegäran.docx", "A 36596-2023")</f>
        <v/>
      </c>
      <c r="AD41">
        <f>HYPERLINK("https://klasma.github.io/Logging_1490/tillsynsmail/A 36596-2023 tillsynsbegäran mail.docx", "A 36596-2023")</f>
        <v/>
      </c>
    </row>
    <row r="42" ht="15" customHeight="1">
      <c r="A42" t="inlineStr">
        <is>
          <t>A 29231-2022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46279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7</v>
      </c>
      <c r="U42" t="n">
        <v>0</v>
      </c>
      <c r="V42" s="2" t="inlineStr">
        <is>
          <t>Spillkråka
Revlummer</t>
        </is>
      </c>
      <c r="W42">
        <f>HYPERLINK("https://klasma.github.io/Logging_1490/artfynd/A 29231-2022 artfynd.xlsx", "A 29231-2022")</f>
        <v/>
      </c>
      <c r="X42">
        <f>HYPERLINK("https://klasma.github.io/Logging_1490/kartor/A 29231-2022 karta.png", "A 29231-2022")</f>
        <v/>
      </c>
      <c r="Y42">
        <f>HYPERLINK("https://klasma.github.io/Logging_1490/kartor_geotiff/A 29231-2022 georefererad karta.tif", "A 29231-2022")</f>
        <v/>
      </c>
      <c r="AA42">
        <f>HYPERLINK("https://klasma.github.io/Logging_1490/klagomål/A 29231-2022 FSC-klagomål.docx", "A 29231-2022")</f>
        <v/>
      </c>
      <c r="AB42">
        <f>HYPERLINK("https://klasma.github.io/Logging_1490/klagomålsmail/A 29231-2022 FSC-klagomål mail.docx", "A 29231-2022")</f>
        <v/>
      </c>
      <c r="AC42">
        <f>HYPERLINK("https://klasma.github.io/Logging_1490/tillsyn/A 29231-2022 tillsynsbegäran.docx", "A 29231-2022")</f>
        <v/>
      </c>
      <c r="AD42">
        <f>HYPERLINK("https://klasma.github.io/Logging_1490/tillsynsmail/A 29231-2022 tillsynsbegäran mail.docx", "A 29231-2022")</f>
        <v/>
      </c>
      <c r="AE42">
        <f>HYPERLINK("https://klasma.github.io/Logging_1490/fåglar/A 29231-2022 prioriterade fågelarter.docx", "A 29231-2022")</f>
        <v/>
      </c>
    </row>
    <row r="43" ht="15" customHeight="1">
      <c r="A43" t="inlineStr">
        <is>
          <t>A 64578-2023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46279</v>
      </c>
      <c r="F43" t="inlineStr">
        <is>
          <t>VÄSTRA GÖTALANDS LÄN</t>
        </is>
      </c>
      <c r="G43" t="inlineStr">
        <is>
          <t>BORÅS</t>
        </is>
      </c>
      <c r="I43" t="n">
        <v>3.9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Skuggmossa
Blåsippa</t>
        </is>
      </c>
      <c r="W43">
        <f>HYPERLINK("https://klasma.github.io/Logging_1490/artfynd/A 64578-2023 artfynd.xlsx", "A 64578-2023")</f>
        <v/>
      </c>
      <c r="X43">
        <f>HYPERLINK("https://klasma.github.io/Logging_1490/kartor/A 64578-2023 karta.png", "A 64578-2023")</f>
        <v/>
      </c>
      <c r="Y43">
        <f>HYPERLINK("https://klasma.github.io/Logging_1490/kartor_geotiff/A 64578-2023 georefererad karta.tif", "A 64578-2023")</f>
        <v/>
      </c>
      <c r="AA43">
        <f>HYPERLINK("https://klasma.github.io/Logging_1490/klagomål/A 64578-2023 FSC-klagomål.docx", "A 64578-2023")</f>
        <v/>
      </c>
      <c r="AB43">
        <f>HYPERLINK("https://klasma.github.io/Logging_1490/klagomålsmail/A 64578-2023 FSC-klagomål mail.docx", "A 64578-2023")</f>
        <v/>
      </c>
      <c r="AC43">
        <f>HYPERLINK("https://klasma.github.io/Logging_1490/tillsyn/A 64578-2023 tillsynsbegäran.docx", "A 64578-2023")</f>
        <v/>
      </c>
      <c r="AD43">
        <f>HYPERLINK("https://klasma.github.io/Logging_1490/tillsynsmail/A 64578-2023 tillsynsbegäran mail.docx", "A 64578-2023")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46279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12385-2024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45379</v>
      </c>
      <c r="E45" s="1" t="n">
        <v>46279</v>
      </c>
      <c r="F45" t="inlineStr">
        <is>
          <t>VÄSTRA GÖTALANDS LÄN</t>
        </is>
      </c>
      <c r="G45" t="inlineStr">
        <is>
          <t>BORÅS</t>
        </is>
      </c>
      <c r="H45" t="inlineStr">
        <is>
          <t>Sveaskog</t>
        </is>
      </c>
      <c r="I45" t="n">
        <v>4.2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Spillkråka
Tofsmes</t>
        </is>
      </c>
      <c r="W45">
        <f>HYPERLINK("https://klasma.github.io/Logging_1490/artfynd/A 12385-2024 artfynd.xlsx", "A 12385-2024")</f>
        <v/>
      </c>
      <c r="X45">
        <f>HYPERLINK("https://klasma.github.io/Logging_1490/kartor/A 12385-2024 karta.png", "A 12385-2024")</f>
        <v/>
      </c>
      <c r="Y45">
        <f>HYPERLINK("https://klasma.github.io/Logging_1490/kartor_geotiff/A 12385-2024 georefererad karta.tif", "A 12385-2024")</f>
        <v/>
      </c>
      <c r="AA45">
        <f>HYPERLINK("https://klasma.github.io/Logging_1490/klagomål/A 12385-2024 FSC-klagomål.docx", "A 12385-2024")</f>
        <v/>
      </c>
      <c r="AB45">
        <f>HYPERLINK("https://klasma.github.io/Logging_1490/klagomålsmail/A 12385-2024 FSC-klagomål mail.docx", "A 12385-2024")</f>
        <v/>
      </c>
      <c r="AC45">
        <f>HYPERLINK("https://klasma.github.io/Logging_1490/tillsyn/A 12385-2024 tillsynsbegäran.docx", "A 12385-2024")</f>
        <v/>
      </c>
      <c r="AD45">
        <f>HYPERLINK("https://klasma.github.io/Logging_1490/tillsynsmail/A 12385-2024 tillsynsbegäran mail.docx", "A 12385-2024")</f>
        <v/>
      </c>
      <c r="AE45">
        <f>HYPERLINK("https://klasma.github.io/Logging_1490/fåglar/A 12385-2024 prioriterade fågelarter.docx", "A 12385-2024")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46279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6042-2026 artfynd.xlsx", "A 6042-2026")</f>
        <v/>
      </c>
      <c r="X46">
        <f>HYPERLINK("https://klasma.github.io/Logging_1490/kartor/A 6042-2026 karta.png", "A 6042-2026")</f>
        <v/>
      </c>
      <c r="Y46">
        <f>HYPERLINK("https://klasma.github.io/Logging_1490/kartor_geotiff/A 6042-2026 georefererad karta.tif", "A 6042-2026")</f>
        <v/>
      </c>
      <c r="AA46">
        <f>HYPERLINK("https://klasma.github.io/Logging_1490/klagomål/A 6042-2026 FSC-klagomål.docx", "A 6042-2026")</f>
        <v/>
      </c>
      <c r="AB46">
        <f>HYPERLINK("https://klasma.github.io/Logging_1490/klagomålsmail/A 6042-2026 FSC-klagomål mail.docx", "A 6042-2026")</f>
        <v/>
      </c>
      <c r="AC46">
        <f>HYPERLINK("https://klasma.github.io/Logging_1490/tillsyn/A 6042-2026 tillsynsbegäran.docx", "A 6042-2026")</f>
        <v/>
      </c>
      <c r="AD46">
        <f>HYPERLINK("https://klasma.github.io/Logging_1490/tillsynsmail/A 6042-2026 tillsynsbegäran mail.docx", "A 6042-2026")</f>
        <v/>
      </c>
      <c r="AE46">
        <f>HYPERLINK("https://klasma.github.io/Logging_1490/fåglar/A 6042-2026 prioriterade fågelarter.docx", "A 6042-2026")</f>
        <v/>
      </c>
    </row>
    <row r="47" ht="15" customHeight="1">
      <c r="A47" t="inlineStr">
        <is>
          <t>A 3469-2023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46279</v>
      </c>
      <c r="F47" t="inlineStr">
        <is>
          <t>VÄSTRA GÖTALANDS LÄN</t>
        </is>
      </c>
      <c r="G47" t="inlineStr">
        <is>
          <t>BORÅS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Ask
Fällmossa</t>
        </is>
      </c>
      <c r="W47">
        <f>HYPERLINK("https://klasma.github.io/Logging_1490/artfynd/A 3469-2023 artfynd.xlsx", "A 3469-2023")</f>
        <v/>
      </c>
      <c r="X47">
        <f>HYPERLINK("https://klasma.github.io/Logging_1490/kartor/A 3469-2023 karta.png", "A 3469-2023")</f>
        <v/>
      </c>
      <c r="Y47">
        <f>HYPERLINK("https://klasma.github.io/Logging_1490/kartor_geotiff/A 3469-2023 georefererad karta.tif", "A 3469-2023")</f>
        <v/>
      </c>
      <c r="AA47">
        <f>HYPERLINK("https://klasma.github.io/Logging_1490/klagomål/A 3469-2023 FSC-klagomål.docx", "A 3469-2023")</f>
        <v/>
      </c>
      <c r="AB47">
        <f>HYPERLINK("https://klasma.github.io/Logging_1490/klagomålsmail/A 3469-2023 FSC-klagomål mail.docx", "A 3469-2023")</f>
        <v/>
      </c>
      <c r="AC47">
        <f>HYPERLINK("https://klasma.github.io/Logging_1490/tillsyn/A 3469-2023 tillsynsbegäran.docx", "A 3469-2023")</f>
        <v/>
      </c>
      <c r="AD47">
        <f>HYPERLINK("https://klasma.github.io/Logging_1490/tillsynsmail/A 3469-2023 tillsynsbegäran mail.docx", "A 3469-2023")</f>
        <v/>
      </c>
    </row>
    <row r="48" ht="15" customHeight="1">
      <c r="A48" t="inlineStr">
        <is>
          <t>S 6335-2022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44873</v>
      </c>
      <c r="E48" s="1" t="n">
        <v>46279</v>
      </c>
      <c r="F48" t="inlineStr">
        <is>
          <t>VÄSTRA GÖTALANDS LÄN</t>
        </is>
      </c>
      <c r="G48" t="inlineStr">
        <is>
          <t>BORÅS</t>
        </is>
      </c>
      <c r="H48" t="inlineStr">
        <is>
          <t>Kommuner</t>
        </is>
      </c>
      <c r="I48" t="n">
        <v>14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Kungsfågel</t>
        </is>
      </c>
      <c r="W48">
        <f>HYPERLINK("https://klasma.github.io/Logging_1490/artfynd/S 6335-2022 artfynd.xlsx", "S 6335-2022")</f>
        <v/>
      </c>
      <c r="X48">
        <f>HYPERLINK("https://klasma.github.io/Logging_1490/kartor/S 6335-2022 karta.png", "S 6335-2022")</f>
        <v/>
      </c>
      <c r="Y48">
        <f>HYPERLINK("https://klasma.github.io/Logging_1490/kartor_geotiff/S 6335-2022 georefererad karta.tif", "S 6335-2022")</f>
        <v/>
      </c>
      <c r="AA48">
        <f>HYPERLINK("https://klasma.github.io/Logging_1490/klagomål/S 6335-2022 FSC-klagomål.docx", "S 6335-2022")</f>
        <v/>
      </c>
      <c r="AB48">
        <f>HYPERLINK("https://klasma.github.io/Logging_1490/klagomålsmail/S 6335-2022 FSC-klagomål mail.docx", "S 6335-2022")</f>
        <v/>
      </c>
      <c r="AC48">
        <f>HYPERLINK("https://klasma.github.io/Logging_1490/tillsyn/S 6335-2022 tillsynsbegäran.docx", "S 6335-2022")</f>
        <v/>
      </c>
      <c r="AD48">
        <f>HYPERLINK("https://klasma.github.io/Logging_1490/tillsynsmail/S 6335-2022 tillsynsbegäran mail.docx", "S 6335-2022")</f>
        <v/>
      </c>
      <c r="AE48">
        <f>HYPERLINK("https://klasma.github.io/Logging_1490/fåglar/S 6335-2022 prioriterade fågelarter.docx", "S 6335-2022")</f>
        <v/>
      </c>
    </row>
    <row r="49" ht="15" customHeight="1">
      <c r="A49" t="inlineStr">
        <is>
          <t>S 531-2024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45348</v>
      </c>
      <c r="E49" s="1" t="n">
        <v>46279</v>
      </c>
      <c r="F49" t="inlineStr">
        <is>
          <t>VÄSTRA GÖTALANDS LÄN</t>
        </is>
      </c>
      <c r="G49" t="inlineStr">
        <is>
          <t>BORÅS</t>
        </is>
      </c>
      <c r="I49" t="n">
        <v>61.3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Spillkråka
Revlummer</t>
        </is>
      </c>
      <c r="W49">
        <f>HYPERLINK("https://klasma.github.io/Logging_1490/artfynd/S 531-2024 artfynd.xlsx", "S 531-2024")</f>
        <v/>
      </c>
      <c r="X49">
        <f>HYPERLINK("https://klasma.github.io/Logging_1490/kartor/S 531-2024 karta.png", "S 531-2024")</f>
        <v/>
      </c>
      <c r="Y49">
        <f>HYPERLINK("https://klasma.github.io/Logging_1490/kartor_geotiff/S 531-2024 georefererad karta.tif", "S 531-2024")</f>
        <v/>
      </c>
      <c r="AA49">
        <f>HYPERLINK("https://klasma.github.io/Logging_1490/klagomål/S 531-2024 FSC-klagomål.docx", "S 531-2024")</f>
        <v/>
      </c>
      <c r="AB49">
        <f>HYPERLINK("https://klasma.github.io/Logging_1490/klagomålsmail/S 531-2024 FSC-klagomål mail.docx", "S 531-2024")</f>
        <v/>
      </c>
      <c r="AC49">
        <f>HYPERLINK("https://klasma.github.io/Logging_1490/tillsyn/S 531-2024 tillsynsbegäran.docx", "S 531-2024")</f>
        <v/>
      </c>
      <c r="AD49">
        <f>HYPERLINK("https://klasma.github.io/Logging_1490/tillsynsmail/S 531-2024 tillsynsbegäran mail.docx", "S 531-2024")</f>
        <v/>
      </c>
      <c r="AE49">
        <f>HYPERLINK("https://klasma.github.io/Logging_1490/fåglar/S 531-2024 prioriterade fågelarter.docx", "S 531-2024")</f>
        <v/>
      </c>
    </row>
    <row r="50" ht="15" customHeight="1">
      <c r="A50" t="inlineStr">
        <is>
          <t>S 5249-2022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44824</v>
      </c>
      <c r="E50" s="1" t="n">
        <v>46279</v>
      </c>
      <c r="F50" t="inlineStr">
        <is>
          <t>VÄSTRA GÖTALANDS LÄN</t>
        </is>
      </c>
      <c r="G50" t="inlineStr">
        <is>
          <t>BORÅS</t>
        </is>
      </c>
      <c r="I50" t="n">
        <v>0.4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Grynig filtlav
Bårdlav</t>
        </is>
      </c>
      <c r="W50">
        <f>HYPERLINK("https://klasma.github.io/Logging_1490/artfynd/S 5249-2022 artfynd.xlsx", "S 5249-2022")</f>
        <v/>
      </c>
      <c r="X50">
        <f>HYPERLINK("https://klasma.github.io/Logging_1490/kartor/S 5249-2022 karta.png", "S 5249-2022")</f>
        <v/>
      </c>
      <c r="Y50">
        <f>HYPERLINK("https://klasma.github.io/Logging_1490/kartor_geotiff/S 5249-2022 georefererad karta.tif", "S 5249-2022")</f>
        <v/>
      </c>
      <c r="AA50">
        <f>HYPERLINK("https://klasma.github.io/Logging_1490/klagomål/S 5249-2022 FSC-klagomål.docx", "S 5249-2022")</f>
        <v/>
      </c>
      <c r="AB50">
        <f>HYPERLINK("https://klasma.github.io/Logging_1490/klagomålsmail/S 5249-2022 FSC-klagomål mail.docx", "S 5249-2022")</f>
        <v/>
      </c>
      <c r="AC50">
        <f>HYPERLINK("https://klasma.github.io/Logging_1490/tillsyn/S 5249-2022 tillsynsbegäran.docx", "S 5249-2022")</f>
        <v/>
      </c>
      <c r="AD50">
        <f>HYPERLINK("https://klasma.github.io/Logging_1490/tillsynsmail/S 5249-2022 tillsynsbegäran mail.docx", "S 5249-2022")</f>
        <v/>
      </c>
    </row>
    <row r="51" ht="15" customHeight="1">
      <c r="A51" t="inlineStr">
        <is>
          <t>S 2232-2025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45867</v>
      </c>
      <c r="E51" s="1" t="n">
        <v>46279</v>
      </c>
      <c r="F51" t="inlineStr">
        <is>
          <t>VÄSTRA GÖTALANDS LÄN</t>
        </is>
      </c>
      <c r="G51" t="inlineStr">
        <is>
          <t>BORÅS</t>
        </is>
      </c>
      <c r="I51" t="n">
        <v>1.3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Guldlockmossa</t>
        </is>
      </c>
      <c r="W51">
        <f>HYPERLINK("https://klasma.github.io/Logging_1490/artfynd/S 2232-2025 artfynd.xlsx", "S 2232-2025")</f>
        <v/>
      </c>
      <c r="X51">
        <f>HYPERLINK("https://klasma.github.io/Logging_1490/kartor/S 2232-2025 karta.png", "S 2232-2025")</f>
        <v/>
      </c>
      <c r="Y51">
        <f>HYPERLINK("https://klasma.github.io/Logging_1490/kartor_geotiff/S 2232-2025 georefererad karta.tif", "S 2232-2025")</f>
        <v/>
      </c>
      <c r="AA51">
        <f>HYPERLINK("https://klasma.github.io/Logging_1490/klagomål/S 2232-2025 FSC-klagomål.docx", "S 2232-2025")</f>
        <v/>
      </c>
      <c r="AB51">
        <f>HYPERLINK("https://klasma.github.io/Logging_1490/klagomålsmail/S 2232-2025 FSC-klagomål mail.docx", "S 2232-2025")</f>
        <v/>
      </c>
      <c r="AC51">
        <f>HYPERLINK("https://klasma.github.io/Logging_1490/tillsyn/S 2232-2025 tillsynsbegäran.docx", "S 2232-2025")</f>
        <v/>
      </c>
      <c r="AD51">
        <f>HYPERLINK("https://klasma.github.io/Logging_1490/tillsynsmail/S 2232-2025 tillsynsbegäran mail.docx", "S 2232-2025")</f>
        <v/>
      </c>
    </row>
    <row r="52" ht="15" customHeight="1">
      <c r="A52" t="inlineStr">
        <is>
          <t>A 71998-2021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44544</v>
      </c>
      <c r="E52" s="1" t="n">
        <v>46279</v>
      </c>
      <c r="F52" t="inlineStr">
        <is>
          <t>VÄSTRA GÖTALANDS LÄN</t>
        </is>
      </c>
      <c r="G52" t="inlineStr">
        <is>
          <t>BORÅS</t>
        </is>
      </c>
      <c r="I52" t="n">
        <v>0.7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Vippärt</t>
        </is>
      </c>
      <c r="W52">
        <f>HYPERLINK("https://klasma.github.io/Logging_1490/artfynd/A 71998-2021 artfynd.xlsx", "A 71998-2021")</f>
        <v/>
      </c>
      <c r="X52">
        <f>HYPERLINK("https://klasma.github.io/Logging_1490/kartor/A 71998-2021 karta.png", "A 71998-2021")</f>
        <v/>
      </c>
      <c r="Y52">
        <f>HYPERLINK("https://klasma.github.io/Logging_1490/kartor_geotiff/A 71998-2021 georefererad karta.tif", "A 71998-2021")</f>
        <v/>
      </c>
      <c r="AA52">
        <f>HYPERLINK("https://klasma.github.io/Logging_1490/klagomål/A 71998-2021 FSC-klagomål.docx", "A 71998-2021")</f>
        <v/>
      </c>
      <c r="AB52">
        <f>HYPERLINK("https://klasma.github.io/Logging_1490/klagomålsmail/A 71998-2021 FSC-klagomål mail.docx", "A 71998-2021")</f>
        <v/>
      </c>
      <c r="AC52">
        <f>HYPERLINK("https://klasma.github.io/Logging_1490/tillsyn/A 71998-2021 tillsynsbegäran.docx", "A 71998-2021")</f>
        <v/>
      </c>
      <c r="AD52">
        <f>HYPERLINK("https://klasma.github.io/Logging_1490/tillsynsmail/A 71998-2021 tillsynsbegäran mail.docx", "A 71998-2021")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46279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46279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29911-2025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46279</v>
      </c>
      <c r="F55" t="inlineStr">
        <is>
          <t>VÄSTRA GÖTALANDS LÄN</t>
        </is>
      </c>
      <c r="G55" t="inlineStr">
        <is>
          <t>BORÅS</t>
        </is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Lönnlav</t>
        </is>
      </c>
      <c r="W55">
        <f>HYPERLINK("https://klasma.github.io/Logging_1490/artfynd/A 29911-2025 artfynd.xlsx", "A 29911-2025")</f>
        <v/>
      </c>
      <c r="X55">
        <f>HYPERLINK("https://klasma.github.io/Logging_1490/kartor/A 29911-2025 karta.png", "A 29911-2025")</f>
        <v/>
      </c>
      <c r="Y55">
        <f>HYPERLINK("https://klasma.github.io/Logging_1490/kartor_geotiff/A 29911-2025 georefererad karta.tif", "A 29911-2025")</f>
        <v/>
      </c>
      <c r="AA55">
        <f>HYPERLINK("https://klasma.github.io/Logging_1490/klagomål/A 29911-2025 FSC-klagomål.docx", "A 29911-2025")</f>
        <v/>
      </c>
      <c r="AB55">
        <f>HYPERLINK("https://klasma.github.io/Logging_1490/klagomålsmail/A 29911-2025 FSC-klagomål mail.docx", "A 29911-2025")</f>
        <v/>
      </c>
      <c r="AC55">
        <f>HYPERLINK("https://klasma.github.io/Logging_1490/tillsyn/A 29911-2025 tillsynsbegäran.docx", "A 29911-2025")</f>
        <v/>
      </c>
      <c r="AD55">
        <f>HYPERLINK("https://klasma.github.io/Logging_1490/tillsynsmail/A 29911-2025 tillsynsbegäran mail.docx", "A 29911-2025")</f>
        <v/>
      </c>
    </row>
    <row r="56" ht="15" customHeight="1">
      <c r="A56" t="inlineStr">
        <is>
          <t>A 19911-2023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46279</v>
      </c>
      <c r="F56" t="inlineStr">
        <is>
          <t>VÄSTRA GÖTALANDS LÄN</t>
        </is>
      </c>
      <c r="G56" t="inlineStr">
        <is>
          <t>BORÅS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padda</t>
        </is>
      </c>
      <c r="W56">
        <f>HYPERLINK("https://klasma.github.io/Logging_1490/artfynd/A 19911-2023 artfynd.xlsx", "A 19911-2023")</f>
        <v/>
      </c>
      <c r="X56">
        <f>HYPERLINK("https://klasma.github.io/Logging_1490/kartor/A 19911-2023 karta.png", "A 19911-2023")</f>
        <v/>
      </c>
      <c r="Y56">
        <f>HYPERLINK("https://klasma.github.io/Logging_1490/kartor_geotiff/A 19911-2023 georefererad karta.tif", "A 19911-2023")</f>
        <v/>
      </c>
      <c r="AA56">
        <f>HYPERLINK("https://klasma.github.io/Logging_1490/klagomål/A 19911-2023 FSC-klagomål.docx", "A 19911-2023")</f>
        <v/>
      </c>
      <c r="AB56">
        <f>HYPERLINK("https://klasma.github.io/Logging_1490/klagomålsmail/A 19911-2023 FSC-klagomål mail.docx", "A 19911-2023")</f>
        <v/>
      </c>
      <c r="AC56">
        <f>HYPERLINK("https://klasma.github.io/Logging_1490/tillsyn/A 19911-2023 tillsynsbegäran.docx", "A 19911-2023")</f>
        <v/>
      </c>
      <c r="AD56">
        <f>HYPERLINK("https://klasma.github.io/Logging_1490/tillsynsmail/A 19911-2023 tillsynsbegäran mail.docx", "A 19911-2023")</f>
        <v/>
      </c>
    </row>
    <row r="57" ht="15" customHeight="1">
      <c r="A57" t="inlineStr">
        <is>
          <t>A 33724-2025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45841</v>
      </c>
      <c r="E57" s="1" t="n">
        <v>46279</v>
      </c>
      <c r="F57" t="inlineStr">
        <is>
          <t>VÄSTRA GÖTALANDS LÄN</t>
        </is>
      </c>
      <c r="G57" t="inlineStr">
        <is>
          <t>BORÅS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HYPERLINK("https://klasma.github.io/Logging_1490/artfynd/A 33724-2025 artfynd.xlsx", "A 33724-2025")</f>
        <v/>
      </c>
      <c r="X57">
        <f>HYPERLINK("https://klasma.github.io/Logging_1490/kartor/A 33724-2025 karta.png", "A 33724-2025")</f>
        <v/>
      </c>
      <c r="Y57">
        <f>HYPERLINK("https://klasma.github.io/Logging_1490/kartor_geotiff/A 33724-2025 georefererad karta.tif", "A 33724-2025")</f>
        <v/>
      </c>
      <c r="AA57">
        <f>HYPERLINK("https://klasma.github.io/Logging_1490/klagomål/A 33724-2025 FSC-klagomål.docx", "A 33724-2025")</f>
        <v/>
      </c>
      <c r="AB57">
        <f>HYPERLINK("https://klasma.github.io/Logging_1490/klagomålsmail/A 33724-2025 FSC-klagomål mail.docx", "A 33724-2025")</f>
        <v/>
      </c>
      <c r="AC57">
        <f>HYPERLINK("https://klasma.github.io/Logging_1490/tillsyn/A 33724-2025 tillsynsbegäran.docx", "A 33724-2025")</f>
        <v/>
      </c>
      <c r="AD57">
        <f>HYPERLINK("https://klasma.github.io/Logging_1490/tillsynsmail/A 33724-2025 tillsynsbegäran mail.docx", "A 33724-2025")</f>
        <v/>
      </c>
    </row>
    <row r="58" ht="15" customHeight="1">
      <c r="A58" t="inlineStr">
        <is>
          <t>A 29145-2022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46279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HYPERLINK("https://klasma.github.io/Logging_1490/artfynd/A 29145-2022 artfynd.xlsx", "A 29145-2022")</f>
        <v/>
      </c>
      <c r="X58">
        <f>HYPERLINK("https://klasma.github.io/Logging_1490/kartor/A 29145-2022 karta.png", "A 29145-2022")</f>
        <v/>
      </c>
      <c r="Y58">
        <f>HYPERLINK("https://klasma.github.io/Logging_1490/kartor_geotiff/A 29145-2022 georefererad karta.tif", "A 29145-2022")</f>
        <v/>
      </c>
      <c r="AA58">
        <f>HYPERLINK("https://klasma.github.io/Logging_1490/klagomål/A 29145-2022 FSC-klagomål.docx", "A 29145-2022")</f>
        <v/>
      </c>
      <c r="AB58">
        <f>HYPERLINK("https://klasma.github.io/Logging_1490/klagomålsmail/A 29145-2022 FSC-klagomål mail.docx", "A 29145-2022")</f>
        <v/>
      </c>
      <c r="AC58">
        <f>HYPERLINK("https://klasma.github.io/Logging_1490/tillsyn/A 29145-2022 tillsynsbegäran.docx", "A 29145-2022")</f>
        <v/>
      </c>
      <c r="AD58">
        <f>HYPERLINK("https://klasma.github.io/Logging_1490/tillsynsmail/A 29145-2022 tillsynsbegäran mail.docx", "A 29145-2022")</f>
        <v/>
      </c>
      <c r="AE58">
        <f>HYPERLINK("https://klasma.github.io/Logging_1490/fåglar/A 29145-2022 prioriterade fågelarter.docx", "A 29145-2022")</f>
        <v/>
      </c>
    </row>
    <row r="59" ht="15" customHeight="1">
      <c r="A59" t="inlineStr">
        <is>
          <t>A 62162-2023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46279</v>
      </c>
      <c r="F59" t="inlineStr">
        <is>
          <t>VÄSTRA GÖTALANDS LÄN</t>
        </is>
      </c>
      <c r="G59" t="inlineStr">
        <is>
          <t>BORÅS</t>
        </is>
      </c>
      <c r="I59" t="n">
        <v>2.2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Gulsparv</t>
        </is>
      </c>
      <c r="W59">
        <f>HYPERLINK("https://klasma.github.io/Logging_1490/artfynd/A 62162-2023 artfynd.xlsx", "A 62162-2023")</f>
        <v/>
      </c>
      <c r="X59">
        <f>HYPERLINK("https://klasma.github.io/Logging_1490/kartor/A 62162-2023 karta.png", "A 62162-2023")</f>
        <v/>
      </c>
      <c r="Y59">
        <f>HYPERLINK("https://klasma.github.io/Logging_1490/kartor_geotiff/A 62162-2023 georefererad karta.tif", "A 62162-2023")</f>
        <v/>
      </c>
      <c r="AA59">
        <f>HYPERLINK("https://klasma.github.io/Logging_1490/klagomål/A 62162-2023 FSC-klagomål.docx", "A 62162-2023")</f>
        <v/>
      </c>
      <c r="AB59">
        <f>HYPERLINK("https://klasma.github.io/Logging_1490/klagomålsmail/A 62162-2023 FSC-klagomål mail.docx", "A 62162-2023")</f>
        <v/>
      </c>
      <c r="AC59">
        <f>HYPERLINK("https://klasma.github.io/Logging_1490/tillsyn/A 62162-2023 tillsynsbegäran.docx", "A 62162-2023")</f>
        <v/>
      </c>
      <c r="AD59">
        <f>HYPERLINK("https://klasma.github.io/Logging_1490/tillsynsmail/A 62162-2023 tillsynsbegäran mail.docx", "A 62162-2023")</f>
        <v/>
      </c>
      <c r="AE59">
        <f>HYPERLINK("https://klasma.github.io/Logging_1490/fåglar/A 62162-2023 prioriterade fågelarter.docx", "A 62162-2023")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46279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62645-2025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46008</v>
      </c>
      <c r="E61" s="1" t="n">
        <v>46279</v>
      </c>
      <c r="F61" t="inlineStr">
        <is>
          <t>VÄSTRA GÖTALANDS LÄN</t>
        </is>
      </c>
      <c r="G61" t="inlineStr">
        <is>
          <t>BORÅS</t>
        </is>
      </c>
      <c r="I61" t="n">
        <v>0.5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HYPERLINK("https://klasma.github.io/Logging_1490/artfynd/A 62645-2025 artfynd.xlsx", "A 62645-2025")</f>
        <v/>
      </c>
      <c r="X61">
        <f>HYPERLINK("https://klasma.github.io/Logging_1490/kartor/A 62645-2025 karta.png", "A 62645-2025")</f>
        <v/>
      </c>
      <c r="Y61">
        <f>HYPERLINK("https://klasma.github.io/Logging_1490/kartor_geotiff/A 62645-2025 georefererad karta.tif", "A 62645-2025")</f>
        <v/>
      </c>
      <c r="AA61">
        <f>HYPERLINK("https://klasma.github.io/Logging_1490/klagomål/A 62645-2025 FSC-klagomål.docx", "A 62645-2025")</f>
        <v/>
      </c>
      <c r="AB61">
        <f>HYPERLINK("https://klasma.github.io/Logging_1490/klagomålsmail/A 62645-2025 FSC-klagomål mail.docx", "A 62645-2025")</f>
        <v/>
      </c>
      <c r="AC61">
        <f>HYPERLINK("https://klasma.github.io/Logging_1490/tillsyn/A 62645-2025 tillsynsbegäran.docx", "A 62645-2025")</f>
        <v/>
      </c>
      <c r="AD61">
        <f>HYPERLINK("https://klasma.github.io/Logging_1490/tillsynsmail/A 62645-2025 tillsynsbegäran mail.docx", "A 62645-2025")</f>
        <v/>
      </c>
      <c r="AE61">
        <f>HYPERLINK("https://klasma.github.io/Logging_1490/fåglar/A 62645-2025 prioriterade fågelarter.docx", "A 62645-2025")</f>
        <v/>
      </c>
    </row>
    <row r="62" ht="15" customHeight="1">
      <c r="A62" t="inlineStr">
        <is>
          <t>A 3719-2024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46279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Hasselmus</t>
        </is>
      </c>
      <c r="W62">
        <f>HYPERLINK("https://klasma.github.io/Logging_1490/artfynd/A 3719-2024 artfynd.xlsx", "A 3719-2024")</f>
        <v/>
      </c>
      <c r="X62">
        <f>HYPERLINK("https://klasma.github.io/Logging_1490/kartor/A 3719-2024 karta.png", "A 3719-2024")</f>
        <v/>
      </c>
      <c r="Y62">
        <f>HYPERLINK("https://klasma.github.io/Logging_1490/kartor_geotiff/A 3719-2024 georefererad karta.tif", "A 3719-2024")</f>
        <v/>
      </c>
      <c r="AA62">
        <f>HYPERLINK("https://klasma.github.io/Logging_1490/klagomål/A 3719-2024 FSC-klagomål.docx", "A 3719-2024")</f>
        <v/>
      </c>
      <c r="AB62">
        <f>HYPERLINK("https://klasma.github.io/Logging_1490/klagomålsmail/A 3719-2024 FSC-klagomål mail.docx", "A 3719-2024")</f>
        <v/>
      </c>
      <c r="AC62">
        <f>HYPERLINK("https://klasma.github.io/Logging_1490/tillsyn/A 3719-2024 tillsynsbegäran.docx", "A 3719-2024")</f>
        <v/>
      </c>
      <c r="AD62">
        <f>HYPERLINK("https://klasma.github.io/Logging_1490/tillsynsmail/A 3719-2024 tillsynsbegäran mail.docx", "A 3719-2024")</f>
        <v/>
      </c>
    </row>
    <row r="63" ht="15" customHeight="1">
      <c r="A63" t="inlineStr">
        <is>
          <t>A 3760-2024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46279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6.8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Kråka</t>
        </is>
      </c>
      <c r="W63">
        <f>HYPERLINK("https://klasma.github.io/Logging_1490/artfynd/A 3760-2024 artfynd.xlsx", "A 3760-2024")</f>
        <v/>
      </c>
      <c r="X63">
        <f>HYPERLINK("https://klasma.github.io/Logging_1490/kartor/A 3760-2024 karta.png", "A 3760-2024")</f>
        <v/>
      </c>
      <c r="Y63">
        <f>HYPERLINK("https://klasma.github.io/Logging_1490/kartor_geotiff/A 3760-2024 georefererad karta.tif", "A 3760-2024")</f>
        <v/>
      </c>
      <c r="AA63">
        <f>HYPERLINK("https://klasma.github.io/Logging_1490/klagomål/A 3760-2024 FSC-klagomål.docx", "A 3760-2024")</f>
        <v/>
      </c>
      <c r="AB63">
        <f>HYPERLINK("https://klasma.github.io/Logging_1490/klagomålsmail/A 3760-2024 FSC-klagomål mail.docx", "A 3760-2024")</f>
        <v/>
      </c>
      <c r="AC63">
        <f>HYPERLINK("https://klasma.github.io/Logging_1490/tillsyn/A 3760-2024 tillsynsbegäran.docx", "A 3760-2024")</f>
        <v/>
      </c>
      <c r="AD63">
        <f>HYPERLINK("https://klasma.github.io/Logging_1490/tillsynsmail/A 3760-2024 tillsynsbegäran mail.docx", "A 3760-2024")</f>
        <v/>
      </c>
    </row>
    <row r="64" ht="15" customHeight="1">
      <c r="A64" t="inlineStr">
        <is>
          <t>A 33140-2023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45126</v>
      </c>
      <c r="E64" s="1" t="n">
        <v>46279</v>
      </c>
      <c r="F64" t="inlineStr">
        <is>
          <t>VÄSTRA GÖTALANDS LÄN</t>
        </is>
      </c>
      <c r="G64" t="inlineStr">
        <is>
          <t>BORÅS</t>
        </is>
      </c>
      <c r="I64" t="n">
        <v>5.1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HYPERLINK("https://klasma.github.io/Logging_1490/artfynd/A 33140-2023 artfynd.xlsx", "A 33140-2023")</f>
        <v/>
      </c>
      <c r="X64">
        <f>HYPERLINK("https://klasma.github.io/Logging_1490/kartor/A 33140-2023 karta.png", "A 33140-2023")</f>
        <v/>
      </c>
      <c r="Y64">
        <f>HYPERLINK("https://klasma.github.io/Logging_1490/kartor_geotiff/A 33140-2023 georefererad karta.tif", "A 33140-2023")</f>
        <v/>
      </c>
      <c r="AA64">
        <f>HYPERLINK("https://klasma.github.io/Logging_1490/klagomål/A 33140-2023 FSC-klagomål.docx", "A 33140-2023")</f>
        <v/>
      </c>
      <c r="AB64">
        <f>HYPERLINK("https://klasma.github.io/Logging_1490/klagomålsmail/A 33140-2023 FSC-klagomål mail.docx", "A 33140-2023")</f>
        <v/>
      </c>
      <c r="AC64">
        <f>HYPERLINK("https://klasma.github.io/Logging_1490/tillsyn/A 33140-2023 tillsynsbegäran.docx", "A 33140-2023")</f>
        <v/>
      </c>
      <c r="AD64">
        <f>HYPERLINK("https://klasma.github.io/Logging_1490/tillsynsmail/A 33140-2023 tillsynsbegäran mail.docx", "A 33140-2023")</f>
        <v/>
      </c>
    </row>
    <row r="65" ht="15" customHeight="1">
      <c r="A65" t="inlineStr">
        <is>
          <t>A 3772-2024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46279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4.1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Vågbandad barkbock</t>
        </is>
      </c>
      <c r="W65">
        <f>HYPERLINK("https://klasma.github.io/Logging_1490/artfynd/A 3772-2024 artfynd.xlsx", "A 3772-2024")</f>
        <v/>
      </c>
      <c r="X65">
        <f>HYPERLINK("https://klasma.github.io/Logging_1490/kartor/A 3772-2024 karta.png", "A 3772-2024")</f>
        <v/>
      </c>
      <c r="Y65">
        <f>HYPERLINK("https://klasma.github.io/Logging_1490/kartor_geotiff/A 3772-2024 georefererad karta.tif", "A 3772-2024")</f>
        <v/>
      </c>
      <c r="AA65">
        <f>HYPERLINK("https://klasma.github.io/Logging_1490/klagomål/A 3772-2024 FSC-klagomål.docx", "A 3772-2024")</f>
        <v/>
      </c>
      <c r="AB65">
        <f>HYPERLINK("https://klasma.github.io/Logging_1490/klagomålsmail/A 3772-2024 FSC-klagomål mail.docx", "A 3772-2024")</f>
        <v/>
      </c>
      <c r="AC65">
        <f>HYPERLINK("https://klasma.github.io/Logging_1490/tillsyn/A 3772-2024 tillsynsbegäran.docx", "A 3772-2024")</f>
        <v/>
      </c>
      <c r="AD65">
        <f>HYPERLINK("https://klasma.github.io/Logging_1490/tillsynsmail/A 3772-2024 tillsynsbegäran mail.docx", "A 3772-2024")</f>
        <v/>
      </c>
    </row>
    <row r="66" ht="15" customHeight="1">
      <c r="A66" t="inlineStr">
        <is>
          <t>A 1922-2025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46279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Kyrkan</t>
        </is>
      </c>
      <c r="I66" t="n">
        <v>5.9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Kungsfågel</t>
        </is>
      </c>
      <c r="W66">
        <f>HYPERLINK("https://klasma.github.io/Logging_1490/artfynd/A 1922-2025 artfynd.xlsx", "A 1922-2025")</f>
        <v/>
      </c>
      <c r="X66">
        <f>HYPERLINK("https://klasma.github.io/Logging_1490/kartor/A 1922-2025 karta.png", "A 1922-2025")</f>
        <v/>
      </c>
      <c r="Y66">
        <f>HYPERLINK("https://klasma.github.io/Logging_1490/kartor_geotiff/A 1922-2025 georefererad karta.tif", "A 1922-2025")</f>
        <v/>
      </c>
      <c r="AA66">
        <f>HYPERLINK("https://klasma.github.io/Logging_1490/klagomål/A 1922-2025 FSC-klagomål.docx", "A 1922-2025")</f>
        <v/>
      </c>
      <c r="AB66">
        <f>HYPERLINK("https://klasma.github.io/Logging_1490/klagomålsmail/A 1922-2025 FSC-klagomål mail.docx", "A 1922-2025")</f>
        <v/>
      </c>
      <c r="AC66">
        <f>HYPERLINK("https://klasma.github.io/Logging_1490/tillsyn/A 1922-2025 tillsynsbegäran.docx", "A 1922-2025")</f>
        <v/>
      </c>
      <c r="AD66">
        <f>HYPERLINK("https://klasma.github.io/Logging_1490/tillsynsmail/A 1922-2025 tillsynsbegäran mail.docx", "A 1922-2025")</f>
        <v/>
      </c>
    </row>
    <row r="67" ht="15" customHeight="1">
      <c r="A67" t="inlineStr">
        <is>
          <t>A 57175-2023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45240</v>
      </c>
      <c r="E67" s="1" t="n">
        <v>46279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Läderlappslav</t>
        </is>
      </c>
      <c r="W67">
        <f>HYPERLINK("https://klasma.github.io/Logging_1490/artfynd/A 57175-2023 artfynd.xlsx", "A 57175-2023")</f>
        <v/>
      </c>
      <c r="X67">
        <f>HYPERLINK("https://klasma.github.io/Logging_1490/kartor/A 57175-2023 karta.png", "A 57175-2023")</f>
        <v/>
      </c>
      <c r="Y67">
        <f>HYPERLINK("https://klasma.github.io/Logging_1490/kartor_geotiff/A 57175-2023 georefererad karta.tif", "A 57175-2023")</f>
        <v/>
      </c>
      <c r="AA67">
        <f>HYPERLINK("https://klasma.github.io/Logging_1490/klagomål/A 57175-2023 FSC-klagomål.docx", "A 57175-2023")</f>
        <v/>
      </c>
      <c r="AB67">
        <f>HYPERLINK("https://klasma.github.io/Logging_1490/klagomålsmail/A 57175-2023 FSC-klagomål mail.docx", "A 57175-2023")</f>
        <v/>
      </c>
      <c r="AC67">
        <f>HYPERLINK("https://klasma.github.io/Logging_1490/tillsyn/A 57175-2023 tillsynsbegäran.docx", "A 57175-2023")</f>
        <v/>
      </c>
      <c r="AD67">
        <f>HYPERLINK("https://klasma.github.io/Logging_1490/tillsynsmail/A 57175-2023 tillsynsbegäran mail.docx", "A 57175-2023")</f>
        <v/>
      </c>
    </row>
    <row r="68" ht="15" customHeight="1">
      <c r="A68" t="inlineStr">
        <is>
          <t>A 29499-2026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46279</v>
      </c>
      <c r="F68" t="inlineStr">
        <is>
          <t>VÄSTRA GÖTALANDS LÄN</t>
        </is>
      </c>
      <c r="G68" t="inlineStr">
        <is>
          <t>BORÅS</t>
        </is>
      </c>
      <c r="I68" t="n">
        <v>7.4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Blåmossa</t>
        </is>
      </c>
      <c r="W68">
        <f>HYPERLINK("https://klasma.github.io/Logging_1490/artfynd/A 29499-2026 artfynd.xlsx", "A 29499-2026")</f>
        <v/>
      </c>
      <c r="X68">
        <f>HYPERLINK("https://klasma.github.io/Logging_1490/kartor/A 29499-2026 karta.png", "A 29499-2026")</f>
        <v/>
      </c>
      <c r="Y68">
        <f>HYPERLINK("https://klasma.github.io/Logging_1490/kartor_geotiff/A 29499-2026 georefererad karta.tif", "A 29499-2026")</f>
        <v/>
      </c>
      <c r="AA68">
        <f>HYPERLINK("https://klasma.github.io/Logging_1490/klagomål/A 29499-2026 FSC-klagomål.docx", "A 29499-2026")</f>
        <v/>
      </c>
      <c r="AB68">
        <f>HYPERLINK("https://klasma.github.io/Logging_1490/klagomålsmail/A 29499-2026 FSC-klagomål mail.docx", "A 29499-2026")</f>
        <v/>
      </c>
      <c r="AC68">
        <f>HYPERLINK("https://klasma.github.io/Logging_1490/tillsyn/A 29499-2026 tillsynsbegäran.docx", "A 29499-2026")</f>
        <v/>
      </c>
      <c r="AD68">
        <f>HYPERLINK("https://klasma.github.io/Logging_1490/tillsynsmail/A 29499-2026 tillsynsbegäran mail.docx", "A 29499-2026")</f>
        <v/>
      </c>
    </row>
    <row r="69" ht="15" customHeight="1">
      <c r="A69" t="inlineStr">
        <is>
          <t>A 61684-2023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46279</v>
      </c>
      <c r="F69" t="inlineStr">
        <is>
          <t>VÄSTRA GÖTALANDS LÄN</t>
        </is>
      </c>
      <c r="G69" t="inlineStr">
        <is>
          <t>BORÅS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Fällmossa</t>
        </is>
      </c>
      <c r="W69">
        <f>HYPERLINK("https://klasma.github.io/Logging_1490/artfynd/A 61684-2023 artfynd.xlsx", "A 61684-2023")</f>
        <v/>
      </c>
      <c r="X69">
        <f>HYPERLINK("https://klasma.github.io/Logging_1490/kartor/A 61684-2023 karta.png", "A 61684-2023")</f>
        <v/>
      </c>
      <c r="Y69">
        <f>HYPERLINK("https://klasma.github.io/Logging_1490/kartor_geotiff/A 61684-2023 georefererad karta.tif", "A 61684-2023")</f>
        <v/>
      </c>
      <c r="AA69">
        <f>HYPERLINK("https://klasma.github.io/Logging_1490/klagomål/A 61684-2023 FSC-klagomål.docx", "A 61684-2023")</f>
        <v/>
      </c>
      <c r="AB69">
        <f>HYPERLINK("https://klasma.github.io/Logging_1490/klagomålsmail/A 61684-2023 FSC-klagomål mail.docx", "A 61684-2023")</f>
        <v/>
      </c>
      <c r="AC69">
        <f>HYPERLINK("https://klasma.github.io/Logging_1490/tillsyn/A 61684-2023 tillsynsbegäran.docx", "A 61684-2023")</f>
        <v/>
      </c>
      <c r="AD69">
        <f>HYPERLINK("https://klasma.github.io/Logging_1490/tillsynsmail/A 61684-2023 tillsynsbegäran mail.docx", "A 61684-2023")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46279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31980-2024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46279</v>
      </c>
      <c r="F71" t="inlineStr">
        <is>
          <t>VÄSTRA GÖTALANDS LÄN</t>
        </is>
      </c>
      <c r="G71" t="inlineStr">
        <is>
          <t>BORÅS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Lopplummer (aggregat)</t>
        </is>
      </c>
      <c r="W71">
        <f>HYPERLINK("https://klasma.github.io/Logging_1490/artfynd/A 31980-2024 artfynd.xlsx", "A 31980-2024")</f>
        <v/>
      </c>
      <c r="X71">
        <f>HYPERLINK("https://klasma.github.io/Logging_1490/kartor/A 31980-2024 karta.png", "A 31980-2024")</f>
        <v/>
      </c>
      <c r="Y71">
        <f>HYPERLINK("https://klasma.github.io/Logging_1490/kartor_geotiff/A 31980-2024 georefererad karta.tif", "A 31980-2024")</f>
        <v/>
      </c>
      <c r="AA71">
        <f>HYPERLINK("https://klasma.github.io/Logging_1490/klagomål/A 31980-2024 FSC-klagomål.docx", "A 31980-2024")</f>
        <v/>
      </c>
      <c r="AB71">
        <f>HYPERLINK("https://klasma.github.io/Logging_1490/klagomålsmail/A 31980-2024 FSC-klagomål mail.docx", "A 31980-2024")</f>
        <v/>
      </c>
      <c r="AC71">
        <f>HYPERLINK("https://klasma.github.io/Logging_1490/tillsyn/A 31980-2024 tillsynsbegäran.docx", "A 31980-2024")</f>
        <v/>
      </c>
      <c r="AD71">
        <f>HYPERLINK("https://klasma.github.io/Logging_1490/tillsynsmail/A 31980-2024 tillsynsbegäran mail.docx", "A 31980-2024")</f>
        <v/>
      </c>
    </row>
    <row r="72" ht="15" customHeight="1">
      <c r="A72" t="inlineStr">
        <is>
          <t>A 35135-2026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46259</v>
      </c>
      <c r="E72" s="1" t="n">
        <v>46279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Strandskata</t>
        </is>
      </c>
      <c r="W72">
        <f>HYPERLINK("https://klasma.github.io/Logging_1490/artfynd/A 35135-2026 artfynd.xlsx", "A 35135-2026")</f>
        <v/>
      </c>
      <c r="X72">
        <f>HYPERLINK("https://klasma.github.io/Logging_1490/kartor/A 35135-2026 karta.png", "A 35135-2026")</f>
        <v/>
      </c>
      <c r="Y72">
        <f>HYPERLINK("https://klasma.github.io/Logging_1490/kartor_geotiff/A 35135-2026 georefererad karta.tif", "A 35135-2026")</f>
        <v/>
      </c>
      <c r="AA72">
        <f>HYPERLINK("https://klasma.github.io/Logging_1490/klagomål/A 35135-2026 FSC-klagomål.docx", "A 35135-2026")</f>
        <v/>
      </c>
      <c r="AB72">
        <f>HYPERLINK("https://klasma.github.io/Logging_1490/klagomålsmail/A 35135-2026 FSC-klagomål mail.docx", "A 35135-2026")</f>
        <v/>
      </c>
      <c r="AC72">
        <f>HYPERLINK("https://klasma.github.io/Logging_1490/tillsyn/A 35135-2026 tillsynsbegäran.docx", "A 35135-2026")</f>
        <v/>
      </c>
      <c r="AD72">
        <f>HYPERLINK("https://klasma.github.io/Logging_1490/tillsynsmail/A 35135-2026 tillsynsbegäran mail.docx", "A 35135-2026")</f>
        <v/>
      </c>
    </row>
    <row r="73" ht="15" customHeight="1">
      <c r="A73" t="inlineStr">
        <is>
          <t>A 27342-2022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46279</v>
      </c>
      <c r="F73" t="inlineStr">
        <is>
          <t>VÄSTRA GÖTALANDS LÄN</t>
        </is>
      </c>
      <c r="G73" t="inlineStr">
        <is>
          <t>BORÅS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Järnsparv</t>
        </is>
      </c>
      <c r="W73">
        <f>HYPERLINK("https://klasma.github.io/Logging_1490/artfynd/A 27342-2022 artfynd.xlsx", "A 27342-2022")</f>
        <v/>
      </c>
      <c r="X73">
        <f>HYPERLINK("https://klasma.github.io/Logging_1490/kartor/A 27342-2022 karta.png", "A 27342-2022")</f>
        <v/>
      </c>
      <c r="Y73">
        <f>HYPERLINK("https://klasma.github.io/Logging_1490/kartor_geotiff/A 27342-2022 georefererad karta.tif", "A 27342-2022")</f>
        <v/>
      </c>
      <c r="AA73">
        <f>HYPERLINK("https://klasma.github.io/Logging_1490/klagomål/A 27342-2022 FSC-klagomål.docx", "A 27342-2022")</f>
        <v/>
      </c>
      <c r="AB73">
        <f>HYPERLINK("https://klasma.github.io/Logging_1490/klagomålsmail/A 27342-2022 FSC-klagomål mail.docx", "A 27342-2022")</f>
        <v/>
      </c>
      <c r="AC73">
        <f>HYPERLINK("https://klasma.github.io/Logging_1490/tillsyn/A 27342-2022 tillsynsbegäran.docx", "A 27342-2022")</f>
        <v/>
      </c>
      <c r="AD73">
        <f>HYPERLINK("https://klasma.github.io/Logging_1490/tillsynsmail/A 27342-2022 tillsynsbegäran mail.docx", "A 27342-2022")</f>
        <v/>
      </c>
      <c r="AE73">
        <f>HYPERLINK("https://klasma.github.io/Logging_1490/fåglar/A 27342-2022 prioriterade fågelarter.docx", "A 27342-2022")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46279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46279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46279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46279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46279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46279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46279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46279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46279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46279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46279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46279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46279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46279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46279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46279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46279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46279</v>
      </c>
      <c r="F91" t="inlineStr">
        <is>
          <t>VÄSTRA GÖTALANDS LÄN</t>
        </is>
      </c>
      <c r="G91" t="inlineStr">
        <is>
          <t>BORÅS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46279</v>
      </c>
      <c r="F92" t="inlineStr">
        <is>
          <t>VÄSTRA GÖTALANDS LÄN</t>
        </is>
      </c>
      <c r="G92" t="inlineStr">
        <is>
          <t>BORÅS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46279</v>
      </c>
      <c r="F93" t="inlineStr">
        <is>
          <t>VÄSTRA GÖTALANDS LÄN</t>
        </is>
      </c>
      <c r="G93" t="inlineStr">
        <is>
          <t>BORÅS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46279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46279</v>
      </c>
      <c r="F95" t="inlineStr">
        <is>
          <t>VÄSTRA GÖTALANDS LÄN</t>
        </is>
      </c>
      <c r="G95" t="inlineStr">
        <is>
          <t>BORÅS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44837</v>
      </c>
      <c r="E96" s="1" t="n">
        <v>46279</v>
      </c>
      <c r="F96" t="inlineStr">
        <is>
          <t>VÄSTRA GÖTALANDS LÄN</t>
        </is>
      </c>
      <c r="G96" t="inlineStr">
        <is>
          <t>BORÅS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44586</v>
      </c>
      <c r="E97" s="1" t="n">
        <v>46279</v>
      </c>
      <c r="F97" t="inlineStr">
        <is>
          <t>VÄSTRA GÖTALANDS LÄN</t>
        </is>
      </c>
      <c r="G97" t="inlineStr">
        <is>
          <t>BORÅS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52308-2022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44873</v>
      </c>
      <c r="E98" s="1" t="n">
        <v>46279</v>
      </c>
      <c r="F98" t="inlineStr">
        <is>
          <t>VÄSTRA GÖTALANDS LÄN</t>
        </is>
      </c>
      <c r="G98" t="inlineStr">
        <is>
          <t>BORÅS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70931-2021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46279</v>
      </c>
      <c r="F99" t="inlineStr">
        <is>
          <t>VÄSTRA GÖTALANDS LÄN</t>
        </is>
      </c>
      <c r="G99" t="inlineStr">
        <is>
          <t>BORÅS</t>
        </is>
      </c>
      <c r="H99" t="inlineStr">
        <is>
          <t>Kommuner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46279</v>
      </c>
      <c r="F100" t="inlineStr">
        <is>
          <t>VÄSTRA GÖTALANDS LÄN</t>
        </is>
      </c>
      <c r="G100" t="inlineStr">
        <is>
          <t>BORÅS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46279</v>
      </c>
      <c r="F101" t="inlineStr">
        <is>
          <t>VÄSTRA GÖTALANDS LÄN</t>
        </is>
      </c>
      <c r="G101" t="inlineStr">
        <is>
          <t>BORÅS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46279</v>
      </c>
      <c r="F102" t="inlineStr">
        <is>
          <t>VÄSTRA GÖTALANDS LÄN</t>
        </is>
      </c>
      <c r="G102" t="inlineStr">
        <is>
          <t>BORÅS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46279</v>
      </c>
      <c r="F103" t="inlineStr">
        <is>
          <t>VÄSTRA GÖTALANDS LÄN</t>
        </is>
      </c>
      <c r="G103" t="inlineStr">
        <is>
          <t>BORÅS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44502</v>
      </c>
      <c r="E104" s="1" t="n">
        <v>46279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44475</v>
      </c>
      <c r="E105" s="1" t="n">
        <v>46279</v>
      </c>
      <c r="F105" t="inlineStr">
        <is>
          <t>VÄSTRA GÖTALANDS LÄN</t>
        </is>
      </c>
      <c r="G105" t="inlineStr">
        <is>
          <t>BORÅS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46279</v>
      </c>
      <c r="F106" t="inlineStr">
        <is>
          <t>VÄSTRA GÖTALANDS LÄN</t>
        </is>
      </c>
      <c r="G106" t="inlineStr">
        <is>
          <t>BORÅS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51986-2021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44463</v>
      </c>
      <c r="E107" s="1" t="n">
        <v>46279</v>
      </c>
      <c r="F107" t="inlineStr">
        <is>
          <t>VÄSTRA GÖTALANDS LÄN</t>
        </is>
      </c>
      <c r="G107" t="inlineStr">
        <is>
          <t>BORÅS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44523</v>
      </c>
      <c r="E108" s="1" t="n">
        <v>46279</v>
      </c>
      <c r="F108" t="inlineStr">
        <is>
          <t>VÄSTRA GÖTALANDS LÄN</t>
        </is>
      </c>
      <c r="G108" t="inlineStr">
        <is>
          <t>BORÅS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64609-2021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46279</v>
      </c>
      <c r="F109" t="inlineStr">
        <is>
          <t>VÄSTRA GÖTALANDS LÄN</t>
        </is>
      </c>
      <c r="G109" t="inlineStr">
        <is>
          <t>BORÅS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46279</v>
      </c>
      <c r="F110" t="inlineStr">
        <is>
          <t>VÄSTRA GÖTALANDS LÄN</t>
        </is>
      </c>
      <c r="G110" t="inlineStr">
        <is>
          <t>BORÅS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44605</v>
      </c>
      <c r="E111" s="1" t="n">
        <v>46279</v>
      </c>
      <c r="F111" t="inlineStr">
        <is>
          <t>VÄSTRA GÖTALANDS LÄN</t>
        </is>
      </c>
      <c r="G111" t="inlineStr">
        <is>
          <t>BORÅS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46279</v>
      </c>
      <c r="F112" t="inlineStr">
        <is>
          <t>VÄSTRA GÖTALANDS LÄN</t>
        </is>
      </c>
      <c r="G112" t="inlineStr">
        <is>
          <t>BORÅS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46279</v>
      </c>
      <c r="F113" t="inlineStr">
        <is>
          <t>VÄSTRA GÖTALANDS LÄN</t>
        </is>
      </c>
      <c r="G113" t="inlineStr">
        <is>
          <t>BORÅS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46279</v>
      </c>
      <c r="F114" t="inlineStr">
        <is>
          <t>VÄSTRA GÖTALANDS LÄN</t>
        </is>
      </c>
      <c r="G114" t="inlineStr">
        <is>
          <t>BORÅS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46279</v>
      </c>
      <c r="F115" t="inlineStr">
        <is>
          <t>VÄSTRA GÖTALANDS LÄN</t>
        </is>
      </c>
      <c r="G115" t="inlineStr">
        <is>
          <t>BORÅS</t>
        </is>
      </c>
      <c r="H115" t="inlineStr">
        <is>
          <t>Kyrkan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46279</v>
      </c>
      <c r="F116" t="inlineStr">
        <is>
          <t>VÄSTRA GÖTALANDS LÄN</t>
        </is>
      </c>
      <c r="G116" t="inlineStr">
        <is>
          <t>BORÅS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51980-2021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44463</v>
      </c>
      <c r="E117" s="1" t="n">
        <v>46279</v>
      </c>
      <c r="F117" t="inlineStr">
        <is>
          <t>VÄSTRA GÖTALANDS LÄN</t>
        </is>
      </c>
      <c r="G117" t="inlineStr">
        <is>
          <t>BORÅS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46279</v>
      </c>
      <c r="F118" t="inlineStr">
        <is>
          <t>VÄSTRA GÖTALANDS LÄN</t>
        </is>
      </c>
      <c r="G118" t="inlineStr">
        <is>
          <t>BORÅS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44673</v>
      </c>
      <c r="E119" s="1" t="n">
        <v>46279</v>
      </c>
      <c r="F119" t="inlineStr">
        <is>
          <t>VÄSTRA GÖTALANDS LÄN</t>
        </is>
      </c>
      <c r="G119" t="inlineStr">
        <is>
          <t>BORÅS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46279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52307-2022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44873</v>
      </c>
      <c r="E121" s="1" t="n">
        <v>46279</v>
      </c>
      <c r="F121" t="inlineStr">
        <is>
          <t>VÄSTRA GÖTALANDS LÄN</t>
        </is>
      </c>
      <c r="G121" t="inlineStr">
        <is>
          <t>BORÅS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44565</v>
      </c>
      <c r="E122" s="1" t="n">
        <v>46279</v>
      </c>
      <c r="F122" t="inlineStr">
        <is>
          <t>VÄSTRA GÖTALANDS LÄN</t>
        </is>
      </c>
      <c r="G122" t="inlineStr">
        <is>
          <t>BORÅS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73268-2021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46279</v>
      </c>
      <c r="F123" t="inlineStr">
        <is>
          <t>VÄSTRA GÖTALANDS LÄN</t>
        </is>
      </c>
      <c r="G123" t="inlineStr">
        <is>
          <t>BORÅS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54275-2022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44882</v>
      </c>
      <c r="E124" s="1" t="n">
        <v>46279</v>
      </c>
      <c r="F124" t="inlineStr">
        <is>
          <t>VÄSTRA GÖTALANDS LÄN</t>
        </is>
      </c>
      <c r="G124" t="inlineStr">
        <is>
          <t>BORÅS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68634-2021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46279</v>
      </c>
      <c r="F125" t="inlineStr">
        <is>
          <t>VÄSTRA GÖTALANDS LÄN</t>
        </is>
      </c>
      <c r="G125" t="inlineStr">
        <is>
          <t>BORÅS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12802-2022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44642</v>
      </c>
      <c r="E126" s="1" t="n">
        <v>46279</v>
      </c>
      <c r="F126" t="inlineStr">
        <is>
          <t>VÄSTRA GÖTALANDS LÄN</t>
        </is>
      </c>
      <c r="G126" t="inlineStr">
        <is>
          <t>BORÅS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46279</v>
      </c>
      <c r="F127" t="inlineStr">
        <is>
          <t>VÄSTRA GÖTALANDS LÄN</t>
        </is>
      </c>
      <c r="G127" t="inlineStr">
        <is>
          <t>BORÅS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44678</v>
      </c>
      <c r="E128" s="1" t="n">
        <v>46279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45459-2023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45194</v>
      </c>
      <c r="E129" s="1" t="n">
        <v>46279</v>
      </c>
      <c r="F129" t="inlineStr">
        <is>
          <t>VÄSTRA GÖTALANDS LÄN</t>
        </is>
      </c>
      <c r="G129" t="inlineStr">
        <is>
          <t>BORÅS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45412</v>
      </c>
      <c r="E130" s="1" t="n">
        <v>46279</v>
      </c>
      <c r="F130" t="inlineStr">
        <is>
          <t>VÄSTRA GÖTALANDS LÄN</t>
        </is>
      </c>
      <c r="G130" t="inlineStr">
        <is>
          <t>BORÅS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19482-2023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45050</v>
      </c>
      <c r="E131" s="1" t="n">
        <v>46279</v>
      </c>
      <c r="F131" t="inlineStr">
        <is>
          <t>VÄSTRA GÖTALANDS LÄN</t>
        </is>
      </c>
      <c r="G131" t="inlineStr">
        <is>
          <t>BORÅS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45406</v>
      </c>
      <c r="E132" s="1" t="n">
        <v>46279</v>
      </c>
      <c r="F132" t="inlineStr">
        <is>
          <t>VÄSTRA GÖTALANDS LÄN</t>
        </is>
      </c>
      <c r="G132" t="inlineStr">
        <is>
          <t>BORÅS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44916</v>
      </c>
      <c r="E133" s="1" t="n">
        <v>46279</v>
      </c>
      <c r="F133" t="inlineStr">
        <is>
          <t>VÄSTRA GÖTALANDS LÄN</t>
        </is>
      </c>
      <c r="G133" t="inlineStr">
        <is>
          <t>BORÅS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46279</v>
      </c>
      <c r="F134" t="inlineStr">
        <is>
          <t>VÄSTRA GÖTALANDS LÄN</t>
        </is>
      </c>
      <c r="G134" t="inlineStr">
        <is>
          <t>BORÅS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12439-2024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45379</v>
      </c>
      <c r="E135" s="1" t="n">
        <v>46279</v>
      </c>
      <c r="F135" t="inlineStr">
        <is>
          <t>VÄSTRA GÖTALANDS LÄN</t>
        </is>
      </c>
      <c r="G135" t="inlineStr">
        <is>
          <t>BORÅS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46279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46279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44837</v>
      </c>
      <c r="E138" s="1" t="n">
        <v>46279</v>
      </c>
      <c r="F138" t="inlineStr">
        <is>
          <t>VÄSTRA GÖTALANDS LÄN</t>
        </is>
      </c>
      <c r="G138" t="inlineStr">
        <is>
          <t>BORÅS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46279</v>
      </c>
      <c r="F139" t="inlineStr">
        <is>
          <t>VÄSTRA GÖTALANDS LÄN</t>
        </is>
      </c>
      <c r="G139" t="inlineStr">
        <is>
          <t>BORÅS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46279</v>
      </c>
      <c r="F140" t="inlineStr">
        <is>
          <t>VÄSTRA GÖTALANDS LÄN</t>
        </is>
      </c>
      <c r="G140" t="inlineStr">
        <is>
          <t>BORÅS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44577</v>
      </c>
      <c r="E141" s="1" t="n">
        <v>46279</v>
      </c>
      <c r="F141" t="inlineStr">
        <is>
          <t>VÄSTRA GÖTALANDS LÄN</t>
        </is>
      </c>
      <c r="G141" t="inlineStr">
        <is>
          <t>BORÅS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46279</v>
      </c>
      <c r="F142" t="inlineStr">
        <is>
          <t>VÄSTRA GÖTALANDS LÄN</t>
        </is>
      </c>
      <c r="G142" t="inlineStr">
        <is>
          <t>BORÅS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46279</v>
      </c>
      <c r="F143" t="inlineStr">
        <is>
          <t>VÄSTRA GÖTALANDS LÄN</t>
        </is>
      </c>
      <c r="G143" t="inlineStr">
        <is>
          <t>BORÅS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44900</v>
      </c>
      <c r="E144" s="1" t="n">
        <v>46279</v>
      </c>
      <c r="F144" t="inlineStr">
        <is>
          <t>VÄSTRA GÖTALANDS LÄN</t>
        </is>
      </c>
      <c r="G144" t="inlineStr">
        <is>
          <t>BORÅS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46279</v>
      </c>
      <c r="F145" t="inlineStr">
        <is>
          <t>VÄSTRA GÖTALANDS LÄN</t>
        </is>
      </c>
      <c r="G145" t="inlineStr">
        <is>
          <t>BORÅS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11362-2022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44630</v>
      </c>
      <c r="E146" s="1" t="n">
        <v>46279</v>
      </c>
      <c r="F146" t="inlineStr">
        <is>
          <t>VÄSTRA GÖTALANDS LÄN</t>
        </is>
      </c>
      <c r="G146" t="inlineStr">
        <is>
          <t>BORÅS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46279</v>
      </c>
      <c r="F147" t="inlineStr">
        <is>
          <t>VÄSTRA GÖTALANDS LÄN</t>
        </is>
      </c>
      <c r="G147" t="inlineStr">
        <is>
          <t>BORÅS</t>
        </is>
      </c>
      <c r="H147" t="inlineStr">
        <is>
          <t>Kommuner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48342-2022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44858</v>
      </c>
      <c r="E148" s="1" t="n">
        <v>46279</v>
      </c>
      <c r="F148" t="inlineStr">
        <is>
          <t>VÄSTRA GÖTALANDS LÄN</t>
        </is>
      </c>
      <c r="G148" t="inlineStr">
        <is>
          <t>BORÅS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44956-2024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46279</v>
      </c>
      <c r="F149" t="inlineStr">
        <is>
          <t>VÄSTRA GÖTALANDS LÄN</t>
        </is>
      </c>
      <c r="G149" t="inlineStr">
        <is>
          <t>BORÅS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56684-2022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44888</v>
      </c>
      <c r="E150" s="1" t="n">
        <v>46279</v>
      </c>
      <c r="F150" t="inlineStr">
        <is>
          <t>VÄSTRA GÖTALANDS LÄN</t>
        </is>
      </c>
      <c r="G150" t="inlineStr">
        <is>
          <t>BORÅS</t>
        </is>
      </c>
      <c r="H150" t="inlineStr">
        <is>
          <t>Kyrkan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46279</v>
      </c>
      <c r="F151" t="inlineStr">
        <is>
          <t>VÄSTRA GÖTALANDS LÄN</t>
        </is>
      </c>
      <c r="G151" t="inlineStr">
        <is>
          <t>BORÅS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73822-2021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46279</v>
      </c>
      <c r="F152" t="inlineStr">
        <is>
          <t>VÄSTRA GÖTALANDS LÄN</t>
        </is>
      </c>
      <c r="G152" t="inlineStr">
        <is>
          <t>BORÅS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44964</v>
      </c>
      <c r="E153" s="1" t="n">
        <v>46279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44639</v>
      </c>
      <c r="E154" s="1" t="n">
        <v>46279</v>
      </c>
      <c r="F154" t="inlineStr">
        <is>
          <t>VÄSTRA GÖTALANDS LÄN</t>
        </is>
      </c>
      <c r="G154" t="inlineStr">
        <is>
          <t>BORÅS</t>
        </is>
      </c>
      <c r="I154" t="n">
        <v>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46279</v>
      </c>
      <c r="F155" t="inlineStr">
        <is>
          <t>VÄSTRA GÖTALANDS LÄN</t>
        </is>
      </c>
      <c r="G155" t="inlineStr">
        <is>
          <t>BORÅS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46279</v>
      </c>
      <c r="F156" t="inlineStr">
        <is>
          <t>VÄSTRA GÖTALANDS LÄN</t>
        </is>
      </c>
      <c r="G156" t="inlineStr">
        <is>
          <t>BORÅS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46279</v>
      </c>
      <c r="F157" t="inlineStr">
        <is>
          <t>VÄSTRA GÖTALANDS LÄN</t>
        </is>
      </c>
      <c r="G157" t="inlineStr">
        <is>
          <t>BORÅS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46279</v>
      </c>
      <c r="F158" t="inlineStr">
        <is>
          <t>VÄSTRA GÖTALANDS LÄN</t>
        </is>
      </c>
      <c r="G158" t="inlineStr">
        <is>
          <t>BORÅS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45472</v>
      </c>
      <c r="E159" s="1" t="n">
        <v>46279</v>
      </c>
      <c r="F159" t="inlineStr">
        <is>
          <t>VÄSTRA GÖTALANDS LÄN</t>
        </is>
      </c>
      <c r="G159" t="inlineStr">
        <is>
          <t>BORÅS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46279</v>
      </c>
      <c r="F160" t="inlineStr">
        <is>
          <t>VÄSTRA GÖTALANDS LÄN</t>
        </is>
      </c>
      <c r="G160" t="inlineStr">
        <is>
          <t>BORÅS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45821</v>
      </c>
      <c r="E161" s="1" t="n">
        <v>46279</v>
      </c>
      <c r="F161" t="inlineStr">
        <is>
          <t>VÄSTRA GÖTALANDS LÄN</t>
        </is>
      </c>
      <c r="G161" t="inlineStr">
        <is>
          <t>BORÅS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45823</v>
      </c>
      <c r="E162" s="1" t="n">
        <v>46279</v>
      </c>
      <c r="F162" t="inlineStr">
        <is>
          <t>VÄSTRA GÖTALANDS LÄN</t>
        </is>
      </c>
      <c r="G162" t="inlineStr">
        <is>
          <t>BORÅS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46279</v>
      </c>
      <c r="F163" t="inlineStr">
        <is>
          <t>VÄSTRA GÖTALANDS LÄN</t>
        </is>
      </c>
      <c r="G163" t="inlineStr">
        <is>
          <t>BORÅS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46279</v>
      </c>
      <c r="F164" t="inlineStr">
        <is>
          <t>VÄSTRA GÖTALANDS LÄN</t>
        </is>
      </c>
      <c r="G164" t="inlineStr">
        <is>
          <t>BORÅS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44910</v>
      </c>
      <c r="E165" s="1" t="n">
        <v>46279</v>
      </c>
      <c r="F165" t="inlineStr">
        <is>
          <t>VÄSTRA GÖTALANDS LÄN</t>
        </is>
      </c>
      <c r="G165" t="inlineStr">
        <is>
          <t>BORÅS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45678</v>
      </c>
      <c r="E166" s="1" t="n">
        <v>46279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10291-2025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45720</v>
      </c>
      <c r="E167" s="1" t="n">
        <v>46279</v>
      </c>
      <c r="F167" t="inlineStr">
        <is>
          <t>VÄSTRA GÖTALANDS LÄN</t>
        </is>
      </c>
      <c r="G167" t="inlineStr">
        <is>
          <t>BORÅS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45727</v>
      </c>
      <c r="E168" s="1" t="n">
        <v>46279</v>
      </c>
      <c r="F168" t="inlineStr">
        <is>
          <t>VÄSTRA GÖTALANDS LÄN</t>
        </is>
      </c>
      <c r="G168" t="inlineStr">
        <is>
          <t>BORÅS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45723</v>
      </c>
      <c r="E169" s="1" t="n">
        <v>46279</v>
      </c>
      <c r="F169" t="inlineStr">
        <is>
          <t>VÄSTRA GÖTALANDS LÄN</t>
        </is>
      </c>
      <c r="G169" t="inlineStr">
        <is>
          <t>BORÅS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46279</v>
      </c>
      <c r="F170" t="inlineStr">
        <is>
          <t>VÄSTRA GÖTALANDS LÄN</t>
        </is>
      </c>
      <c r="G170" t="inlineStr">
        <is>
          <t>BORÅS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46279</v>
      </c>
      <c r="F171" t="inlineStr">
        <is>
          <t>VÄSTRA GÖTALANDS LÄN</t>
        </is>
      </c>
      <c r="G171" t="inlineStr">
        <is>
          <t>BORÅS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30312-2025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45827</v>
      </c>
      <c r="E172" s="1" t="n">
        <v>46279</v>
      </c>
      <c r="F172" t="inlineStr">
        <is>
          <t>VÄSTRA GÖTALANDS LÄN</t>
        </is>
      </c>
      <c r="G172" t="inlineStr">
        <is>
          <t>BORÅS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45727</v>
      </c>
      <c r="E173" s="1" t="n">
        <v>46279</v>
      </c>
      <c r="F173" t="inlineStr">
        <is>
          <t>VÄSTRA GÖTALANDS LÄN</t>
        </is>
      </c>
      <c r="G173" t="inlineStr">
        <is>
          <t>BORÅS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44941</v>
      </c>
      <c r="E174" s="1" t="n">
        <v>46279</v>
      </c>
      <c r="F174" t="inlineStr">
        <is>
          <t>VÄSTRA GÖTALANDS LÄN</t>
        </is>
      </c>
      <c r="G174" t="inlineStr">
        <is>
          <t>BORÅS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45579</v>
      </c>
      <c r="E175" s="1" t="n">
        <v>46279</v>
      </c>
      <c r="F175" t="inlineStr">
        <is>
          <t>VÄSTRA GÖTALANDS LÄN</t>
        </is>
      </c>
      <c r="G175" t="inlineStr">
        <is>
          <t>BORÅS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46279</v>
      </c>
      <c r="F176" t="inlineStr">
        <is>
          <t>VÄSTRA GÖTALANDS LÄN</t>
        </is>
      </c>
      <c r="G176" t="inlineStr">
        <is>
          <t>BORÅS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45832</v>
      </c>
      <c r="E177" s="1" t="n">
        <v>46279</v>
      </c>
      <c r="F177" t="inlineStr">
        <is>
          <t>VÄSTRA GÖTALANDS LÄN</t>
        </is>
      </c>
      <c r="G177" t="inlineStr">
        <is>
          <t>BORÅS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45547</v>
      </c>
      <c r="E178" s="1" t="n">
        <v>46279</v>
      </c>
      <c r="F178" t="inlineStr">
        <is>
          <t>VÄSTRA GÖTALANDS LÄN</t>
        </is>
      </c>
      <c r="G178" t="inlineStr">
        <is>
          <t>BORÅS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45887</v>
      </c>
      <c r="E179" s="1" t="n">
        <v>46279</v>
      </c>
      <c r="F179" t="inlineStr">
        <is>
          <t>VÄSTRA GÖTALANDS LÄN</t>
        </is>
      </c>
      <c r="G179" t="inlineStr">
        <is>
          <t>BORÅS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46279</v>
      </c>
      <c r="F180" t="inlineStr">
        <is>
          <t>VÄSTRA GÖTALANDS LÄN</t>
        </is>
      </c>
      <c r="G180" t="inlineStr">
        <is>
          <t>BORÅS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46279</v>
      </c>
      <c r="F181" t="inlineStr">
        <is>
          <t>VÄSTRA GÖTALANDS LÄN</t>
        </is>
      </c>
      <c r="G181" t="inlineStr">
        <is>
          <t>BORÅS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46279</v>
      </c>
      <c r="F182" t="inlineStr">
        <is>
          <t>VÄSTRA GÖTALANDS LÄN</t>
        </is>
      </c>
      <c r="G182" t="inlineStr">
        <is>
          <t>BORÅS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46279</v>
      </c>
      <c r="F183" t="inlineStr">
        <is>
          <t>VÄSTRA GÖTALANDS LÄN</t>
        </is>
      </c>
      <c r="G183" t="inlineStr">
        <is>
          <t>BORÅS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45836</v>
      </c>
      <c r="E184" s="1" t="n">
        <v>46279</v>
      </c>
      <c r="F184" t="inlineStr">
        <is>
          <t>VÄSTRA GÖTALANDS LÄN</t>
        </is>
      </c>
      <c r="G184" t="inlineStr">
        <is>
          <t>BORÅS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45836</v>
      </c>
      <c r="E185" s="1" t="n">
        <v>46279</v>
      </c>
      <c r="F185" t="inlineStr">
        <is>
          <t>VÄSTRA GÖTALANDS LÄN</t>
        </is>
      </c>
      <c r="G185" t="inlineStr">
        <is>
          <t>BORÅS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46279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46279</v>
      </c>
      <c r="F187" t="inlineStr">
        <is>
          <t>VÄSTRA GÖTALANDS LÄN</t>
        </is>
      </c>
      <c r="G187" t="inlineStr">
        <is>
          <t>BORÅS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57786-2022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44897</v>
      </c>
      <c r="E188" s="1" t="n">
        <v>46279</v>
      </c>
      <c r="F188" t="inlineStr">
        <is>
          <t>VÄSTRA GÖTALANDS LÄN</t>
        </is>
      </c>
      <c r="G188" t="inlineStr">
        <is>
          <t>BORÅS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46279</v>
      </c>
      <c r="F189" t="inlineStr">
        <is>
          <t>VÄSTRA GÖTALANDS LÄN</t>
        </is>
      </c>
      <c r="G189" t="inlineStr">
        <is>
          <t>BORÅS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46279</v>
      </c>
      <c r="F190" t="inlineStr">
        <is>
          <t>VÄSTRA GÖTALANDS LÄN</t>
        </is>
      </c>
      <c r="G190" t="inlineStr">
        <is>
          <t>BORÅS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46279</v>
      </c>
      <c r="F191" t="inlineStr">
        <is>
          <t>VÄSTRA GÖTALANDS LÄN</t>
        </is>
      </c>
      <c r="G191" t="inlineStr">
        <is>
          <t>BORÅS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46279</v>
      </c>
      <c r="F192" t="inlineStr">
        <is>
          <t>VÄSTRA GÖTALANDS LÄN</t>
        </is>
      </c>
      <c r="G192" t="inlineStr">
        <is>
          <t>BORÅS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45392</v>
      </c>
      <c r="E193" s="1" t="n">
        <v>46279</v>
      </c>
      <c r="F193" t="inlineStr">
        <is>
          <t>VÄSTRA GÖTALANDS LÄN</t>
        </is>
      </c>
      <c r="G193" t="inlineStr">
        <is>
          <t>BORÅS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46279</v>
      </c>
      <c r="F194" t="inlineStr">
        <is>
          <t>VÄSTRA GÖTALANDS LÄN</t>
        </is>
      </c>
      <c r="G194" t="inlineStr">
        <is>
          <t>BORÅS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46279</v>
      </c>
      <c r="F195" t="inlineStr">
        <is>
          <t>VÄSTRA GÖTALANDS LÄN</t>
        </is>
      </c>
      <c r="G195" t="inlineStr">
        <is>
          <t>BORÅS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45895</v>
      </c>
      <c r="E196" s="1" t="n">
        <v>46279</v>
      </c>
      <c r="F196" t="inlineStr">
        <is>
          <t>VÄSTRA GÖTALANDS LÄN</t>
        </is>
      </c>
      <c r="G196" t="inlineStr">
        <is>
          <t>BORÅS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46279</v>
      </c>
      <c r="F197" t="inlineStr">
        <is>
          <t>VÄSTRA GÖTALANDS LÄN</t>
        </is>
      </c>
      <c r="G197" t="inlineStr">
        <is>
          <t>BORÅS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28552-2022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46279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45848</v>
      </c>
      <c r="E199" s="1" t="n">
        <v>46279</v>
      </c>
      <c r="F199" t="inlineStr">
        <is>
          <t>VÄSTRA GÖTALANDS LÄN</t>
        </is>
      </c>
      <c r="G199" t="inlineStr">
        <is>
          <t>BORÅS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44740</v>
      </c>
      <c r="E200" s="1" t="n">
        <v>46279</v>
      </c>
      <c r="F200" t="inlineStr">
        <is>
          <t>VÄSTRA GÖTALANDS LÄN</t>
        </is>
      </c>
      <c r="G200" t="inlineStr">
        <is>
          <t>BORÅS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46279</v>
      </c>
      <c r="F201" t="inlineStr">
        <is>
          <t>VÄSTRA GÖTALANDS LÄN</t>
        </is>
      </c>
      <c r="G201" t="inlineStr">
        <is>
          <t>BORÅS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46279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Sveaskog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45392</v>
      </c>
      <c r="E203" s="1" t="n">
        <v>46279</v>
      </c>
      <c r="F203" t="inlineStr">
        <is>
          <t>VÄSTRA GÖTALANDS LÄN</t>
        </is>
      </c>
      <c r="G203" t="inlineStr">
        <is>
          <t>BORÅS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46279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46279</v>
      </c>
      <c r="F205" t="inlineStr">
        <is>
          <t>VÄSTRA GÖTALANDS LÄN</t>
        </is>
      </c>
      <c r="G205" t="inlineStr">
        <is>
          <t>BORÅS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45866</v>
      </c>
      <c r="E206" s="1" t="n">
        <v>46279</v>
      </c>
      <c r="F206" t="inlineStr">
        <is>
          <t>VÄSTRA GÖTALANDS LÄN</t>
        </is>
      </c>
      <c r="G206" t="inlineStr">
        <is>
          <t>BORÅS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46279</v>
      </c>
      <c r="F207" t="inlineStr">
        <is>
          <t>VÄSTRA GÖTALANDS LÄN</t>
        </is>
      </c>
      <c r="G207" t="inlineStr">
        <is>
          <t>BORÅS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24183-2024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45456</v>
      </c>
      <c r="E208" s="1" t="n">
        <v>46279</v>
      </c>
      <c r="F208" t="inlineStr">
        <is>
          <t>VÄSTRA GÖTALANDS LÄN</t>
        </is>
      </c>
      <c r="G208" t="inlineStr">
        <is>
          <t>BORÅS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46279</v>
      </c>
      <c r="F209" t="inlineStr">
        <is>
          <t>VÄSTRA GÖTALANDS LÄN</t>
        </is>
      </c>
      <c r="G209" t="inlineStr">
        <is>
          <t>BORÅS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28171-2022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44746</v>
      </c>
      <c r="E210" s="1" t="n">
        <v>46279</v>
      </c>
      <c r="F210" t="inlineStr">
        <is>
          <t>VÄSTRA GÖTALANDS LÄN</t>
        </is>
      </c>
      <c r="G210" t="inlineStr">
        <is>
          <t>BORÅS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46279</v>
      </c>
      <c r="F211" t="inlineStr">
        <is>
          <t>VÄSTRA GÖTALANDS LÄN</t>
        </is>
      </c>
      <c r="G211" t="inlineStr">
        <is>
          <t>BORÅS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54361-2022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44882</v>
      </c>
      <c r="E212" s="1" t="n">
        <v>46279</v>
      </c>
      <c r="F212" t="inlineStr">
        <is>
          <t>VÄSTRA GÖTALANDS LÄN</t>
        </is>
      </c>
      <c r="G212" t="inlineStr">
        <is>
          <t>BORÅS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45612</v>
      </c>
      <c r="E213" s="1" t="n">
        <v>46279</v>
      </c>
      <c r="F213" t="inlineStr">
        <is>
          <t>VÄSTRA GÖTALANDS LÄN</t>
        </is>
      </c>
      <c r="G213" t="inlineStr">
        <is>
          <t>BORÅS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45610</v>
      </c>
      <c r="E214" s="1" t="n">
        <v>46279</v>
      </c>
      <c r="F214" t="inlineStr">
        <is>
          <t>VÄSTRA GÖTALANDS LÄN</t>
        </is>
      </c>
      <c r="G214" t="inlineStr">
        <is>
          <t>BORÅS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46279</v>
      </c>
      <c r="F215" t="inlineStr">
        <is>
          <t>VÄSTRA GÖTALANDS LÄN</t>
        </is>
      </c>
      <c r="G215" t="inlineStr">
        <is>
          <t>BORÅS</t>
        </is>
      </c>
      <c r="H215" t="inlineStr">
        <is>
          <t>Kyrkan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46279</v>
      </c>
      <c r="F216" t="inlineStr">
        <is>
          <t>VÄSTRA GÖTALANDS LÄN</t>
        </is>
      </c>
      <c r="G216" t="inlineStr">
        <is>
          <t>BORÅS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45356</v>
      </c>
      <c r="E217" s="1" t="n">
        <v>46279</v>
      </c>
      <c r="F217" t="inlineStr">
        <is>
          <t>VÄSTRA GÖTALANDS LÄN</t>
        </is>
      </c>
      <c r="G217" t="inlineStr">
        <is>
          <t>BORÅS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46279</v>
      </c>
      <c r="F218" t="inlineStr">
        <is>
          <t>VÄSTRA GÖTALANDS LÄN</t>
        </is>
      </c>
      <c r="G218" t="inlineStr">
        <is>
          <t>BORÅS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46279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46279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46279</v>
      </c>
      <c r="F221" t="inlineStr">
        <is>
          <t>VÄSTRA GÖTALANDS LÄN</t>
        </is>
      </c>
      <c r="G221" t="inlineStr">
        <is>
          <t>BORÅS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46279</v>
      </c>
      <c r="F222" t="inlineStr">
        <is>
          <t>VÄSTRA GÖTALANDS LÄN</t>
        </is>
      </c>
      <c r="G222" t="inlineStr">
        <is>
          <t>BORÅS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45877</v>
      </c>
      <c r="E223" s="1" t="n">
        <v>46279</v>
      </c>
      <c r="F223" t="inlineStr">
        <is>
          <t>VÄSTRA GÖTALANDS LÄN</t>
        </is>
      </c>
      <c r="G223" t="inlineStr">
        <is>
          <t>BORÅS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46279</v>
      </c>
      <c r="F224" t="inlineStr">
        <is>
          <t>VÄSTRA GÖTALANDS LÄN</t>
        </is>
      </c>
      <c r="G224" t="inlineStr">
        <is>
          <t>BORÅS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44959</v>
      </c>
      <c r="E225" s="1" t="n">
        <v>46279</v>
      </c>
      <c r="F225" t="inlineStr">
        <is>
          <t>VÄSTRA GÖTALANDS LÄN</t>
        </is>
      </c>
      <c r="G225" t="inlineStr">
        <is>
          <t>BORÅS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45058</v>
      </c>
      <c r="E226" s="1" t="n">
        <v>46279</v>
      </c>
      <c r="F226" t="inlineStr">
        <is>
          <t>VÄSTRA GÖTALANDS LÄN</t>
        </is>
      </c>
      <c r="G226" t="inlineStr">
        <is>
          <t>BORÅS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46279</v>
      </c>
      <c r="F227" t="inlineStr">
        <is>
          <t>VÄSTRA GÖTALANDS LÄN</t>
        </is>
      </c>
      <c r="G227" t="inlineStr">
        <is>
          <t>BORÅS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45611</v>
      </c>
      <c r="E228" s="1" t="n">
        <v>46279</v>
      </c>
      <c r="F228" t="inlineStr">
        <is>
          <t>VÄSTRA GÖTALANDS LÄN</t>
        </is>
      </c>
      <c r="G228" t="inlineStr">
        <is>
          <t>BORÅS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46279</v>
      </c>
      <c r="F229" t="inlineStr">
        <is>
          <t>VÄSTRA GÖTALANDS LÄN</t>
        </is>
      </c>
      <c r="G229" t="inlineStr">
        <is>
          <t>BORÅS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46279</v>
      </c>
      <c r="F230" t="inlineStr">
        <is>
          <t>VÄSTRA GÖTALANDS LÄN</t>
        </is>
      </c>
      <c r="G230" t="inlineStr">
        <is>
          <t>BORÅS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45119</v>
      </c>
      <c r="E231" s="1" t="n">
        <v>46279</v>
      </c>
      <c r="F231" t="inlineStr">
        <is>
          <t>VÄSTRA GÖTALANDS LÄN</t>
        </is>
      </c>
      <c r="G231" t="inlineStr">
        <is>
          <t>BORÅS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46279</v>
      </c>
      <c r="F232" t="inlineStr">
        <is>
          <t>VÄSTRA GÖTALANDS LÄN</t>
        </is>
      </c>
      <c r="G232" t="inlineStr">
        <is>
          <t>BORÅS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45638</v>
      </c>
      <c r="E233" s="1" t="n">
        <v>46279</v>
      </c>
      <c r="F233" t="inlineStr">
        <is>
          <t>VÄSTRA GÖTALANDS LÄN</t>
        </is>
      </c>
      <c r="G233" t="inlineStr">
        <is>
          <t>BORÅS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46279</v>
      </c>
      <c r="F234" t="inlineStr">
        <is>
          <t>VÄSTRA GÖTALANDS LÄN</t>
        </is>
      </c>
      <c r="G234" t="inlineStr">
        <is>
          <t>BORÅS</t>
        </is>
      </c>
      <c r="H234" t="inlineStr">
        <is>
          <t>Kommuner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46279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Kommuner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46279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Kommuner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44993</v>
      </c>
      <c r="E237" s="1" t="n">
        <v>46279</v>
      </c>
      <c r="F237" t="inlineStr">
        <is>
          <t>VÄSTRA GÖTALANDS LÄN</t>
        </is>
      </c>
      <c r="G237" t="inlineStr">
        <is>
          <t>BORÅS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46279</v>
      </c>
      <c r="F238" t="inlineStr">
        <is>
          <t>VÄSTRA GÖTALANDS LÄN</t>
        </is>
      </c>
      <c r="G238" t="inlineStr">
        <is>
          <t>BORÅS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46279</v>
      </c>
      <c r="F239" t="inlineStr">
        <is>
          <t>VÄSTRA GÖTALANDS LÄN</t>
        </is>
      </c>
      <c r="G239" t="inlineStr">
        <is>
          <t>BORÅS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46279</v>
      </c>
      <c r="F240" t="inlineStr">
        <is>
          <t>VÄSTRA GÖTALANDS LÄN</t>
        </is>
      </c>
      <c r="G240" t="inlineStr">
        <is>
          <t>BORÅS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46279</v>
      </c>
      <c r="F241" t="inlineStr">
        <is>
          <t>VÄSTRA GÖTALANDS LÄN</t>
        </is>
      </c>
      <c r="G241" t="inlineStr">
        <is>
          <t>BORÅS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45103</v>
      </c>
      <c r="E242" s="1" t="n">
        <v>46279</v>
      </c>
      <c r="F242" t="inlineStr">
        <is>
          <t>VÄSTRA GÖTALANDS LÄN</t>
        </is>
      </c>
      <c r="G242" t="inlineStr">
        <is>
          <t>BORÅS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46279</v>
      </c>
      <c r="F243" t="inlineStr">
        <is>
          <t>VÄSTRA GÖTALANDS LÄN</t>
        </is>
      </c>
      <c r="G243" t="inlineStr">
        <is>
          <t>BORÅS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46279</v>
      </c>
      <c r="F244" t="inlineStr">
        <is>
          <t>VÄSTRA GÖTALANDS LÄN</t>
        </is>
      </c>
      <c r="G244" t="inlineStr">
        <is>
          <t>BORÅS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11874-2026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46085</v>
      </c>
      <c r="E245" s="1" t="n">
        <v>46279</v>
      </c>
      <c r="F245" t="inlineStr">
        <is>
          <t>VÄSTRA GÖTALANDS LÄN</t>
        </is>
      </c>
      <c r="G245" t="inlineStr">
        <is>
          <t>BORÅS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46279</v>
      </c>
      <c r="F246" t="inlineStr">
        <is>
          <t>VÄSTRA GÖTALANDS LÄN</t>
        </is>
      </c>
      <c r="G246" t="inlineStr">
        <is>
          <t>BORÅS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45629</v>
      </c>
      <c r="E247" s="1" t="n">
        <v>46279</v>
      </c>
      <c r="F247" t="inlineStr">
        <is>
          <t>VÄSTRA GÖTALANDS LÄN</t>
        </is>
      </c>
      <c r="G247" t="inlineStr">
        <is>
          <t>BORÅS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46279</v>
      </c>
      <c r="F248" t="inlineStr">
        <is>
          <t>VÄSTRA GÖTALANDS LÄN</t>
        </is>
      </c>
      <c r="G248" t="inlineStr">
        <is>
          <t>BORÅS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57426-2024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45629</v>
      </c>
      <c r="E249" s="1" t="n">
        <v>46279</v>
      </c>
      <c r="F249" t="inlineStr">
        <is>
          <t>VÄSTRA GÖTALANDS LÄN</t>
        </is>
      </c>
      <c r="G249" t="inlineStr">
        <is>
          <t>BORÅS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32241-2023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45119</v>
      </c>
      <c r="E250" s="1" t="n">
        <v>46279</v>
      </c>
      <c r="F250" t="inlineStr">
        <is>
          <t>VÄSTRA GÖTALANDS LÄN</t>
        </is>
      </c>
      <c r="G250" t="inlineStr">
        <is>
          <t>BORÅS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45582</v>
      </c>
      <c r="E251" s="1" t="n">
        <v>46279</v>
      </c>
      <c r="F251" t="inlineStr">
        <is>
          <t>VÄSTRA GÖTALANDS LÄN</t>
        </is>
      </c>
      <c r="G251" t="inlineStr">
        <is>
          <t>BORÅS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45803</v>
      </c>
      <c r="E252" s="1" t="n">
        <v>46279</v>
      </c>
      <c r="F252" t="inlineStr">
        <is>
          <t>VÄSTRA GÖTALANDS LÄN</t>
        </is>
      </c>
      <c r="G252" t="inlineStr">
        <is>
          <t>BORÅS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46279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46279</v>
      </c>
      <c r="F254" t="inlineStr">
        <is>
          <t>VÄSTRA GÖTALANDS LÄN</t>
        </is>
      </c>
      <c r="G254" t="inlineStr">
        <is>
          <t>BORÅS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46279</v>
      </c>
      <c r="F255" t="inlineStr">
        <is>
          <t>VÄSTRA GÖTALANDS LÄN</t>
        </is>
      </c>
      <c r="G255" t="inlineStr">
        <is>
          <t>BORÅS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12635-2026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46091</v>
      </c>
      <c r="E256" s="1" t="n">
        <v>46279</v>
      </c>
      <c r="F256" t="inlineStr">
        <is>
          <t>VÄSTRA GÖTALANDS LÄN</t>
        </is>
      </c>
      <c r="G256" t="inlineStr">
        <is>
          <t>BORÅS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12516-2026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46279</v>
      </c>
      <c r="F257" t="inlineStr">
        <is>
          <t>VÄSTRA GÖTALANDS LÄN</t>
        </is>
      </c>
      <c r="G257" t="inlineStr">
        <is>
          <t>BORÅS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32443-2023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45120</v>
      </c>
      <c r="E258" s="1" t="n">
        <v>46279</v>
      </c>
      <c r="F258" t="inlineStr">
        <is>
          <t>VÄSTRA GÖTALANDS LÄN</t>
        </is>
      </c>
      <c r="G258" t="inlineStr">
        <is>
          <t>BORÅS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46279</v>
      </c>
      <c r="F259" t="inlineStr">
        <is>
          <t>VÄSTRA GÖTALANDS LÄN</t>
        </is>
      </c>
      <c r="G259" t="inlineStr">
        <is>
          <t>BORÅS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46279</v>
      </c>
      <c r="F260" t="inlineStr">
        <is>
          <t>VÄSTRA GÖTALANDS LÄN</t>
        </is>
      </c>
      <c r="G260" t="inlineStr">
        <is>
          <t>BORÅS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45947</v>
      </c>
      <c r="E261" s="1" t="n">
        <v>46279</v>
      </c>
      <c r="F261" t="inlineStr">
        <is>
          <t>VÄSTRA GÖTALANDS LÄN</t>
        </is>
      </c>
      <c r="G261" t="inlineStr">
        <is>
          <t>BORÅS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51199-2025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45947</v>
      </c>
      <c r="E262" s="1" t="n">
        <v>46279</v>
      </c>
      <c r="F262" t="inlineStr">
        <is>
          <t>VÄSTRA GÖTALANDS LÄN</t>
        </is>
      </c>
      <c r="G262" t="inlineStr">
        <is>
          <t>BORÅS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46099</v>
      </c>
      <c r="E263" s="1" t="n">
        <v>46279</v>
      </c>
      <c r="F263" t="inlineStr">
        <is>
          <t>VÄSTRA GÖTALANDS LÄN</t>
        </is>
      </c>
      <c r="G263" t="inlineStr">
        <is>
          <t>BORÅS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44854</v>
      </c>
      <c r="E264" s="1" t="n">
        <v>46279</v>
      </c>
      <c r="F264" t="inlineStr">
        <is>
          <t>VÄSTRA GÖTALANDS LÄN</t>
        </is>
      </c>
      <c r="G264" t="inlineStr">
        <is>
          <t>BORÅS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28410-2024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45477</v>
      </c>
      <c r="E265" s="1" t="n">
        <v>46279</v>
      </c>
      <c r="F265" t="inlineStr">
        <is>
          <t>VÄSTRA GÖTALANDS LÄN</t>
        </is>
      </c>
      <c r="G265" t="inlineStr">
        <is>
          <t>BORÅS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44949</v>
      </c>
      <c r="E266" s="1" t="n">
        <v>46279</v>
      </c>
      <c r="F266" t="inlineStr">
        <is>
          <t>VÄSTRA GÖTALANDS LÄN</t>
        </is>
      </c>
      <c r="G266" t="inlineStr">
        <is>
          <t>BORÅS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46279</v>
      </c>
      <c r="F267" t="inlineStr">
        <is>
          <t>VÄSTRA GÖTALANDS LÄN</t>
        </is>
      </c>
      <c r="G267" t="inlineStr">
        <is>
          <t>BORÅS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52486-2023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45225</v>
      </c>
      <c r="E268" s="1" t="n">
        <v>46279</v>
      </c>
      <c r="F268" t="inlineStr">
        <is>
          <t>VÄSTRA GÖTALANDS LÄN</t>
        </is>
      </c>
      <c r="G268" t="inlineStr">
        <is>
          <t>BORÅS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50382-2022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44866</v>
      </c>
      <c r="E269" s="1" t="n">
        <v>46279</v>
      </c>
      <c r="F269" t="inlineStr">
        <is>
          <t>VÄSTRA GÖTALANDS LÄN</t>
        </is>
      </c>
      <c r="G269" t="inlineStr">
        <is>
          <t>BORÅS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44886</v>
      </c>
      <c r="E270" s="1" t="n">
        <v>46279</v>
      </c>
      <c r="F270" t="inlineStr">
        <is>
          <t>VÄSTRA GÖTALANDS LÄN</t>
        </is>
      </c>
      <c r="G270" t="inlineStr">
        <is>
          <t>BORÅS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46279</v>
      </c>
      <c r="F271" t="inlineStr">
        <is>
          <t>VÄSTRA GÖTALANDS LÄN</t>
        </is>
      </c>
      <c r="G271" t="inlineStr">
        <is>
          <t>BORÅS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54878-2022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44886</v>
      </c>
      <c r="E272" s="1" t="n">
        <v>46279</v>
      </c>
      <c r="F272" t="inlineStr">
        <is>
          <t>VÄSTRA GÖTALANDS LÄN</t>
        </is>
      </c>
      <c r="G272" t="inlineStr">
        <is>
          <t>BORÅS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46279</v>
      </c>
      <c r="F273" t="inlineStr">
        <is>
          <t>VÄSTRA GÖTALANDS LÄN</t>
        </is>
      </c>
      <c r="G273" t="inlineStr">
        <is>
          <t>BORÅS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46279</v>
      </c>
      <c r="F274" t="inlineStr">
        <is>
          <t>VÄSTRA GÖTALANDS LÄN</t>
        </is>
      </c>
      <c r="G274" t="inlineStr">
        <is>
          <t>BORÅS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46279</v>
      </c>
      <c r="F275" t="inlineStr">
        <is>
          <t>VÄSTRA GÖTALANDS LÄN</t>
        </is>
      </c>
      <c r="G275" t="inlineStr">
        <is>
          <t>BORÅS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46279</v>
      </c>
      <c r="F276" t="inlineStr">
        <is>
          <t>VÄSTRA GÖTALANDS LÄN</t>
        </is>
      </c>
      <c r="G276" t="inlineStr">
        <is>
          <t>BORÅS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15193-2026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46105</v>
      </c>
      <c r="E277" s="1" t="n">
        <v>46279</v>
      </c>
      <c r="F277" t="inlineStr">
        <is>
          <t>VÄSTRA GÖTALANDS LÄN</t>
        </is>
      </c>
      <c r="G277" t="inlineStr">
        <is>
          <t>BORÅS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53475-2025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46279</v>
      </c>
      <c r="F278" t="inlineStr">
        <is>
          <t>VÄSTRA GÖTALANDS LÄN</t>
        </is>
      </c>
      <c r="G278" t="inlineStr">
        <is>
          <t>BORÅS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45510</v>
      </c>
      <c r="E279" s="1" t="n">
        <v>46279</v>
      </c>
      <c r="F279" t="inlineStr">
        <is>
          <t>VÄSTRA GÖTALANDS LÄN</t>
        </is>
      </c>
      <c r="G279" t="inlineStr">
        <is>
          <t>BORÅS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46279</v>
      </c>
      <c r="F280" t="inlineStr">
        <is>
          <t>VÄSTRA GÖTALANDS LÄN</t>
        </is>
      </c>
      <c r="G280" t="inlineStr">
        <is>
          <t>BORÅS</t>
        </is>
      </c>
      <c r="H280" t="inlineStr">
        <is>
          <t>Kommuner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29318-2024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45483</v>
      </c>
      <c r="E281" s="1" t="n">
        <v>46279</v>
      </c>
      <c r="F281" t="inlineStr">
        <is>
          <t>VÄSTRA GÖTALANDS LÄN</t>
        </is>
      </c>
      <c r="G281" t="inlineStr">
        <is>
          <t>BORÅS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46279</v>
      </c>
      <c r="F282" t="inlineStr">
        <is>
          <t>VÄSTRA GÖTALANDS LÄN</t>
        </is>
      </c>
      <c r="G282" t="inlineStr">
        <is>
          <t>BORÅS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54116-2025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46279</v>
      </c>
      <c r="F283" t="inlineStr">
        <is>
          <t>VÄSTRA GÖTALANDS LÄN</t>
        </is>
      </c>
      <c r="G283" t="inlineStr">
        <is>
          <t>BORÅS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45483</v>
      </c>
      <c r="E284" s="1" t="n">
        <v>46279</v>
      </c>
      <c r="F284" t="inlineStr">
        <is>
          <t>VÄSTRA GÖTALANDS LÄN</t>
        </is>
      </c>
      <c r="G284" t="inlineStr">
        <is>
          <t>BORÅS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53942-2025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45961</v>
      </c>
      <c r="E285" s="1" t="n">
        <v>46279</v>
      </c>
      <c r="F285" t="inlineStr">
        <is>
          <t>VÄSTRA GÖTALANDS LÄN</t>
        </is>
      </c>
      <c r="G285" t="inlineStr">
        <is>
          <t>BORÅS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46279</v>
      </c>
      <c r="F286" t="inlineStr">
        <is>
          <t>VÄSTRA GÖTALANDS LÄN</t>
        </is>
      </c>
      <c r="G286" t="inlineStr">
        <is>
          <t>BORÅS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46279</v>
      </c>
      <c r="F287" t="inlineStr">
        <is>
          <t>VÄSTRA GÖTALANDS LÄN</t>
        </is>
      </c>
      <c r="G287" t="inlineStr">
        <is>
          <t>BORÅS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45547</v>
      </c>
      <c r="E288" s="1" t="n">
        <v>46279</v>
      </c>
      <c r="F288" t="inlineStr">
        <is>
          <t>VÄSTRA GÖTALANDS LÄN</t>
        </is>
      </c>
      <c r="G288" t="inlineStr">
        <is>
          <t>BORÅS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63169-2023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45273</v>
      </c>
      <c r="E289" s="1" t="n">
        <v>46279</v>
      </c>
      <c r="F289" t="inlineStr">
        <is>
          <t>VÄSTRA GÖTALANDS LÄN</t>
        </is>
      </c>
      <c r="G289" t="inlineStr">
        <is>
          <t>BORÅS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30861-2023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46279</v>
      </c>
      <c r="F290" t="inlineStr">
        <is>
          <t>VÄSTRA GÖTALANDS LÄN</t>
        </is>
      </c>
      <c r="G290" t="inlineStr">
        <is>
          <t>BORÅS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47262-2023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45202</v>
      </c>
      <c r="E291" s="1" t="n">
        <v>46279</v>
      </c>
      <c r="F291" t="inlineStr">
        <is>
          <t>VÄSTRA GÖTALANDS LÄN</t>
        </is>
      </c>
      <c r="G291" t="inlineStr">
        <is>
          <t>BORÅS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56376-2025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45974</v>
      </c>
      <c r="E292" s="1" t="n">
        <v>46279</v>
      </c>
      <c r="F292" t="inlineStr">
        <is>
          <t>VÄSTRA GÖTALANDS LÄN</t>
        </is>
      </c>
      <c r="G292" t="inlineStr">
        <is>
          <t>BORÅS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17234-2026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46119</v>
      </c>
      <c r="E293" s="1" t="n">
        <v>46279</v>
      </c>
      <c r="F293" t="inlineStr">
        <is>
          <t>VÄSTRA GÖTALANDS LÄN</t>
        </is>
      </c>
      <c r="G293" t="inlineStr">
        <is>
          <t>BORÅS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52827-2021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44467</v>
      </c>
      <c r="E294" s="1" t="n">
        <v>46279</v>
      </c>
      <c r="F294" t="inlineStr">
        <is>
          <t>VÄSTRA GÖTALANDS LÄN</t>
        </is>
      </c>
      <c r="G294" t="inlineStr">
        <is>
          <t>BORÅS</t>
        </is>
      </c>
      <c r="I294" t="n">
        <v>19.4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46382-2023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46279</v>
      </c>
      <c r="F295" t="inlineStr">
        <is>
          <t>VÄSTRA GÖTALANDS LÄN</t>
        </is>
      </c>
      <c r="G295" t="inlineStr">
        <is>
          <t>BORÅS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19862-2023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45053</v>
      </c>
      <c r="E296" s="1" t="n">
        <v>46279</v>
      </c>
      <c r="F296" t="inlineStr">
        <is>
          <t>VÄSTRA GÖTALANDS LÄN</t>
        </is>
      </c>
      <c r="G296" t="inlineStr">
        <is>
          <t>BORÅS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45982</v>
      </c>
      <c r="E297" s="1" t="n">
        <v>46279</v>
      </c>
      <c r="F297" t="inlineStr">
        <is>
          <t>VÄSTRA GÖTALANDS LÄN</t>
        </is>
      </c>
      <c r="G297" t="inlineStr">
        <is>
          <t>BORÅS</t>
        </is>
      </c>
      <c r="H297" t="inlineStr">
        <is>
          <t>Kommuner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40118-2023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46279</v>
      </c>
      <c r="F298" t="inlineStr">
        <is>
          <t>VÄSTRA GÖTALANDS LÄN</t>
        </is>
      </c>
      <c r="G298" t="inlineStr">
        <is>
          <t>BORÅS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58304-2025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45982</v>
      </c>
      <c r="E299" s="1" t="n">
        <v>46279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  <c r="X299">
        <f>HYPERLINK("https://klasma.github.io/Logging_1490/kartor/A 58304-2025 karta.png", "A 58304-2025")</f>
        <v/>
      </c>
      <c r="Y299">
        <f>HYPERLINK("https://klasma.github.io/Logging_1490/kartor_geotiff/A 58304-2025 georefererad karta.tif", "A 58304-2025")</f>
        <v/>
      </c>
      <c r="AA299">
        <f>HYPERLINK("https://klasma.github.io/Logging_1490/klagomål/A 58304-2025 FSC-klagomål.docx", "A 58304-2025")</f>
        <v/>
      </c>
      <c r="AB299">
        <f>HYPERLINK("https://klasma.github.io/Logging_1490/klagomålsmail/A 58304-2025 FSC-klagomål mail.docx", "A 58304-2025")</f>
        <v/>
      </c>
      <c r="AC299">
        <f>HYPERLINK("https://klasma.github.io/Logging_1490/tillsyn/A 58304-2025 tillsynsbegäran.docx", "A 58304-2025")</f>
        <v/>
      </c>
      <c r="AD299">
        <f>HYPERLINK("https://klasma.github.io/Logging_1490/tillsynsmail/A 58304-2025 tillsynsbegäran mail.docx", "A 58304-2025")</f>
        <v/>
      </c>
    </row>
    <row r="300" ht="15" customHeight="1">
      <c r="A300" t="inlineStr">
        <is>
          <t>A 58303-2025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46279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Kommuner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58339-2025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46279</v>
      </c>
      <c r="F301" t="inlineStr">
        <is>
          <t>VÄSTRA GÖTALANDS LÄN</t>
        </is>
      </c>
      <c r="G301" t="inlineStr">
        <is>
          <t>BORÅS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44571</v>
      </c>
      <c r="E302" s="1" t="n">
        <v>46279</v>
      </c>
      <c r="F302" t="inlineStr">
        <is>
          <t>VÄSTRA GÖTALANDS LÄN</t>
        </is>
      </c>
      <c r="G302" t="inlineStr">
        <is>
          <t>BORÅS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46279</v>
      </c>
      <c r="F303" t="inlineStr">
        <is>
          <t>VÄSTRA GÖTALANDS LÄN</t>
        </is>
      </c>
      <c r="G303" t="inlineStr">
        <is>
          <t>BORÅS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46132</v>
      </c>
      <c r="E304" s="1" t="n">
        <v>46279</v>
      </c>
      <c r="F304" t="inlineStr">
        <is>
          <t>VÄSTRA GÖTALANDS LÄN</t>
        </is>
      </c>
      <c r="G304" t="inlineStr">
        <is>
          <t>BORÅS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46279</v>
      </c>
      <c r="F305" t="inlineStr">
        <is>
          <t>VÄSTRA GÖTALANDS LÄN</t>
        </is>
      </c>
      <c r="G305" t="inlineStr">
        <is>
          <t>BORÅS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45989</v>
      </c>
      <c r="E306" s="1" t="n">
        <v>46279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Kyrkan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46128</v>
      </c>
      <c r="E307" s="1" t="n">
        <v>46279</v>
      </c>
      <c r="F307" t="inlineStr">
        <is>
          <t>VÄSTRA GÖTALANDS LÄN</t>
        </is>
      </c>
      <c r="G307" t="inlineStr">
        <is>
          <t>BORÅS</t>
        </is>
      </c>
      <c r="I307" t="n">
        <v>9.199999999999999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46279</v>
      </c>
      <c r="F308" t="inlineStr">
        <is>
          <t>VÄSTRA GÖTALANDS LÄN</t>
        </is>
      </c>
      <c r="G308" t="inlineStr">
        <is>
          <t>BORÅS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45538</v>
      </c>
      <c r="E309" s="1" t="n">
        <v>46279</v>
      </c>
      <c r="F309" t="inlineStr">
        <is>
          <t>VÄSTRA GÖTALANDS LÄN</t>
        </is>
      </c>
      <c r="G309" t="inlineStr">
        <is>
          <t>BORÅS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45044</v>
      </c>
      <c r="E310" s="1" t="n">
        <v>46279</v>
      </c>
      <c r="F310" t="inlineStr">
        <is>
          <t>VÄSTRA GÖTALANDS LÄN</t>
        </is>
      </c>
      <c r="G310" t="inlineStr">
        <is>
          <t>BORÅS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46279</v>
      </c>
      <c r="F311" t="inlineStr">
        <is>
          <t>VÄSTRA GÖTALANDS LÄN</t>
        </is>
      </c>
      <c r="G311" t="inlineStr">
        <is>
          <t>BORÅS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60204-2025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45994</v>
      </c>
      <c r="E312" s="1" t="n">
        <v>46279</v>
      </c>
      <c r="F312" t="inlineStr">
        <is>
          <t>VÄSTRA GÖTALANDS LÄN</t>
        </is>
      </c>
      <c r="G312" t="inlineStr">
        <is>
          <t>BORÅS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45996</v>
      </c>
      <c r="E313" s="1" t="n">
        <v>46279</v>
      </c>
      <c r="F313" t="inlineStr">
        <is>
          <t>VÄSTRA GÖTALANDS LÄN</t>
        </is>
      </c>
      <c r="G313" t="inlineStr">
        <is>
          <t>BORÅS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46279</v>
      </c>
      <c r="F314" t="inlineStr">
        <is>
          <t>VÄSTRA GÖTALANDS LÄN</t>
        </is>
      </c>
      <c r="G314" t="inlineStr">
        <is>
          <t>BORÅS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44897</v>
      </c>
      <c r="E315" s="1" t="n">
        <v>46279</v>
      </c>
      <c r="F315" t="inlineStr">
        <is>
          <t>VÄSTRA GÖTALANDS LÄN</t>
        </is>
      </c>
      <c r="G315" t="inlineStr">
        <is>
          <t>BORÅS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61453-2024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46279</v>
      </c>
      <c r="F316" t="inlineStr">
        <is>
          <t>VÄSTRA GÖTALANDS LÄN</t>
        </is>
      </c>
      <c r="G316" t="inlineStr">
        <is>
          <t>BORÅS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46279</v>
      </c>
      <c r="F317" t="inlineStr">
        <is>
          <t>VÄSTRA GÖTALANDS LÄN</t>
        </is>
      </c>
      <c r="G317" t="inlineStr">
        <is>
          <t>BORÅS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45096</v>
      </c>
      <c r="E318" s="1" t="n">
        <v>46279</v>
      </c>
      <c r="F318" t="inlineStr">
        <is>
          <t>VÄSTRA GÖTALANDS LÄN</t>
        </is>
      </c>
      <c r="G318" t="inlineStr">
        <is>
          <t>BORÅS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46279</v>
      </c>
      <c r="F319" t="inlineStr">
        <is>
          <t>VÄSTRA GÖTALANDS LÄN</t>
        </is>
      </c>
      <c r="G319" t="inlineStr">
        <is>
          <t>BORÅS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50359-2023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45216</v>
      </c>
      <c r="E320" s="1" t="n">
        <v>46279</v>
      </c>
      <c r="F320" t="inlineStr">
        <is>
          <t>VÄSTRA GÖTALANDS LÄN</t>
        </is>
      </c>
      <c r="G320" t="inlineStr">
        <is>
          <t>BORÅS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45110</v>
      </c>
      <c r="E321" s="1" t="n">
        <v>46279</v>
      </c>
      <c r="F321" t="inlineStr">
        <is>
          <t>VÄSTRA GÖTALANDS LÄN</t>
        </is>
      </c>
      <c r="G321" t="inlineStr">
        <is>
          <t>BORÅS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46008</v>
      </c>
      <c r="E322" s="1" t="n">
        <v>46279</v>
      </c>
      <c r="F322" t="inlineStr">
        <is>
          <t>VÄSTRA GÖTALANDS LÄN</t>
        </is>
      </c>
      <c r="G322" t="inlineStr">
        <is>
          <t>BORÅS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62850-2025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46008</v>
      </c>
      <c r="E323" s="1" t="n">
        <v>46279</v>
      </c>
      <c r="F323" t="inlineStr">
        <is>
          <t>VÄSTRA GÖTALANDS LÄN</t>
        </is>
      </c>
      <c r="G323" t="inlineStr">
        <is>
          <t>BORÅS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46279</v>
      </c>
      <c r="F324" t="inlineStr">
        <is>
          <t>VÄSTRA GÖTALANDS LÄN</t>
        </is>
      </c>
      <c r="G324" t="inlineStr">
        <is>
          <t>BORÅS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45727</v>
      </c>
      <c r="E325" s="1" t="n">
        <v>46279</v>
      </c>
      <c r="F325" t="inlineStr">
        <is>
          <t>VÄSTRA GÖTALANDS LÄN</t>
        </is>
      </c>
      <c r="G325" t="inlineStr">
        <is>
          <t>BORÅS</t>
        </is>
      </c>
      <c r="H325" t="inlineStr">
        <is>
          <t>Kyrkan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27465-2023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45097</v>
      </c>
      <c r="E326" s="1" t="n">
        <v>46279</v>
      </c>
      <c r="F326" t="inlineStr">
        <is>
          <t>VÄSTRA GÖTALANDS LÄN</t>
        </is>
      </c>
      <c r="G326" t="inlineStr">
        <is>
          <t>BORÅS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45770</v>
      </c>
      <c r="E327" s="1" t="n">
        <v>46279</v>
      </c>
      <c r="F327" t="inlineStr">
        <is>
          <t>VÄSTRA GÖTALANDS LÄN</t>
        </is>
      </c>
      <c r="G327" t="inlineStr">
        <is>
          <t>BORÅS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4757-2025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45688</v>
      </c>
      <c r="E328" s="1" t="n">
        <v>46279</v>
      </c>
      <c r="F328" t="inlineStr">
        <is>
          <t>VÄSTRA GÖTALANDS LÄN</t>
        </is>
      </c>
      <c r="G328" t="inlineStr">
        <is>
          <t>BORÅS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45855</v>
      </c>
      <c r="E329" s="1" t="n">
        <v>46279</v>
      </c>
      <c r="F329" t="inlineStr">
        <is>
          <t>VÄSTRA GÖTALANDS LÄN</t>
        </is>
      </c>
      <c r="G329" t="inlineStr">
        <is>
          <t>BORÅS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45698</v>
      </c>
      <c r="E330" s="1" t="n">
        <v>46279</v>
      </c>
      <c r="F330" t="inlineStr">
        <is>
          <t>VÄSTRA GÖTALANDS LÄN</t>
        </is>
      </c>
      <c r="G330" t="inlineStr">
        <is>
          <t>BORÅS</t>
        </is>
      </c>
      <c r="I330" t="n">
        <v>12.8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53930-2024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45615</v>
      </c>
      <c r="E331" s="1" t="n">
        <v>46279</v>
      </c>
      <c r="F331" t="inlineStr">
        <is>
          <t>VÄSTRA GÖTALANDS LÄN</t>
        </is>
      </c>
      <c r="G331" t="inlineStr">
        <is>
          <t>BORÅS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45701</v>
      </c>
      <c r="E332" s="1" t="n">
        <v>46279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45713</v>
      </c>
      <c r="E333" s="1" t="n">
        <v>46279</v>
      </c>
      <c r="F333" t="inlineStr">
        <is>
          <t>VÄSTRA GÖTALANDS LÄN</t>
        </is>
      </c>
      <c r="G333" t="inlineStr">
        <is>
          <t>BORÅS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9529-2025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45715</v>
      </c>
      <c r="E334" s="1" t="n">
        <v>46279</v>
      </c>
      <c r="F334" t="inlineStr">
        <is>
          <t>VÄSTRA GÖTALANDS LÄN</t>
        </is>
      </c>
      <c r="G334" t="inlineStr">
        <is>
          <t>BORÅS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45688</v>
      </c>
      <c r="E335" s="1" t="n">
        <v>46279</v>
      </c>
      <c r="F335" t="inlineStr">
        <is>
          <t>VÄSTRA GÖTALANDS LÄN</t>
        </is>
      </c>
      <c r="G335" t="inlineStr">
        <is>
          <t>BORÅS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45699</v>
      </c>
      <c r="E336" s="1" t="n">
        <v>46279</v>
      </c>
      <c r="F336" t="inlineStr">
        <is>
          <t>VÄSTRA GÖTALANDS LÄN</t>
        </is>
      </c>
      <c r="G336" t="inlineStr">
        <is>
          <t>BORÅS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58771-2021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44489</v>
      </c>
      <c r="E337" s="1" t="n">
        <v>46279</v>
      </c>
      <c r="F337" t="inlineStr">
        <is>
          <t>VÄSTRA GÖTALANDS LÄN</t>
        </is>
      </c>
      <c r="G337" t="inlineStr">
        <is>
          <t>BORÅS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23325-2024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45453</v>
      </c>
      <c r="E338" s="1" t="n">
        <v>46279</v>
      </c>
      <c r="F338" t="inlineStr">
        <is>
          <t>VÄSTRA GÖTALANDS LÄN</t>
        </is>
      </c>
      <c r="G338" t="inlineStr">
        <is>
          <t>BORÅS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70988-2021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44538</v>
      </c>
      <c r="E339" s="1" t="n">
        <v>46279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41778-2023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45176</v>
      </c>
      <c r="E340" s="1" t="n">
        <v>46279</v>
      </c>
      <c r="F340" t="inlineStr">
        <is>
          <t>VÄSTRA GÖTALANDS LÄN</t>
        </is>
      </c>
      <c r="G340" t="inlineStr">
        <is>
          <t>BORÅS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28002-2023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45098</v>
      </c>
      <c r="E341" s="1" t="n">
        <v>46279</v>
      </c>
      <c r="F341" t="inlineStr">
        <is>
          <t>VÄSTRA GÖTALANDS LÄN</t>
        </is>
      </c>
      <c r="G341" t="inlineStr">
        <is>
          <t>BORÅS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45099</v>
      </c>
      <c r="E342" s="1" t="n">
        <v>46279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72566-2021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44546</v>
      </c>
      <c r="E343" s="1" t="n">
        <v>46279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21739-2026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46147</v>
      </c>
      <c r="E344" s="1" t="n">
        <v>46279</v>
      </c>
      <c r="F344" t="inlineStr">
        <is>
          <t>VÄSTRA GÖTALANDS LÄN</t>
        </is>
      </c>
      <c r="G344" t="inlineStr">
        <is>
          <t>BORÅS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45120</v>
      </c>
      <c r="E345" s="1" t="n">
        <v>46279</v>
      </c>
      <c r="F345" t="inlineStr">
        <is>
          <t>VÄSTRA GÖTALANDS LÄN</t>
        </is>
      </c>
      <c r="G345" t="inlineStr">
        <is>
          <t>BORÅS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45120</v>
      </c>
      <c r="E346" s="1" t="n">
        <v>46279</v>
      </c>
      <c r="F346" t="inlineStr">
        <is>
          <t>VÄSTRA GÖTALANDS LÄN</t>
        </is>
      </c>
      <c r="G346" t="inlineStr">
        <is>
          <t>BORÅS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32482-2023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45120</v>
      </c>
      <c r="E347" s="1" t="n">
        <v>46279</v>
      </c>
      <c r="F347" t="inlineStr">
        <is>
          <t>VÄSTRA GÖTALANDS LÄN</t>
        </is>
      </c>
      <c r="G347" t="inlineStr">
        <is>
          <t>BORÅS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46279</v>
      </c>
      <c r="F348" t="inlineStr">
        <is>
          <t>VÄSTRA GÖTALANDS LÄN</t>
        </is>
      </c>
      <c r="G348" t="inlineStr">
        <is>
          <t>BORÅS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45120</v>
      </c>
      <c r="E349" s="1" t="n">
        <v>46279</v>
      </c>
      <c r="F349" t="inlineStr">
        <is>
          <t>VÄSTRA GÖTALANDS LÄN</t>
        </is>
      </c>
      <c r="G349" t="inlineStr">
        <is>
          <t>BORÅS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46279</v>
      </c>
      <c r="F350" t="inlineStr">
        <is>
          <t>VÄSTRA GÖTALANDS LÄN</t>
        </is>
      </c>
      <c r="G350" t="inlineStr">
        <is>
          <t>BORÅS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46279</v>
      </c>
      <c r="F351" t="inlineStr">
        <is>
          <t>VÄSTRA GÖTALANDS LÄN</t>
        </is>
      </c>
      <c r="G351" t="inlineStr">
        <is>
          <t>BORÅS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45329</v>
      </c>
      <c r="E352" s="1" t="n">
        <v>46279</v>
      </c>
      <c r="F352" t="inlineStr">
        <is>
          <t>VÄSTRA GÖTALANDS LÄN</t>
        </is>
      </c>
      <c r="G352" t="inlineStr">
        <is>
          <t>BORÅS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45863</v>
      </c>
      <c r="E353" s="1" t="n">
        <v>46279</v>
      </c>
      <c r="F353" t="inlineStr">
        <is>
          <t>VÄSTRA GÖTALANDS LÄN</t>
        </is>
      </c>
      <c r="G353" t="inlineStr">
        <is>
          <t>BORÅS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45855</v>
      </c>
      <c r="E354" s="1" t="n">
        <v>46279</v>
      </c>
      <c r="F354" t="inlineStr">
        <is>
          <t>VÄSTRA GÖTALANDS LÄN</t>
        </is>
      </c>
      <c r="G354" t="inlineStr">
        <is>
          <t>BORÅS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45798</v>
      </c>
      <c r="E355" s="1" t="n">
        <v>46279</v>
      </c>
      <c r="F355" t="inlineStr">
        <is>
          <t>VÄSTRA GÖTALANDS LÄN</t>
        </is>
      </c>
      <c r="G355" t="inlineStr">
        <is>
          <t>BORÅS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46279</v>
      </c>
      <c r="F356" t="inlineStr">
        <is>
          <t>VÄSTRA GÖTALANDS LÄN</t>
        </is>
      </c>
      <c r="G356" t="inlineStr">
        <is>
          <t>BORÅS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46279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46279</v>
      </c>
      <c r="F358" t="inlineStr">
        <is>
          <t>VÄSTRA GÖTALANDS LÄN</t>
        </is>
      </c>
      <c r="G358" t="inlineStr">
        <is>
          <t>BORÅS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52367-2025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45953</v>
      </c>
      <c r="E359" s="1" t="n">
        <v>46279</v>
      </c>
      <c r="F359" t="inlineStr">
        <is>
          <t>VÄSTRA GÖTALANDS LÄN</t>
        </is>
      </c>
      <c r="G359" t="inlineStr">
        <is>
          <t>BORÅS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46279</v>
      </c>
      <c r="F360" t="inlineStr">
        <is>
          <t>VÄSTRA GÖTALANDS LÄN</t>
        </is>
      </c>
      <c r="G360" t="inlineStr">
        <is>
          <t>BORÅS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46279</v>
      </c>
      <c r="F361" t="inlineStr">
        <is>
          <t>VÄSTRA GÖTALANDS LÄN</t>
        </is>
      </c>
      <c r="G361" t="inlineStr">
        <is>
          <t>BORÅS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45772</v>
      </c>
      <c r="E362" s="1" t="n">
        <v>46279</v>
      </c>
      <c r="F362" t="inlineStr">
        <is>
          <t>VÄSTRA GÖTALANDS LÄN</t>
        </is>
      </c>
      <c r="G362" t="inlineStr">
        <is>
          <t>BORÅS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45462</v>
      </c>
      <c r="E363" s="1" t="n">
        <v>46279</v>
      </c>
      <c r="F363" t="inlineStr">
        <is>
          <t>VÄSTRA GÖTALANDS LÄN</t>
        </is>
      </c>
      <c r="G363" t="inlineStr">
        <is>
          <t>BORÅS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3270-2026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46279</v>
      </c>
      <c r="F364" t="inlineStr">
        <is>
          <t>VÄSTRA GÖTALANDS LÄN</t>
        </is>
      </c>
      <c r="G364" t="inlineStr">
        <is>
          <t>BORÅS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21331-2023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45062</v>
      </c>
      <c r="E365" s="1" t="n">
        <v>46279</v>
      </c>
      <c r="F365" t="inlineStr">
        <is>
          <t>VÄSTRA GÖTALANDS LÄN</t>
        </is>
      </c>
      <c r="G365" t="inlineStr">
        <is>
          <t>BORÅS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26133-2025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45805</v>
      </c>
      <c r="E366" s="1" t="n">
        <v>46279</v>
      </c>
      <c r="F366" t="inlineStr">
        <is>
          <t>VÄSTRA GÖTALANDS LÄN</t>
        </is>
      </c>
      <c r="G366" t="inlineStr">
        <is>
          <t>BORÅS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4041-2026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46279</v>
      </c>
      <c r="F367" t="inlineStr">
        <is>
          <t>VÄSTRA GÖTALANDS LÄN</t>
        </is>
      </c>
      <c r="G367" t="inlineStr">
        <is>
          <t>BORÅS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45545</v>
      </c>
      <c r="E368" s="1" t="n">
        <v>46279</v>
      </c>
      <c r="F368" t="inlineStr">
        <is>
          <t>VÄSTRA GÖTALANDS LÄN</t>
        </is>
      </c>
      <c r="G368" t="inlineStr">
        <is>
          <t>BORÅS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46279</v>
      </c>
      <c r="F369" t="inlineStr">
        <is>
          <t>VÄSTRA GÖTALANDS LÄN</t>
        </is>
      </c>
      <c r="G369" t="inlineStr">
        <is>
          <t>BORÅS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45294</v>
      </c>
      <c r="E370" s="1" t="n">
        <v>46279</v>
      </c>
      <c r="F370" t="inlineStr">
        <is>
          <t>VÄSTRA GÖTALANDS LÄN</t>
        </is>
      </c>
      <c r="G370" t="inlineStr">
        <is>
          <t>BORÅS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55959-2022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44889</v>
      </c>
      <c r="E371" s="1" t="n">
        <v>46279</v>
      </c>
      <c r="F371" t="inlineStr">
        <is>
          <t>VÄSTRA GÖTALANDS LÄN</t>
        </is>
      </c>
      <c r="G371" t="inlineStr">
        <is>
          <t>BORÅS</t>
        </is>
      </c>
      <c r="H371" t="inlineStr">
        <is>
          <t>Kyrkan</t>
        </is>
      </c>
      <c r="I371" t="n">
        <v>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45870</v>
      </c>
      <c r="E372" s="1" t="n">
        <v>46279</v>
      </c>
      <c r="F372" t="inlineStr">
        <is>
          <t>VÄSTRA GÖTALANDS LÄN</t>
        </is>
      </c>
      <c r="G372" t="inlineStr">
        <is>
          <t>BORÅS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32473-2023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45120</v>
      </c>
      <c r="E373" s="1" t="n">
        <v>46279</v>
      </c>
      <c r="F373" t="inlineStr">
        <is>
          <t>VÄSTRA GÖTALANDS LÄN</t>
        </is>
      </c>
      <c r="G373" t="inlineStr">
        <is>
          <t>BORÅS</t>
        </is>
      </c>
      <c r="I373" t="n">
        <v>8.800000000000001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45870</v>
      </c>
      <c r="E374" s="1" t="n">
        <v>46279</v>
      </c>
      <c r="F374" t="inlineStr">
        <is>
          <t>VÄSTRA GÖTALANDS LÄN</t>
        </is>
      </c>
      <c r="G374" t="inlineStr">
        <is>
          <t>BORÅS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46279</v>
      </c>
      <c r="F375" t="inlineStr">
        <is>
          <t>VÄSTRA GÖTALANDS LÄN</t>
        </is>
      </c>
      <c r="G375" t="inlineStr">
        <is>
          <t>BORÅS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46279</v>
      </c>
      <c r="F376" t="inlineStr">
        <is>
          <t>VÄSTRA GÖTALANDS LÄN</t>
        </is>
      </c>
      <c r="G376" t="inlineStr">
        <is>
          <t>BORÅS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45637</v>
      </c>
      <c r="E377" s="1" t="n">
        <v>46279</v>
      </c>
      <c r="F377" t="inlineStr">
        <is>
          <t>VÄSTRA GÖTALANDS LÄN</t>
        </is>
      </c>
      <c r="G377" t="inlineStr">
        <is>
          <t>BORÅS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45968</v>
      </c>
      <c r="E378" s="1" t="n">
        <v>46279</v>
      </c>
      <c r="F378" t="inlineStr">
        <is>
          <t>VÄSTRA GÖTALANDS LÄN</t>
        </is>
      </c>
      <c r="G378" t="inlineStr">
        <is>
          <t>BORÅS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48504-2024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45593</v>
      </c>
      <c r="E379" s="1" t="n">
        <v>46279</v>
      </c>
      <c r="F379" t="inlineStr">
        <is>
          <t>VÄSTRA GÖTALANDS LÄN</t>
        </is>
      </c>
      <c r="G379" t="inlineStr">
        <is>
          <t>BORÅS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38509-2023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45162</v>
      </c>
      <c r="E380" s="1" t="n">
        <v>46279</v>
      </c>
      <c r="F380" t="inlineStr">
        <is>
          <t>VÄSTRA GÖTALANDS LÄN</t>
        </is>
      </c>
      <c r="G380" t="inlineStr">
        <is>
          <t>BORÅS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53125-2024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45611</v>
      </c>
      <c r="E381" s="1" t="n">
        <v>46279</v>
      </c>
      <c r="F381" t="inlineStr">
        <is>
          <t>VÄSTRA GÖTALANDS LÄN</t>
        </is>
      </c>
      <c r="G381" t="inlineStr">
        <is>
          <t>BORÅS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46279</v>
      </c>
      <c r="F382" t="inlineStr">
        <is>
          <t>VÄSTRA GÖTALANDS LÄN</t>
        </is>
      </c>
      <c r="G382" t="inlineStr">
        <is>
          <t>BORÅS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42117-2024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46279</v>
      </c>
      <c r="F383" t="inlineStr">
        <is>
          <t>VÄSTRA GÖTALANDS LÄN</t>
        </is>
      </c>
      <c r="G383" t="inlineStr">
        <is>
          <t>BORÅS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8240-2022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44609</v>
      </c>
      <c r="E384" s="1" t="n">
        <v>46279</v>
      </c>
      <c r="F384" t="inlineStr">
        <is>
          <t>VÄSTRA GÖTALANDS LÄN</t>
        </is>
      </c>
      <c r="G384" t="inlineStr">
        <is>
          <t>BORÅS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45670</v>
      </c>
      <c r="E385" s="1" t="n">
        <v>46279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45294</v>
      </c>
      <c r="E386" s="1" t="n">
        <v>46279</v>
      </c>
      <c r="F386" t="inlineStr">
        <is>
          <t>VÄSTRA GÖTALANDS LÄN</t>
        </is>
      </c>
      <c r="G386" t="inlineStr">
        <is>
          <t>BORÅS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20653-2026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46141</v>
      </c>
      <c r="E387" s="1" t="n">
        <v>46279</v>
      </c>
      <c r="F387" t="inlineStr">
        <is>
          <t>VÄSTRA GÖTALANDS LÄN</t>
        </is>
      </c>
      <c r="G387" t="inlineStr">
        <is>
          <t>BORÅS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45155</v>
      </c>
      <c r="E388" s="1" t="n">
        <v>46279</v>
      </c>
      <c r="F388" t="inlineStr">
        <is>
          <t>VÄSTRA GÖTALANDS LÄN</t>
        </is>
      </c>
      <c r="G388" t="inlineStr">
        <is>
          <t>BORÅS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65064-2021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44515</v>
      </c>
      <c r="E389" s="1" t="n">
        <v>46279</v>
      </c>
      <c r="F389" t="inlineStr">
        <is>
          <t>VÄSTRA GÖTALANDS LÄN</t>
        </is>
      </c>
      <c r="G389" t="inlineStr">
        <is>
          <t>BORÅS</t>
        </is>
      </c>
      <c r="I389" t="n">
        <v>8.6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46279</v>
      </c>
      <c r="F390" t="inlineStr">
        <is>
          <t>VÄSTRA GÖTALANDS LÄN</t>
        </is>
      </c>
      <c r="G390" t="inlineStr">
        <is>
          <t>BORÅS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20279-2026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46136</v>
      </c>
      <c r="E391" s="1" t="n">
        <v>46279</v>
      </c>
      <c r="F391" t="inlineStr">
        <is>
          <t>VÄSTRA GÖTALANDS LÄN</t>
        </is>
      </c>
      <c r="G391" t="inlineStr">
        <is>
          <t>BORÅS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57429-2024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45629</v>
      </c>
      <c r="E392" s="1" t="n">
        <v>46279</v>
      </c>
      <c r="F392" t="inlineStr">
        <is>
          <t>VÄSTRA GÖTALANDS LÄN</t>
        </is>
      </c>
      <c r="G392" t="inlineStr">
        <is>
          <t>BORÅS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50692-2023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45217</v>
      </c>
      <c r="E393" s="1" t="n">
        <v>46279</v>
      </c>
      <c r="F393" t="inlineStr">
        <is>
          <t>VÄSTRA GÖTALANDS LÄN</t>
        </is>
      </c>
      <c r="G393" t="inlineStr">
        <is>
          <t>BORÅS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45196</v>
      </c>
      <c r="E394" s="1" t="n">
        <v>46279</v>
      </c>
      <c r="F394" t="inlineStr">
        <is>
          <t>VÄSTRA GÖTALANDS LÄN</t>
        </is>
      </c>
      <c r="G394" t="inlineStr">
        <is>
          <t>BORÅS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48449-2025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45935</v>
      </c>
      <c r="E395" s="1" t="n">
        <v>46279</v>
      </c>
      <c r="F395" t="inlineStr">
        <is>
          <t>VÄSTRA GÖTALANDS LÄN</t>
        </is>
      </c>
      <c r="G395" t="inlineStr">
        <is>
          <t>BORÅS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72806-2021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44547</v>
      </c>
      <c r="E396" s="1" t="n">
        <v>46279</v>
      </c>
      <c r="F396" t="inlineStr">
        <is>
          <t>VÄSTRA GÖTALANDS LÄN</t>
        </is>
      </c>
      <c r="G396" t="inlineStr">
        <is>
          <t>BORÅS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9056-2024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45357</v>
      </c>
      <c r="E397" s="1" t="n">
        <v>46279</v>
      </c>
      <c r="F397" t="inlineStr">
        <is>
          <t>VÄSTRA GÖTALANDS LÄN</t>
        </is>
      </c>
      <c r="G397" t="inlineStr">
        <is>
          <t>BORÅS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46279</v>
      </c>
      <c r="F398" t="inlineStr">
        <is>
          <t>VÄSTRA GÖTALANDS LÄN</t>
        </is>
      </c>
      <c r="G398" t="inlineStr">
        <is>
          <t>BORÅS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45054</v>
      </c>
      <c r="E399" s="1" t="n">
        <v>46279</v>
      </c>
      <c r="F399" t="inlineStr">
        <is>
          <t>VÄSTRA GÖTALANDS LÄN</t>
        </is>
      </c>
      <c r="G399" t="inlineStr">
        <is>
          <t>BORÅS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22013-2026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46279</v>
      </c>
      <c r="F400" t="inlineStr">
        <is>
          <t>VÄSTRA GÖTALANDS LÄN</t>
        </is>
      </c>
      <c r="G400" t="inlineStr">
        <is>
          <t>BORÅS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58000-2024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45631</v>
      </c>
      <c r="E401" s="1" t="n">
        <v>46279</v>
      </c>
      <c r="F401" t="inlineStr">
        <is>
          <t>VÄSTRA GÖTALANDS LÄN</t>
        </is>
      </c>
      <c r="G401" t="inlineStr">
        <is>
          <t>BORÅS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45671</v>
      </c>
      <c r="E402" s="1" t="n">
        <v>46279</v>
      </c>
      <c r="F402" t="inlineStr">
        <is>
          <t>VÄSTRA GÖTALANDS LÄN</t>
        </is>
      </c>
      <c r="G402" t="inlineStr">
        <is>
          <t>BORÅS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13107-2022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44644</v>
      </c>
      <c r="E403" s="1" t="n">
        <v>46279</v>
      </c>
      <c r="F403" t="inlineStr">
        <is>
          <t>VÄSTRA GÖTALANDS LÄN</t>
        </is>
      </c>
      <c r="G403" t="inlineStr">
        <is>
          <t>BORÅS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27335-2024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45472</v>
      </c>
      <c r="E404" s="1" t="n">
        <v>46279</v>
      </c>
      <c r="F404" t="inlineStr">
        <is>
          <t>VÄSTRA GÖTALANDS LÄN</t>
        </is>
      </c>
      <c r="G404" t="inlineStr">
        <is>
          <t>BORÅS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46279</v>
      </c>
      <c r="F405" t="inlineStr">
        <is>
          <t>VÄSTRA GÖTALANDS LÄN</t>
        </is>
      </c>
      <c r="G405" t="inlineStr">
        <is>
          <t>BORÅS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22016-2026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46279</v>
      </c>
      <c r="F406" t="inlineStr">
        <is>
          <t>VÄSTRA GÖTALANDS LÄN</t>
        </is>
      </c>
      <c r="G406" t="inlineStr">
        <is>
          <t>BORÅS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46279</v>
      </c>
      <c r="F407" t="inlineStr">
        <is>
          <t>VÄSTRA GÖTALANDS LÄN</t>
        </is>
      </c>
      <c r="G407" t="inlineStr">
        <is>
          <t>BORÅS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46279</v>
      </c>
      <c r="F408" t="inlineStr">
        <is>
          <t>VÄSTRA GÖTALANDS LÄN</t>
        </is>
      </c>
      <c r="G408" t="inlineStr">
        <is>
          <t>BORÅS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45618-2024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45579</v>
      </c>
      <c r="E409" s="1" t="n">
        <v>46279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22371-2026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46154</v>
      </c>
      <c r="E410" s="1" t="n">
        <v>46279</v>
      </c>
      <c r="F410" t="inlineStr">
        <is>
          <t>VÄSTRA GÖTALANDS LÄN</t>
        </is>
      </c>
      <c r="G410" t="inlineStr">
        <is>
          <t>BORÅS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22369-2026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46154</v>
      </c>
      <c r="E411" s="1" t="n">
        <v>46279</v>
      </c>
      <c r="F411" t="inlineStr">
        <is>
          <t>VÄSTRA GÖTALANDS LÄN</t>
        </is>
      </c>
      <c r="G411" t="inlineStr">
        <is>
          <t>BORÅS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32051-2023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45119</v>
      </c>
      <c r="E412" s="1" t="n">
        <v>46279</v>
      </c>
      <c r="F412" t="inlineStr">
        <is>
          <t>VÄSTRA GÖTALANDS LÄN</t>
        </is>
      </c>
      <c r="G412" t="inlineStr">
        <is>
          <t>BORÅS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16949-2026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46113</v>
      </c>
      <c r="E413" s="1" t="n">
        <v>46279</v>
      </c>
      <c r="F413" t="inlineStr">
        <is>
          <t>VÄSTRA GÖTALANDS LÄN</t>
        </is>
      </c>
      <c r="G413" t="inlineStr">
        <is>
          <t>BORÅS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19691-2024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45432</v>
      </c>
      <c r="E414" s="1" t="n">
        <v>46279</v>
      </c>
      <c r="F414" t="inlineStr">
        <is>
          <t>VÄSTRA GÖTALANDS LÄN</t>
        </is>
      </c>
      <c r="G414" t="inlineStr">
        <is>
          <t>BORÅS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12584-2022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44639</v>
      </c>
      <c r="E415" s="1" t="n">
        <v>46279</v>
      </c>
      <c r="F415" t="inlineStr">
        <is>
          <t>VÄSTRA GÖTALANDS LÄN</t>
        </is>
      </c>
      <c r="G415" t="inlineStr">
        <is>
          <t>BORÅS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45316</v>
      </c>
      <c r="E416" s="1" t="n">
        <v>46279</v>
      </c>
      <c r="F416" t="inlineStr">
        <is>
          <t>VÄSTRA GÖTALANDS LÄN</t>
        </is>
      </c>
      <c r="G416" t="inlineStr">
        <is>
          <t>BORÅS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45196</v>
      </c>
      <c r="E417" s="1" t="n">
        <v>46279</v>
      </c>
      <c r="F417" t="inlineStr">
        <is>
          <t>VÄSTRA GÖTALANDS LÄN</t>
        </is>
      </c>
      <c r="G417" t="inlineStr">
        <is>
          <t>BORÅS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44564</v>
      </c>
      <c r="E418" s="1" t="n">
        <v>46279</v>
      </c>
      <c r="F418" t="inlineStr">
        <is>
          <t>VÄSTRA GÖTALANDS LÄN</t>
        </is>
      </c>
      <c r="G418" t="inlineStr">
        <is>
          <t>BORÅS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44879-2023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45190</v>
      </c>
      <c r="E419" s="1" t="n">
        <v>46279</v>
      </c>
      <c r="F419" t="inlineStr">
        <is>
          <t>VÄSTRA GÖTALANDS LÄN</t>
        </is>
      </c>
      <c r="G419" t="inlineStr">
        <is>
          <t>BORÅS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8182-2024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45351</v>
      </c>
      <c r="E420" s="1" t="n">
        <v>46279</v>
      </c>
      <c r="F420" t="inlineStr">
        <is>
          <t>VÄSTRA GÖTALANDS LÄN</t>
        </is>
      </c>
      <c r="G420" t="inlineStr">
        <is>
          <t>BORÅS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6203-2024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45337</v>
      </c>
      <c r="E421" s="1" t="n">
        <v>46279</v>
      </c>
      <c r="F421" t="inlineStr">
        <is>
          <t>VÄSTRA GÖTALANDS LÄN</t>
        </is>
      </c>
      <c r="G421" t="inlineStr">
        <is>
          <t>BORÅS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46279</v>
      </c>
      <c r="F422" t="inlineStr">
        <is>
          <t>VÄSTRA GÖTALANDS LÄN</t>
        </is>
      </c>
      <c r="G422" t="inlineStr">
        <is>
          <t>BORÅS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41048-2022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44825</v>
      </c>
      <c r="E423" s="1" t="n">
        <v>46279</v>
      </c>
      <c r="F423" t="inlineStr">
        <is>
          <t>VÄSTRA GÖTALANDS LÄN</t>
        </is>
      </c>
      <c r="G423" t="inlineStr">
        <is>
          <t>BORÅS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45231</v>
      </c>
      <c r="E424" s="1" t="n">
        <v>46279</v>
      </c>
      <c r="F424" t="inlineStr">
        <is>
          <t>VÄSTRA GÖTALANDS LÄN</t>
        </is>
      </c>
      <c r="G424" t="inlineStr">
        <is>
          <t>BORÅS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48150-2023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45205</v>
      </c>
      <c r="E425" s="1" t="n">
        <v>46279</v>
      </c>
      <c r="F425" t="inlineStr">
        <is>
          <t>VÄSTRA GÖTALANDS LÄN</t>
        </is>
      </c>
      <c r="G425" t="inlineStr">
        <is>
          <t>BORÅS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45212</v>
      </c>
      <c r="E426" s="1" t="n">
        <v>46279</v>
      </c>
      <c r="F426" t="inlineStr">
        <is>
          <t>VÄSTRA GÖTALANDS LÄN</t>
        </is>
      </c>
      <c r="G426" t="inlineStr">
        <is>
          <t>BORÅS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45629</v>
      </c>
      <c r="E427" s="1" t="n">
        <v>46279</v>
      </c>
      <c r="F427" t="inlineStr">
        <is>
          <t>VÄSTRA GÖTALANDS LÄN</t>
        </is>
      </c>
      <c r="G427" t="inlineStr">
        <is>
          <t>BORÅS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45148</v>
      </c>
      <c r="E428" s="1" t="n">
        <v>46279</v>
      </c>
      <c r="F428" t="inlineStr">
        <is>
          <t>VÄSTRA GÖTALANDS LÄN</t>
        </is>
      </c>
      <c r="G428" t="inlineStr">
        <is>
          <t>BORÅS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28219-2023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45099</v>
      </c>
      <c r="E429" s="1" t="n">
        <v>46279</v>
      </c>
      <c r="F429" t="inlineStr">
        <is>
          <t>VÄSTRA GÖTALANDS LÄN</t>
        </is>
      </c>
      <c r="G429" t="inlineStr">
        <is>
          <t>BORÅS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46279</v>
      </c>
      <c r="F430" t="inlineStr">
        <is>
          <t>VÄSTRA GÖTALANDS LÄN</t>
        </is>
      </c>
      <c r="G430" t="inlineStr">
        <is>
          <t>BORÅS</t>
        </is>
      </c>
      <c r="I430" t="n">
        <v>10.2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32198-2023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45119</v>
      </c>
      <c r="E431" s="1" t="n">
        <v>46279</v>
      </c>
      <c r="F431" t="inlineStr">
        <is>
          <t>VÄSTRA GÖTALANDS LÄN</t>
        </is>
      </c>
      <c r="G431" t="inlineStr">
        <is>
          <t>BORÅS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45119</v>
      </c>
      <c r="E432" s="1" t="n">
        <v>46279</v>
      </c>
      <c r="F432" t="inlineStr">
        <is>
          <t>VÄSTRA GÖTALANDS LÄN</t>
        </is>
      </c>
      <c r="G432" t="inlineStr">
        <is>
          <t>BORÅS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45685</v>
      </c>
      <c r="E433" s="1" t="n">
        <v>46279</v>
      </c>
      <c r="F433" t="inlineStr">
        <is>
          <t>VÄSTRA GÖTALANDS LÄN</t>
        </is>
      </c>
      <c r="G433" t="inlineStr">
        <is>
          <t>BORÅS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32742-2024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45516</v>
      </c>
      <c r="E434" s="1" t="n">
        <v>46279</v>
      </c>
      <c r="F434" t="inlineStr">
        <is>
          <t>VÄSTRA GÖTALANDS LÄN</t>
        </is>
      </c>
      <c r="G434" t="inlineStr">
        <is>
          <t>BORÅS</t>
        </is>
      </c>
      <c r="I434" t="n">
        <v>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44782-2025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45917</v>
      </c>
      <c r="E435" s="1" t="n">
        <v>46279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14396-2025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45741</v>
      </c>
      <c r="E436" s="1" t="n">
        <v>46279</v>
      </c>
      <c r="F436" t="inlineStr">
        <is>
          <t>VÄSTRA GÖTALANDS LÄN</t>
        </is>
      </c>
      <c r="G436" t="inlineStr">
        <is>
          <t>BORÅS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34195-2025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45845</v>
      </c>
      <c r="E437" s="1" t="n">
        <v>46279</v>
      </c>
      <c r="F437" t="inlineStr">
        <is>
          <t>VÄSTRA GÖTALANDS LÄN</t>
        </is>
      </c>
      <c r="G437" t="inlineStr">
        <is>
          <t>BORÅS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61681-2023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46279</v>
      </c>
      <c r="F438" t="inlineStr">
        <is>
          <t>VÄSTRA GÖTALANDS LÄN</t>
        </is>
      </c>
      <c r="G438" t="inlineStr">
        <is>
          <t>BORÅS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25238-2026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46175</v>
      </c>
      <c r="E439" s="1" t="n">
        <v>46279</v>
      </c>
      <c r="F439" t="inlineStr">
        <is>
          <t>VÄSTRA GÖTALANDS LÄN</t>
        </is>
      </c>
      <c r="G439" t="inlineStr">
        <is>
          <t>BORÅS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45120</v>
      </c>
      <c r="E440" s="1" t="n">
        <v>46279</v>
      </c>
      <c r="F440" t="inlineStr">
        <is>
          <t>VÄSTRA GÖTALANDS LÄN</t>
        </is>
      </c>
      <c r="G440" t="inlineStr">
        <is>
          <t>BORÅS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55952-2023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45240</v>
      </c>
      <c r="E441" s="1" t="n">
        <v>46279</v>
      </c>
      <c r="F441" t="inlineStr">
        <is>
          <t>VÄSTRA GÖTALANDS LÄN</t>
        </is>
      </c>
      <c r="G441" t="inlineStr">
        <is>
          <t>BORÅS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45302</v>
      </c>
      <c r="E442" s="1" t="n">
        <v>46279</v>
      </c>
      <c r="F442" t="inlineStr">
        <is>
          <t>VÄSTRA GÖTALANDS LÄN</t>
        </is>
      </c>
      <c r="G442" t="inlineStr">
        <is>
          <t>BORÅS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21168-2022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44704</v>
      </c>
      <c r="E443" s="1" t="n">
        <v>46279</v>
      </c>
      <c r="F443" t="inlineStr">
        <is>
          <t>VÄSTRA GÖTALANDS LÄN</t>
        </is>
      </c>
      <c r="G443" t="inlineStr">
        <is>
          <t>BORÅS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25268-2026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46176</v>
      </c>
      <c r="E444" s="1" t="n">
        <v>46279</v>
      </c>
      <c r="F444" t="inlineStr">
        <is>
          <t>VÄSTRA GÖTALANDS LÄN</t>
        </is>
      </c>
      <c r="G444" t="inlineStr">
        <is>
          <t>BORÅS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45749</v>
      </c>
      <c r="E445" s="1" t="n">
        <v>46279</v>
      </c>
      <c r="F445" t="inlineStr">
        <is>
          <t>VÄSTRA GÖTALANDS LÄN</t>
        </is>
      </c>
      <c r="G445" t="inlineStr">
        <is>
          <t>BORÅS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55806-2023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46279</v>
      </c>
      <c r="F446" t="inlineStr">
        <is>
          <t>VÄSTRA GÖTALANDS LÄN</t>
        </is>
      </c>
      <c r="G446" t="inlineStr">
        <is>
          <t>BORÅS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2875-2024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45315</v>
      </c>
      <c r="E447" s="1" t="n">
        <v>46279</v>
      </c>
      <c r="F447" t="inlineStr">
        <is>
          <t>VÄSTRA GÖTALANDS LÄN</t>
        </is>
      </c>
      <c r="G447" t="inlineStr">
        <is>
          <t>BORÅS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43645-2023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45186</v>
      </c>
      <c r="E448" s="1" t="n">
        <v>46279</v>
      </c>
      <c r="F448" t="inlineStr">
        <is>
          <t>VÄSTRA GÖTALANDS LÄN</t>
        </is>
      </c>
      <c r="G448" t="inlineStr">
        <is>
          <t>BORÅS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54365-2023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45233</v>
      </c>
      <c r="E449" s="1" t="n">
        <v>46279</v>
      </c>
      <c r="F449" t="inlineStr">
        <is>
          <t>VÄSTRA GÖTALANDS LÄN</t>
        </is>
      </c>
      <c r="G449" t="inlineStr">
        <is>
          <t>BORÅS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17837-2025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46279</v>
      </c>
      <c r="F450" t="inlineStr">
        <is>
          <t>VÄSTRA GÖTALANDS LÄN</t>
        </is>
      </c>
      <c r="G450" t="inlineStr">
        <is>
          <t>BORÅS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62446-2023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45268</v>
      </c>
      <c r="E451" s="1" t="n">
        <v>46279</v>
      </c>
      <c r="F451" t="inlineStr">
        <is>
          <t>VÄSTRA GÖTALANDS LÄN</t>
        </is>
      </c>
      <c r="G451" t="inlineStr">
        <is>
          <t>BORÅS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17263-2025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45756</v>
      </c>
      <c r="E452" s="1" t="n">
        <v>46279</v>
      </c>
      <c r="F452" t="inlineStr">
        <is>
          <t>VÄSTRA GÖTALANDS LÄN</t>
        </is>
      </c>
      <c r="G452" t="inlineStr">
        <is>
          <t>BORÅS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65200-2023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45289</v>
      </c>
      <c r="E453" s="1" t="n">
        <v>46279</v>
      </c>
      <c r="F453" t="inlineStr">
        <is>
          <t>VÄSTRA GÖTALANDS LÄN</t>
        </is>
      </c>
      <c r="G453" t="inlineStr">
        <is>
          <t>BORÅS</t>
        </is>
      </c>
      <c r="I453" t="n">
        <v>12.5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46183</v>
      </c>
      <c r="E454" s="1" t="n">
        <v>46279</v>
      </c>
      <c r="F454" t="inlineStr">
        <is>
          <t>VÄSTRA GÖTALANDS LÄN</t>
        </is>
      </c>
      <c r="G454" t="inlineStr">
        <is>
          <t>BORÅS</t>
        </is>
      </c>
      <c r="H454" t="inlineStr">
        <is>
          <t>Kyrkan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46279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Kyrkan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36577-2022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44804</v>
      </c>
      <c r="E456" s="1" t="n">
        <v>46279</v>
      </c>
      <c r="F456" t="inlineStr">
        <is>
          <t>VÄSTRA GÖTALANDS LÄN</t>
        </is>
      </c>
      <c r="G456" t="inlineStr">
        <is>
          <t>BORÅS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46279</v>
      </c>
      <c r="F457" t="inlineStr">
        <is>
          <t>VÄSTRA GÖTALANDS LÄN</t>
        </is>
      </c>
      <c r="G457" t="inlineStr">
        <is>
          <t>BORÅS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26562-2026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46183</v>
      </c>
      <c r="E458" s="1" t="n">
        <v>46279</v>
      </c>
      <c r="F458" t="inlineStr">
        <is>
          <t>VÄSTRA GÖTALANDS LÄN</t>
        </is>
      </c>
      <c r="G458" t="inlineStr">
        <is>
          <t>BORÅS</t>
        </is>
      </c>
      <c r="H458" t="inlineStr">
        <is>
          <t>Kyrkan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45321</v>
      </c>
      <c r="E459" s="1" t="n">
        <v>46279</v>
      </c>
      <c r="F459" t="inlineStr">
        <is>
          <t>VÄSTRA GÖTALANDS LÄN</t>
        </is>
      </c>
      <c r="G459" t="inlineStr">
        <is>
          <t>BORÅS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44155-2022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44839</v>
      </c>
      <c r="E460" s="1" t="n">
        <v>46279</v>
      </c>
      <c r="F460" t="inlineStr">
        <is>
          <t>VÄSTRA GÖTALANDS LÄN</t>
        </is>
      </c>
      <c r="G460" t="inlineStr">
        <is>
          <t>BORÅS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45321</v>
      </c>
      <c r="E461" s="1" t="n">
        <v>46279</v>
      </c>
      <c r="F461" t="inlineStr">
        <is>
          <t>VÄSTRA GÖTALANDS LÄN</t>
        </is>
      </c>
      <c r="G461" t="inlineStr">
        <is>
          <t>BORÅS</t>
        </is>
      </c>
      <c r="H461" t="inlineStr">
        <is>
          <t>Kommuner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26682-2026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46184</v>
      </c>
      <c r="E462" s="1" t="n">
        <v>46279</v>
      </c>
      <c r="F462" t="inlineStr">
        <is>
          <t>VÄSTRA GÖTALANDS LÄN</t>
        </is>
      </c>
      <c r="G462" t="inlineStr">
        <is>
          <t>BORÅS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46279</v>
      </c>
      <c r="F463" t="inlineStr">
        <is>
          <t>VÄSTRA GÖTALANDS LÄN</t>
        </is>
      </c>
      <c r="G463" t="inlineStr">
        <is>
          <t>BORÅS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46184</v>
      </c>
      <c r="E464" s="1" t="n">
        <v>46279</v>
      </c>
      <c r="F464" t="inlineStr">
        <is>
          <t>VÄSTRA GÖTALANDS LÄN</t>
        </is>
      </c>
      <c r="G464" t="inlineStr">
        <is>
          <t>BORÅS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56007-2023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45240</v>
      </c>
      <c r="E465" s="1" t="n">
        <v>46279</v>
      </c>
      <c r="F465" t="inlineStr">
        <is>
          <t>VÄSTRA GÖTALANDS LÄN</t>
        </is>
      </c>
      <c r="G465" t="inlineStr">
        <is>
          <t>BORÅS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62532-2022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44916</v>
      </c>
      <c r="E466" s="1" t="n">
        <v>46279</v>
      </c>
      <c r="F466" t="inlineStr">
        <is>
          <t>VÄSTRA GÖTALANDS LÄN</t>
        </is>
      </c>
      <c r="G466" t="inlineStr">
        <is>
          <t>BORÅS</t>
        </is>
      </c>
      <c r="I466" t="n">
        <v>9.800000000000001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27206-2026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46188</v>
      </c>
      <c r="E467" s="1" t="n">
        <v>46279</v>
      </c>
      <c r="F467" t="inlineStr">
        <is>
          <t>VÄSTRA GÖTALANDS LÄN</t>
        </is>
      </c>
      <c r="G467" t="inlineStr">
        <is>
          <t>BORÅS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45294</v>
      </c>
      <c r="E468" s="1" t="n">
        <v>46279</v>
      </c>
      <c r="F468" t="inlineStr">
        <is>
          <t>VÄSTRA GÖTALANDS LÄN</t>
        </is>
      </c>
      <c r="G468" t="inlineStr">
        <is>
          <t>BORÅS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57782-2022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44897</v>
      </c>
      <c r="E469" s="1" t="n">
        <v>46279</v>
      </c>
      <c r="F469" t="inlineStr">
        <is>
          <t>VÄSTRA GÖTALANDS LÄN</t>
        </is>
      </c>
      <c r="G469" t="inlineStr">
        <is>
          <t>BORÅS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3721-2024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45321</v>
      </c>
      <c r="E470" s="1" t="n">
        <v>46279</v>
      </c>
      <c r="F470" t="inlineStr">
        <is>
          <t>VÄSTRA GÖTALANDS LÄN</t>
        </is>
      </c>
      <c r="G470" t="inlineStr">
        <is>
          <t>BORÅS</t>
        </is>
      </c>
      <c r="H470" t="inlineStr">
        <is>
          <t>Kommuner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44506-2023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45189</v>
      </c>
      <c r="E471" s="1" t="n">
        <v>46279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38970-2024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45548</v>
      </c>
      <c r="E472" s="1" t="n">
        <v>46279</v>
      </c>
      <c r="F472" t="inlineStr">
        <is>
          <t>VÄSTRA GÖTALANDS LÄN</t>
        </is>
      </c>
      <c r="G472" t="inlineStr">
        <is>
          <t>BORÅS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45588</v>
      </c>
      <c r="E473" s="1" t="n">
        <v>46279</v>
      </c>
      <c r="F473" t="inlineStr">
        <is>
          <t>VÄSTRA GÖTALANDS LÄN</t>
        </is>
      </c>
      <c r="G473" t="inlineStr">
        <is>
          <t>BORÅS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46279</v>
      </c>
      <c r="F474" t="inlineStr">
        <is>
          <t>VÄSTRA GÖTALANDS LÄN</t>
        </is>
      </c>
      <c r="G474" t="inlineStr">
        <is>
          <t>BORÅS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52410-2023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45224</v>
      </c>
      <c r="E475" s="1" t="n">
        <v>46279</v>
      </c>
      <c r="F475" t="inlineStr">
        <is>
          <t>VÄSTRA GÖTALANDS LÄN</t>
        </is>
      </c>
      <c r="G475" t="inlineStr">
        <is>
          <t>BORÅS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46426-2023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45197</v>
      </c>
      <c r="E476" s="1" t="n">
        <v>46279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45180</v>
      </c>
      <c r="E477" s="1" t="n">
        <v>46279</v>
      </c>
      <c r="F477" t="inlineStr">
        <is>
          <t>VÄSTRA GÖTALANDS LÄN</t>
        </is>
      </c>
      <c r="G477" t="inlineStr">
        <is>
          <t>BORÅS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5964-2023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44964</v>
      </c>
      <c r="E478" s="1" t="n">
        <v>46279</v>
      </c>
      <c r="F478" t="inlineStr">
        <is>
          <t>VÄSTRA GÖTALANDS LÄN</t>
        </is>
      </c>
      <c r="G478" t="inlineStr">
        <is>
          <t>BORÅS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49948-2023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45215</v>
      </c>
      <c r="E479" s="1" t="n">
        <v>46279</v>
      </c>
      <c r="F479" t="inlineStr">
        <is>
          <t>VÄSTRA GÖTALANDS LÄN</t>
        </is>
      </c>
      <c r="G479" t="inlineStr">
        <is>
          <t>BORÅS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52957-2022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44875</v>
      </c>
      <c r="E480" s="1" t="n">
        <v>46279</v>
      </c>
      <c r="F480" t="inlineStr">
        <is>
          <t>VÄSTRA GÖTALANDS LÄN</t>
        </is>
      </c>
      <c r="G480" t="inlineStr">
        <is>
          <t>BORÅS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29513-2026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46279</v>
      </c>
      <c r="F481" t="inlineStr">
        <is>
          <t>VÄSTRA GÖTALANDS LÄN</t>
        </is>
      </c>
      <c r="G481" t="inlineStr">
        <is>
          <t>BORÅS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41981-2024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45561</v>
      </c>
      <c r="E482" s="1" t="n">
        <v>46279</v>
      </c>
      <c r="F482" t="inlineStr">
        <is>
          <t>VÄSTRA GÖTALANDS LÄN</t>
        </is>
      </c>
      <c r="G482" t="inlineStr">
        <is>
          <t>BORÅS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29509-2026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46198</v>
      </c>
      <c r="E483" s="1" t="n">
        <v>46279</v>
      </c>
      <c r="F483" t="inlineStr">
        <is>
          <t>VÄSTRA GÖTALANDS LÄN</t>
        </is>
      </c>
      <c r="G483" t="inlineStr">
        <is>
          <t>BORÅS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25317-2024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45462</v>
      </c>
      <c r="E484" s="1" t="n">
        <v>46279</v>
      </c>
      <c r="F484" t="inlineStr">
        <is>
          <t>VÄSTRA GÖTALANDS LÄN</t>
        </is>
      </c>
      <c r="G484" t="inlineStr">
        <is>
          <t>BORÅS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60931-2022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44914</v>
      </c>
      <c r="E485" s="1" t="n">
        <v>46279</v>
      </c>
      <c r="F485" t="inlineStr">
        <is>
          <t>VÄSTRA GÖTALANDS LÄN</t>
        </is>
      </c>
      <c r="G485" t="inlineStr">
        <is>
          <t>BORÅS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19168-2025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45769</v>
      </c>
      <c r="E486" s="1" t="n">
        <v>46279</v>
      </c>
      <c r="F486" t="inlineStr">
        <is>
          <t>VÄSTRA GÖTALANDS LÄN</t>
        </is>
      </c>
      <c r="G486" t="inlineStr">
        <is>
          <t>BORÅS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57906-2022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44900</v>
      </c>
      <c r="E487" s="1" t="n">
        <v>46279</v>
      </c>
      <c r="F487" t="inlineStr">
        <is>
          <t>VÄSTRA GÖTALANDS LÄN</t>
        </is>
      </c>
      <c r="G487" t="inlineStr">
        <is>
          <t>BORÅS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58734-2021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44489</v>
      </c>
      <c r="E488" s="1" t="n">
        <v>46279</v>
      </c>
      <c r="F488" t="inlineStr">
        <is>
          <t>VÄSTRA GÖTALANDS LÄN</t>
        </is>
      </c>
      <c r="G488" t="inlineStr">
        <is>
          <t>BORÅS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14990-2023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45015</v>
      </c>
      <c r="E489" s="1" t="n">
        <v>46279</v>
      </c>
      <c r="F489" t="inlineStr">
        <is>
          <t>VÄSTRA GÖTALANDS LÄN</t>
        </is>
      </c>
      <c r="G489" t="inlineStr">
        <is>
          <t>BORÅS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11903-2023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44995</v>
      </c>
      <c r="E490" s="1" t="n">
        <v>46279</v>
      </c>
      <c r="F490" t="inlineStr">
        <is>
          <t>VÄSTRA GÖTALANDS LÄN</t>
        </is>
      </c>
      <c r="G490" t="inlineStr">
        <is>
          <t>BORÅS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28627-2026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46198</v>
      </c>
      <c r="E491" s="1" t="n">
        <v>46279</v>
      </c>
      <c r="F491" t="inlineStr">
        <is>
          <t>VÄSTRA GÖTALANDS LÄN</t>
        </is>
      </c>
      <c r="G491" t="inlineStr">
        <is>
          <t>BORÅS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4617-2022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44592</v>
      </c>
      <c r="E492" s="1" t="n">
        <v>46279</v>
      </c>
      <c r="F492" t="inlineStr">
        <is>
          <t>VÄSTRA GÖTALANDS LÄN</t>
        </is>
      </c>
      <c r="G492" t="inlineStr">
        <is>
          <t>BORÅS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19095-2023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45048</v>
      </c>
      <c r="E493" s="1" t="n">
        <v>46279</v>
      </c>
      <c r="F493" t="inlineStr">
        <is>
          <t>VÄSTRA GÖTALANDS LÄN</t>
        </is>
      </c>
      <c r="G493" t="inlineStr">
        <is>
          <t>BORÅS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45301</v>
      </c>
      <c r="E494" s="1" t="n">
        <v>46279</v>
      </c>
      <c r="F494" t="inlineStr">
        <is>
          <t>VÄSTRA GÖTALANDS LÄN</t>
        </is>
      </c>
      <c r="G494" t="inlineStr">
        <is>
          <t>BORÅS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31213-2022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44771</v>
      </c>
      <c r="E495" s="1" t="n">
        <v>46279</v>
      </c>
      <c r="F495" t="inlineStr">
        <is>
          <t>VÄSTRA GÖTALANDS LÄN</t>
        </is>
      </c>
      <c r="G495" t="inlineStr">
        <is>
          <t>BORÅS</t>
        </is>
      </c>
      <c r="H495" t="inlineStr">
        <is>
          <t>Kyrkan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38424-2024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45546</v>
      </c>
      <c r="E496" s="1" t="n">
        <v>46279</v>
      </c>
      <c r="F496" t="inlineStr">
        <is>
          <t>VÄSTRA GÖTALANDS LÄN</t>
        </is>
      </c>
      <c r="G496" t="inlineStr">
        <is>
          <t>BORÅS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46183</v>
      </c>
      <c r="E497" s="1" t="n">
        <v>46279</v>
      </c>
      <c r="F497" t="inlineStr">
        <is>
          <t>VÄSTRA GÖTALANDS LÄN</t>
        </is>
      </c>
      <c r="G497" t="inlineStr">
        <is>
          <t>BORÅS</t>
        </is>
      </c>
      <c r="H497" t="inlineStr">
        <is>
          <t>Kyrkan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46279</v>
      </c>
      <c r="F498" t="inlineStr">
        <is>
          <t>VÄSTRA GÖTALANDS LÄN</t>
        </is>
      </c>
      <c r="G498" t="inlineStr">
        <is>
          <t>BORÅS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46202</v>
      </c>
      <c r="E499" s="1" t="n">
        <v>46279</v>
      </c>
      <c r="F499" t="inlineStr">
        <is>
          <t>VÄSTRA GÖTALANDS LÄN</t>
        </is>
      </c>
      <c r="G499" t="inlineStr">
        <is>
          <t>BORÅS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48711-2024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45593</v>
      </c>
      <c r="E500" s="1" t="n">
        <v>46279</v>
      </c>
      <c r="F500" t="inlineStr">
        <is>
          <t>VÄSTRA GÖTALANDS LÄN</t>
        </is>
      </c>
      <c r="G500" t="inlineStr">
        <is>
          <t>BORÅS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46279</v>
      </c>
      <c r="F501" t="inlineStr">
        <is>
          <t>VÄSTRA GÖTALANDS LÄN</t>
        </is>
      </c>
      <c r="G501" t="inlineStr">
        <is>
          <t>BORÅS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46246</v>
      </c>
      <c r="E502" s="1" t="n">
        <v>46279</v>
      </c>
      <c r="F502" t="inlineStr">
        <is>
          <t>VÄSTRA GÖTALANDS LÄN</t>
        </is>
      </c>
      <c r="G502" t="inlineStr">
        <is>
          <t>BORÅS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33328-2026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46246</v>
      </c>
      <c r="E503" s="1" t="n">
        <v>46279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2008-2024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45308</v>
      </c>
      <c r="E504" s="1" t="n">
        <v>46279</v>
      </c>
      <c r="F504" t="inlineStr">
        <is>
          <t>VÄSTRA GÖTALANDS LÄN</t>
        </is>
      </c>
      <c r="G504" t="inlineStr">
        <is>
          <t>BORÅS</t>
        </is>
      </c>
      <c r="H504" t="inlineStr">
        <is>
          <t>Kommuner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14783-2022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44656</v>
      </c>
      <c r="E505" s="1" t="n">
        <v>46279</v>
      </c>
      <c r="F505" t="inlineStr">
        <is>
          <t>VÄSTRA GÖTALANDS LÄN</t>
        </is>
      </c>
      <c r="G505" t="inlineStr">
        <is>
          <t>BORÅS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46279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Kommuner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29477-2026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46203</v>
      </c>
      <c r="E507" s="1" t="n">
        <v>46279</v>
      </c>
      <c r="F507" t="inlineStr">
        <is>
          <t>VÄSTRA GÖTALANDS LÄN</t>
        </is>
      </c>
      <c r="G507" t="inlineStr">
        <is>
          <t>BORÅS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7898-2024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45350</v>
      </c>
      <c r="E508" s="1" t="n">
        <v>46279</v>
      </c>
      <c r="F508" t="inlineStr">
        <is>
          <t>VÄSTRA GÖTALANDS LÄN</t>
        </is>
      </c>
      <c r="G508" t="inlineStr">
        <is>
          <t>BORÅS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45670</v>
      </c>
      <c r="E509" s="1" t="n">
        <v>46279</v>
      </c>
      <c r="F509" t="inlineStr">
        <is>
          <t>VÄSTRA GÖTALANDS LÄN</t>
        </is>
      </c>
      <c r="G509" t="inlineStr">
        <is>
          <t>BORÅS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46279</v>
      </c>
      <c r="F510" t="inlineStr">
        <is>
          <t>VÄSTRA GÖTALANDS LÄN</t>
        </is>
      </c>
      <c r="G510" t="inlineStr">
        <is>
          <t>BORÅS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29627-2026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46279</v>
      </c>
      <c r="F511" t="inlineStr">
        <is>
          <t>VÄSTRA GÖTALANDS LÄN</t>
        </is>
      </c>
      <c r="G511" t="inlineStr">
        <is>
          <t>BORÅS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29606-2026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46279</v>
      </c>
      <c r="F512" t="inlineStr">
        <is>
          <t>VÄSTRA GÖTALANDS LÄN</t>
        </is>
      </c>
      <c r="G512" t="inlineStr">
        <is>
          <t>BORÅS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29628-2026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46279</v>
      </c>
      <c r="F513" t="inlineStr">
        <is>
          <t>VÄSTRA GÖTALANDS LÄN</t>
        </is>
      </c>
      <c r="G513" t="inlineStr">
        <is>
          <t>BORÅS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46279</v>
      </c>
      <c r="F514" t="inlineStr">
        <is>
          <t>VÄSTRA GÖTALANDS LÄN</t>
        </is>
      </c>
      <c r="G514" t="inlineStr">
        <is>
          <t>BORÅS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33795-2026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46279</v>
      </c>
      <c r="F515" t="inlineStr">
        <is>
          <t>VÄSTRA GÖTALANDS LÄN</t>
        </is>
      </c>
      <c r="G515" t="inlineStr">
        <is>
          <t>BORÅS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31940-2024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45510</v>
      </c>
      <c r="E516" s="1" t="n">
        <v>46279</v>
      </c>
      <c r="F516" t="inlineStr">
        <is>
          <t>VÄSTRA GÖTALANDS LÄN</t>
        </is>
      </c>
      <c r="G516" t="inlineStr">
        <is>
          <t>BORÅS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4934-2023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44958</v>
      </c>
      <c r="E517" s="1" t="n">
        <v>46279</v>
      </c>
      <c r="F517" t="inlineStr">
        <is>
          <t>VÄSTRA GÖTALANDS LÄN</t>
        </is>
      </c>
      <c r="G517" t="inlineStr">
        <is>
          <t>BORÅS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14309-2022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44652</v>
      </c>
      <c r="E518" s="1" t="n">
        <v>46279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45678</v>
      </c>
      <c r="E519" s="1" t="n">
        <v>46279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Sveaskog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34029-2026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46252</v>
      </c>
      <c r="E520" s="1" t="n">
        <v>46279</v>
      </c>
      <c r="F520" t="inlineStr">
        <is>
          <t>VÄSTRA GÖTALANDS LÄN</t>
        </is>
      </c>
      <c r="G520" t="inlineStr">
        <is>
          <t>BORÅS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33792-2026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46251</v>
      </c>
      <c r="E521" s="1" t="n">
        <v>46279</v>
      </c>
      <c r="F521" t="inlineStr">
        <is>
          <t>VÄSTRA GÖTALANDS LÄN</t>
        </is>
      </c>
      <c r="G521" t="inlineStr">
        <is>
          <t>BORÅS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49191-2021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44454</v>
      </c>
      <c r="E522" s="1" t="n">
        <v>46279</v>
      </c>
      <c r="F522" t="inlineStr">
        <is>
          <t>VÄSTRA GÖTALANDS LÄN</t>
        </is>
      </c>
      <c r="G522" t="inlineStr">
        <is>
          <t>BORÅS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34384-2026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46254</v>
      </c>
      <c r="E523" s="1" t="n">
        <v>46279</v>
      </c>
      <c r="F523" t="inlineStr">
        <is>
          <t>VÄSTRA GÖTALANDS LÄN</t>
        </is>
      </c>
      <c r="G523" t="inlineStr">
        <is>
          <t>BORÅS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46253</v>
      </c>
      <c r="E524" s="1" t="n">
        <v>46279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11153-2023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44992</v>
      </c>
      <c r="E525" s="1" t="n">
        <v>46279</v>
      </c>
      <c r="F525" t="inlineStr">
        <is>
          <t>VÄSTRA GÖTALANDS LÄN</t>
        </is>
      </c>
      <c r="G525" t="inlineStr">
        <is>
          <t>BORÅS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34364-2026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46279</v>
      </c>
      <c r="F526" t="inlineStr">
        <is>
          <t>VÄSTRA GÖTALANDS LÄN</t>
        </is>
      </c>
      <c r="G526" t="inlineStr">
        <is>
          <t>BORÅS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32452-2023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45120</v>
      </c>
      <c r="E527" s="1" t="n">
        <v>46279</v>
      </c>
      <c r="F527" t="inlineStr">
        <is>
          <t>VÄSTRA GÖTALANDS LÄN</t>
        </is>
      </c>
      <c r="G527" t="inlineStr">
        <is>
          <t>BORÅS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32453-2023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45120</v>
      </c>
      <c r="E528" s="1" t="n">
        <v>46279</v>
      </c>
      <c r="F528" t="inlineStr">
        <is>
          <t>VÄSTRA GÖTALANDS LÄN</t>
        </is>
      </c>
      <c r="G528" t="inlineStr">
        <is>
          <t>BORÅS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10147-2024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45364</v>
      </c>
      <c r="E529" s="1" t="n">
        <v>46279</v>
      </c>
      <c r="F529" t="inlineStr">
        <is>
          <t>VÄSTRA GÖTALANDS LÄN</t>
        </is>
      </c>
      <c r="G529" t="inlineStr">
        <is>
          <t>BORÅS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12840-2023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45000</v>
      </c>
      <c r="E530" s="1" t="n">
        <v>46279</v>
      </c>
      <c r="F530" t="inlineStr">
        <is>
          <t>VÄSTRA GÖTALANDS LÄN</t>
        </is>
      </c>
      <c r="G530" t="inlineStr">
        <is>
          <t>BORÅS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46574-2022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44848</v>
      </c>
      <c r="E531" s="1" t="n">
        <v>46279</v>
      </c>
      <c r="F531" t="inlineStr">
        <is>
          <t>VÄSTRA GÖTALANDS LÄN</t>
        </is>
      </c>
      <c r="G531" t="inlineStr">
        <is>
          <t>BORÅS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27334-2024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45472</v>
      </c>
      <c r="E532" s="1" t="n">
        <v>46279</v>
      </c>
      <c r="F532" t="inlineStr">
        <is>
          <t>VÄSTRA GÖTALANDS LÄN</t>
        </is>
      </c>
      <c r="G532" t="inlineStr">
        <is>
          <t>BORÅS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34355-2024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45525</v>
      </c>
      <c r="E533" s="1" t="n">
        <v>46279</v>
      </c>
      <c r="F533" t="inlineStr">
        <is>
          <t>VÄSTRA GÖTALANDS LÄN</t>
        </is>
      </c>
      <c r="G533" t="inlineStr">
        <is>
          <t>BORÅS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19481-2023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45050</v>
      </c>
      <c r="E534" s="1" t="n">
        <v>46279</v>
      </c>
      <c r="F534" t="inlineStr">
        <is>
          <t>VÄSTRA GÖTALANDS LÄN</t>
        </is>
      </c>
      <c r="G534" t="inlineStr">
        <is>
          <t>BORÅS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19483-2023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45050</v>
      </c>
      <c r="E535" s="1" t="n">
        <v>46279</v>
      </c>
      <c r="F535" t="inlineStr">
        <is>
          <t>VÄSTRA GÖTALANDS LÄN</t>
        </is>
      </c>
      <c r="G535" t="inlineStr">
        <is>
          <t>BORÅS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61452-2023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45264</v>
      </c>
      <c r="E536" s="1" t="n">
        <v>46279</v>
      </c>
      <c r="F536" t="inlineStr">
        <is>
          <t>VÄSTRA GÖTALANDS LÄN</t>
        </is>
      </c>
      <c r="G536" t="inlineStr">
        <is>
          <t>BORÅS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32446-2023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45120</v>
      </c>
      <c r="E537" s="1" t="n">
        <v>46279</v>
      </c>
      <c r="F537" t="inlineStr">
        <is>
          <t>VÄSTRA GÖTALANDS LÄN</t>
        </is>
      </c>
      <c r="G537" t="inlineStr">
        <is>
          <t>BORÅS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31206-2026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46217</v>
      </c>
      <c r="E538" s="1" t="n">
        <v>46279</v>
      </c>
      <c r="F538" t="inlineStr">
        <is>
          <t>VÄSTRA GÖTALANDS LÄN</t>
        </is>
      </c>
      <c r="G538" t="inlineStr">
        <is>
          <t>BORÅS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31171-2026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46216</v>
      </c>
      <c r="E539" s="1" t="n">
        <v>46279</v>
      </c>
      <c r="F539" t="inlineStr">
        <is>
          <t>VÄSTRA GÖTALANDS LÄN</t>
        </is>
      </c>
      <c r="G539" t="inlineStr">
        <is>
          <t>BORÅS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35139-2026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46279</v>
      </c>
      <c r="F540" t="inlineStr">
        <is>
          <t>VÄSTRA GÖTALANDS LÄN</t>
        </is>
      </c>
      <c r="G540" t="inlineStr">
        <is>
          <t>BORÅS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46279</v>
      </c>
      <c r="F541" t="inlineStr">
        <is>
          <t>VÄSTRA GÖTALANDS LÄN</t>
        </is>
      </c>
      <c r="G541" t="inlineStr">
        <is>
          <t>BORÅS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61863-2024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45650</v>
      </c>
      <c r="E542" s="1" t="n">
        <v>46279</v>
      </c>
      <c r="F542" t="inlineStr">
        <is>
          <t>VÄSTRA GÖTALANDS LÄN</t>
        </is>
      </c>
      <c r="G542" t="inlineStr">
        <is>
          <t>BORÅS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4937-2023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44958</v>
      </c>
      <c r="E543" s="1" t="n">
        <v>46279</v>
      </c>
      <c r="F543" t="inlineStr">
        <is>
          <t>VÄSTRA GÖTALANDS LÄN</t>
        </is>
      </c>
      <c r="G543" t="inlineStr">
        <is>
          <t>BORÅS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35245-2026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46260</v>
      </c>
      <c r="E544" s="1" t="n">
        <v>46279</v>
      </c>
      <c r="F544" t="inlineStr">
        <is>
          <t>VÄSTRA GÖTALANDS LÄN</t>
        </is>
      </c>
      <c r="G544" t="inlineStr">
        <is>
          <t>BORÅS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35244-2026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46260</v>
      </c>
      <c r="E545" s="1" t="n">
        <v>46279</v>
      </c>
      <c r="F545" t="inlineStr">
        <is>
          <t>VÄSTRA GÖTALANDS LÄN</t>
        </is>
      </c>
      <c r="G545" t="inlineStr">
        <is>
          <t>BORÅS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32163-2023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45119</v>
      </c>
      <c r="E546" s="1" t="n">
        <v>46279</v>
      </c>
      <c r="F546" t="inlineStr">
        <is>
          <t>VÄSTRA GÖTALANDS LÄN</t>
        </is>
      </c>
      <c r="G546" t="inlineStr">
        <is>
          <t>BORÅS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35243-2026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46279</v>
      </c>
      <c r="F547" t="inlineStr">
        <is>
          <t>VÄSTRA GÖTALANDS LÄN</t>
        </is>
      </c>
      <c r="G547" t="inlineStr">
        <is>
          <t>BORÅS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46260</v>
      </c>
      <c r="E548" s="1" t="n">
        <v>46279</v>
      </c>
      <c r="F548" t="inlineStr">
        <is>
          <t>VÄSTRA GÖTALANDS LÄN</t>
        </is>
      </c>
      <c r="G548" t="inlineStr">
        <is>
          <t>BORÅS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35133-2026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46260</v>
      </c>
      <c r="E549" s="1" t="n">
        <v>46279</v>
      </c>
      <c r="F549" t="inlineStr">
        <is>
          <t>VÄSTRA GÖTALANDS LÄN</t>
        </is>
      </c>
      <c r="G549" t="inlineStr">
        <is>
          <t>BORÅS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35175-2026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46260</v>
      </c>
      <c r="E550" s="1" t="n">
        <v>46279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43574-2023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45184</v>
      </c>
      <c r="E551" s="1" t="n">
        <v>46279</v>
      </c>
      <c r="F551" t="inlineStr">
        <is>
          <t>VÄSTRA GÖTALANDS LÄN</t>
        </is>
      </c>
      <c r="G551" t="inlineStr">
        <is>
          <t>BORÅS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45666</v>
      </c>
      <c r="E552" s="1" t="n">
        <v>46279</v>
      </c>
      <c r="F552" t="inlineStr">
        <is>
          <t>VÄSTRA GÖTALANDS LÄN</t>
        </is>
      </c>
      <c r="G552" t="inlineStr">
        <is>
          <t>BORÅS</t>
        </is>
      </c>
      <c r="H552" t="inlineStr">
        <is>
          <t>Sveaskog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18248-2024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45421</v>
      </c>
      <c r="E553" s="1" t="n">
        <v>46279</v>
      </c>
      <c r="F553" t="inlineStr">
        <is>
          <t>VÄSTRA GÖTALANDS LÄN</t>
        </is>
      </c>
      <c r="G553" t="inlineStr">
        <is>
          <t>BORÅS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24860-2022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44728</v>
      </c>
      <c r="E554" s="1" t="n">
        <v>46279</v>
      </c>
      <c r="F554" t="inlineStr">
        <is>
          <t>VÄSTRA GÖTALANDS LÄN</t>
        </is>
      </c>
      <c r="G554" t="inlineStr">
        <is>
          <t>BORÅS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45126</v>
      </c>
      <c r="E555" s="1" t="n">
        <v>46279</v>
      </c>
      <c r="F555" t="inlineStr">
        <is>
          <t>VÄSTRA GÖTALANDS LÄN</t>
        </is>
      </c>
      <c r="G555" t="inlineStr">
        <is>
          <t>BORÅS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45486-2023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45194</v>
      </c>
      <c r="E556" s="1" t="n">
        <v>46279</v>
      </c>
      <c r="F556" t="inlineStr">
        <is>
          <t>VÄSTRA GÖTALANDS LÄN</t>
        </is>
      </c>
      <c r="G556" t="inlineStr">
        <is>
          <t>BORÅS</t>
        </is>
      </c>
      <c r="I556" t="n">
        <v>11.7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57430-2024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45629</v>
      </c>
      <c r="E557" s="1" t="n">
        <v>46279</v>
      </c>
      <c r="F557" t="inlineStr">
        <is>
          <t>VÄSTRA GÖTALANDS LÄN</t>
        </is>
      </c>
      <c r="G557" t="inlineStr">
        <is>
          <t>BORÅS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32193-2023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45119</v>
      </c>
      <c r="E558" s="1" t="n">
        <v>46279</v>
      </c>
      <c r="F558" t="inlineStr">
        <is>
          <t>VÄSTRA GÖTALANDS LÄN</t>
        </is>
      </c>
      <c r="G558" t="inlineStr">
        <is>
          <t>BORÅS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32170-2023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46279</v>
      </c>
      <c r="F559" t="inlineStr">
        <is>
          <t>VÄSTRA GÖTALANDS LÄN</t>
        </is>
      </c>
      <c r="G559" t="inlineStr">
        <is>
          <t>BORÅS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50605-2022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44866</v>
      </c>
      <c r="E560" s="1" t="n">
        <v>46279</v>
      </c>
      <c r="F560" t="inlineStr">
        <is>
          <t>VÄSTRA GÖTALANDS LÄN</t>
        </is>
      </c>
      <c r="G560" t="inlineStr">
        <is>
          <t>BORÅS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54246-2023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45232</v>
      </c>
      <c r="E561" s="1" t="n">
        <v>46279</v>
      </c>
      <c r="F561" t="inlineStr">
        <is>
          <t>VÄSTRA GÖTALANDS LÄN</t>
        </is>
      </c>
      <c r="G561" t="inlineStr">
        <is>
          <t>BORÅS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36574-2024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45537</v>
      </c>
      <c r="E562" s="1" t="n">
        <v>46279</v>
      </c>
      <c r="F562" t="inlineStr">
        <is>
          <t>VÄSTRA GÖTALANDS LÄN</t>
        </is>
      </c>
      <c r="G562" t="inlineStr">
        <is>
          <t>BORÅS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36115-2026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46267</v>
      </c>
      <c r="E563" s="1" t="n">
        <v>46279</v>
      </c>
      <c r="F563" t="inlineStr">
        <is>
          <t>VÄSTRA GÖTALANDS LÄN</t>
        </is>
      </c>
      <c r="G563" t="inlineStr">
        <is>
          <t>BORÅS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17032-2024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45412</v>
      </c>
      <c r="E564" s="1" t="n">
        <v>46279</v>
      </c>
      <c r="F564" t="inlineStr">
        <is>
          <t>VÄSTRA GÖTALANDS LÄN</t>
        </is>
      </c>
      <c r="G564" t="inlineStr">
        <is>
          <t>BORÅS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46268</v>
      </c>
      <c r="E565" s="1" t="n">
        <v>46279</v>
      </c>
      <c r="F565" t="inlineStr">
        <is>
          <t>VÄSTRA GÖTALANDS LÄN</t>
        </is>
      </c>
      <c r="G565" t="inlineStr">
        <is>
          <t>BORÅS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45308</v>
      </c>
      <c r="E566" s="1" t="n">
        <v>46279</v>
      </c>
      <c r="F566" t="inlineStr">
        <is>
          <t>VÄSTRA GÖTALANDS LÄN</t>
        </is>
      </c>
      <c r="G566" t="inlineStr">
        <is>
          <t>BORÅS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46267</v>
      </c>
      <c r="E567" s="1" t="n">
        <v>46279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45294</v>
      </c>
      <c r="E568" s="1" t="n">
        <v>46279</v>
      </c>
      <c r="F568" t="inlineStr">
        <is>
          <t>VÄSTRA GÖTALANDS LÄN</t>
        </is>
      </c>
      <c r="G568" t="inlineStr">
        <is>
          <t>BORÅS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45294</v>
      </c>
      <c r="E569" s="1" t="n">
        <v>46279</v>
      </c>
      <c r="F569" t="inlineStr">
        <is>
          <t>VÄSTRA GÖTALANDS LÄN</t>
        </is>
      </c>
      <c r="G569" t="inlineStr">
        <is>
          <t>BORÅS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45294</v>
      </c>
      <c r="E570" s="1" t="n">
        <v>46279</v>
      </c>
      <c r="F570" t="inlineStr">
        <is>
          <t>VÄSTRA GÖTALANDS LÄN</t>
        </is>
      </c>
      <c r="G570" t="inlineStr">
        <is>
          <t>BORÅS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36399-2026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46268</v>
      </c>
      <c r="E571" s="1" t="n">
        <v>46279</v>
      </c>
      <c r="F571" t="inlineStr">
        <is>
          <t>VÄSTRA GÖTALANDS LÄN</t>
        </is>
      </c>
      <c r="G571" t="inlineStr">
        <is>
          <t>BORÅS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46279</v>
      </c>
      <c r="F572" t="inlineStr">
        <is>
          <t>VÄSTRA GÖTALANDS LÄN</t>
        </is>
      </c>
      <c r="G572" t="inlineStr">
        <is>
          <t>BORÅS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46224</v>
      </c>
      <c r="E573" s="1" t="n">
        <v>46279</v>
      </c>
      <c r="F573" t="inlineStr">
        <is>
          <t>VÄSTRA GÖTALANDS LÄN</t>
        </is>
      </c>
      <c r="G573" t="inlineStr">
        <is>
          <t>BORÅS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21180-2024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45440</v>
      </c>
      <c r="E574" s="1" t="n">
        <v>46279</v>
      </c>
      <c r="F574" t="inlineStr">
        <is>
          <t>VÄSTRA GÖTALANDS LÄN</t>
        </is>
      </c>
      <c r="G574" t="inlineStr">
        <is>
          <t>BORÅS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48358-2023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45205</v>
      </c>
      <c r="E575" s="1" t="n">
        <v>46279</v>
      </c>
      <c r="F575" t="inlineStr">
        <is>
          <t>VÄSTRA GÖTALANDS LÄN</t>
        </is>
      </c>
      <c r="G575" t="inlineStr">
        <is>
          <t>BORÅS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56002-2023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45240</v>
      </c>
      <c r="E576" s="1" t="n">
        <v>46279</v>
      </c>
      <c r="F576" t="inlineStr">
        <is>
          <t>VÄSTRA GÖTALANDS LÄN</t>
        </is>
      </c>
      <c r="G576" t="inlineStr">
        <is>
          <t>BORÅS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9127-2023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44980</v>
      </c>
      <c r="E577" s="1" t="n">
        <v>46279</v>
      </c>
      <c r="F577" t="inlineStr">
        <is>
          <t>VÄSTRA GÖTALANDS LÄN</t>
        </is>
      </c>
      <c r="G577" t="inlineStr">
        <is>
          <t>BORÅS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45294</v>
      </c>
      <c r="E578" s="1" t="n">
        <v>46279</v>
      </c>
      <c r="F578" t="inlineStr">
        <is>
          <t>VÄSTRA GÖTALANDS LÄN</t>
        </is>
      </c>
      <c r="G578" t="inlineStr">
        <is>
          <t>BORÅS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17095-2023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45034</v>
      </c>
      <c r="E579" s="1" t="n">
        <v>46279</v>
      </c>
      <c r="F579" t="inlineStr">
        <is>
          <t>VÄSTRA GÖTALANDS LÄN</t>
        </is>
      </c>
      <c r="G579" t="inlineStr">
        <is>
          <t>BORÅS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36866-2026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46272</v>
      </c>
      <c r="E580" s="1" t="n">
        <v>46279</v>
      </c>
      <c r="F580" t="inlineStr">
        <is>
          <t>VÄSTRA GÖTALANDS LÄN</t>
        </is>
      </c>
      <c r="G580" t="inlineStr">
        <is>
          <t>BORÅS</t>
        </is>
      </c>
      <c r="I580" t="n">
        <v>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60923-2022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44914</v>
      </c>
      <c r="E581" s="1" t="n">
        <v>46279</v>
      </c>
      <c r="F581" t="inlineStr">
        <is>
          <t>VÄSTRA GÖTALANDS LÄN</t>
        </is>
      </c>
      <c r="G581" t="inlineStr">
        <is>
          <t>BORÅS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62448-2023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45268</v>
      </c>
      <c r="E582" s="1" t="n">
        <v>46279</v>
      </c>
      <c r="F582" t="inlineStr">
        <is>
          <t>VÄSTRA GÖTALANDS LÄN</t>
        </is>
      </c>
      <c r="G582" t="inlineStr">
        <is>
          <t>BORÅS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49471-2023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45211</v>
      </c>
      <c r="E583" s="1" t="n">
        <v>46279</v>
      </c>
      <c r="F583" t="inlineStr">
        <is>
          <t>VÄSTRA GÖTALANDS LÄN</t>
        </is>
      </c>
      <c r="G583" t="inlineStr">
        <is>
          <t>BORÅS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3703-2024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45321</v>
      </c>
      <c r="E584" s="1" t="n">
        <v>46279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Kommuner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48619-2023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45208</v>
      </c>
      <c r="E585" s="1" t="n">
        <v>46279</v>
      </c>
      <c r="F585" t="inlineStr">
        <is>
          <t>VÄSTRA GÖTALANDS LÄN</t>
        </is>
      </c>
      <c r="G585" t="inlineStr">
        <is>
          <t>BORÅS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18533-2025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45762</v>
      </c>
      <c r="E586" s="1" t="n">
        <v>46279</v>
      </c>
      <c r="F586" t="inlineStr">
        <is>
          <t>VÄSTRA GÖTALANDS LÄN</t>
        </is>
      </c>
      <c r="G586" t="inlineStr">
        <is>
          <t>BORÅS</t>
        </is>
      </c>
      <c r="H586" t="inlineStr">
        <is>
          <t>Kommuner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32158-2023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45119</v>
      </c>
      <c r="E587" s="1" t="n">
        <v>46279</v>
      </c>
      <c r="F587" t="inlineStr">
        <is>
          <t>VÄSTRA GÖTALANDS LÄN</t>
        </is>
      </c>
      <c r="G587" t="inlineStr">
        <is>
          <t>BORÅS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58483-2024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45632</v>
      </c>
      <c r="E588" s="1" t="n">
        <v>46279</v>
      </c>
      <c r="F588" t="inlineStr">
        <is>
          <t>VÄSTRA GÖTALANDS LÄN</t>
        </is>
      </c>
      <c r="G588" t="inlineStr">
        <is>
          <t>BORÅS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46279</v>
      </c>
      <c r="F589" t="inlineStr">
        <is>
          <t>VÄSTRA GÖTALANDS LÄN</t>
        </is>
      </c>
      <c r="G589" t="inlineStr">
        <is>
          <t>BORÅS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21388-2025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45782</v>
      </c>
      <c r="E590" s="1" t="n">
        <v>46279</v>
      </c>
      <c r="F590" t="inlineStr">
        <is>
          <t>VÄSTRA GÖTALANDS LÄN</t>
        </is>
      </c>
      <c r="G590" t="inlineStr">
        <is>
          <t>BORÅS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27752-2024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45475</v>
      </c>
      <c r="E591" s="1" t="n">
        <v>46279</v>
      </c>
      <c r="F591" t="inlineStr">
        <is>
          <t>VÄSTRA GÖTALANDS LÄN</t>
        </is>
      </c>
      <c r="G591" t="inlineStr">
        <is>
          <t>BORÅS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47358-2024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45587</v>
      </c>
      <c r="E592" s="1" t="n">
        <v>46279</v>
      </c>
      <c r="F592" t="inlineStr">
        <is>
          <t>VÄSTRA GÖTALANDS LÄN</t>
        </is>
      </c>
      <c r="G592" t="inlineStr">
        <is>
          <t>BORÅS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21903-2025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45784</v>
      </c>
      <c r="E593" s="1" t="n">
        <v>46279</v>
      </c>
      <c r="F593" t="inlineStr">
        <is>
          <t>VÄSTRA GÖTALANDS LÄN</t>
        </is>
      </c>
      <c r="G593" t="inlineStr">
        <is>
          <t>BORÅS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21673-2025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45783</v>
      </c>
      <c r="E594" s="1" t="n">
        <v>46279</v>
      </c>
      <c r="F594" t="inlineStr">
        <is>
          <t>VÄSTRA GÖTALANDS LÄN</t>
        </is>
      </c>
      <c r="G594" t="inlineStr">
        <is>
          <t>BORÅS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46279</v>
      </c>
      <c r="F595" t="inlineStr">
        <is>
          <t>VÄSTRA GÖTALANDS LÄN</t>
        </is>
      </c>
      <c r="G595" t="inlineStr">
        <is>
          <t>BORÅS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49584-2024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45596</v>
      </c>
      <c r="E596" s="1" t="n">
        <v>46279</v>
      </c>
      <c r="F596" t="inlineStr">
        <is>
          <t>VÄSTRA GÖTALANDS LÄN</t>
        </is>
      </c>
      <c r="G596" t="inlineStr">
        <is>
          <t>BORÅS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45721</v>
      </c>
      <c r="E597" s="1" t="n">
        <v>46279</v>
      </c>
      <c r="F597" t="inlineStr">
        <is>
          <t>VÄSTRA GÖTALANDS LÄN</t>
        </is>
      </c>
      <c r="G597" t="inlineStr">
        <is>
          <t>BORÅS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49004-2023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45209</v>
      </c>
      <c r="E598" s="1" t="n">
        <v>46279</v>
      </c>
      <c r="F598" t="inlineStr">
        <is>
          <t>VÄSTRA GÖTALANDS LÄN</t>
        </is>
      </c>
      <c r="G598" t="inlineStr">
        <is>
          <t>BORÅS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22734-2025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45789</v>
      </c>
      <c r="E599" s="1" t="n">
        <v>46279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22736-2025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45789</v>
      </c>
      <c r="E600" s="1" t="n">
        <v>46279</v>
      </c>
      <c r="F600" t="inlineStr">
        <is>
          <t>VÄSTRA GÖTALANDS LÄN</t>
        </is>
      </c>
      <c r="G600" t="inlineStr">
        <is>
          <t>BORÅS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23504-2025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45792</v>
      </c>
      <c r="E601" s="1" t="n">
        <v>46279</v>
      </c>
      <c r="F601" t="inlineStr">
        <is>
          <t>VÄSTRA GÖTALANDS LÄN</t>
        </is>
      </c>
      <c r="G601" t="inlineStr">
        <is>
          <t>BORÅS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11445-2025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45726</v>
      </c>
      <c r="E602" s="1" t="n">
        <v>46279</v>
      </c>
      <c r="F602" t="inlineStr">
        <is>
          <t>VÄSTRA GÖTALANDS LÄN</t>
        </is>
      </c>
      <c r="G602" t="inlineStr">
        <is>
          <t>BORÅS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34984-2023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45142</v>
      </c>
      <c r="E603" s="1" t="n">
        <v>46279</v>
      </c>
      <c r="F603" t="inlineStr">
        <is>
          <t>VÄSTRA GÖTALANDS LÄN</t>
        </is>
      </c>
      <c r="G603" t="inlineStr">
        <is>
          <t>BORÅS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25103-2025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45798</v>
      </c>
      <c r="E604" s="1" t="n">
        <v>46279</v>
      </c>
      <c r="F604" t="inlineStr">
        <is>
          <t>VÄSTRA GÖTALANDS LÄN</t>
        </is>
      </c>
      <c r="G604" t="inlineStr">
        <is>
          <t>BORÅS</t>
        </is>
      </c>
      <c r="H604" t="inlineStr">
        <is>
          <t>Kommuner</t>
        </is>
      </c>
      <c r="I604" t="n">
        <v>5.9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25338-2025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45800</v>
      </c>
      <c r="E605" s="1" t="n">
        <v>46279</v>
      </c>
      <c r="F605" t="inlineStr">
        <is>
          <t>VÄSTRA GÖTALANDS LÄN</t>
        </is>
      </c>
      <c r="G605" t="inlineStr">
        <is>
          <t>BORÅS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25667-2025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45803</v>
      </c>
      <c r="E606" s="1" t="n">
        <v>46279</v>
      </c>
      <c r="F606" t="inlineStr">
        <is>
          <t>VÄSTRA GÖTALANDS LÄN</t>
        </is>
      </c>
      <c r="G606" t="inlineStr">
        <is>
          <t>BORÅS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45803</v>
      </c>
      <c r="E607" s="1" t="n">
        <v>46279</v>
      </c>
      <c r="F607" t="inlineStr">
        <is>
          <t>VÄSTRA GÖTALANDS LÄN</t>
        </is>
      </c>
      <c r="G607" t="inlineStr">
        <is>
          <t>BORÅS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25666-2025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45803</v>
      </c>
      <c r="E608" s="1" t="n">
        <v>46279</v>
      </c>
      <c r="F608" t="inlineStr">
        <is>
          <t>VÄSTRA GÖTALANDS LÄN</t>
        </is>
      </c>
      <c r="G608" t="inlineStr">
        <is>
          <t>BORÅS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63437-2023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45274</v>
      </c>
      <c r="E609" s="1" t="n">
        <v>46279</v>
      </c>
      <c r="F609" t="inlineStr">
        <is>
          <t>VÄSTRA GÖTALANDS LÄN</t>
        </is>
      </c>
      <c r="G609" t="inlineStr">
        <is>
          <t>BORÅS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27275-2025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45812</v>
      </c>
      <c r="E610" s="1" t="n">
        <v>46279</v>
      </c>
      <c r="F610" t="inlineStr">
        <is>
          <t>VÄSTRA GÖTALANDS LÄN</t>
        </is>
      </c>
      <c r="G610" t="inlineStr">
        <is>
          <t>BORÅS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27274-2025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46279</v>
      </c>
      <c r="F611" t="inlineStr">
        <is>
          <t>VÄSTRA GÖTALANDS LÄN</t>
        </is>
      </c>
      <c r="G611" t="inlineStr">
        <is>
          <t>BORÅS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14777-2022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44656</v>
      </c>
      <c r="E612" s="1" t="n">
        <v>46279</v>
      </c>
      <c r="F612" t="inlineStr">
        <is>
          <t>VÄSTRA GÖTALANDS LÄN</t>
        </is>
      </c>
      <c r="G612" t="inlineStr">
        <is>
          <t>BORÅS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27370-2025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45812</v>
      </c>
      <c r="E613" s="1" t="n">
        <v>46279</v>
      </c>
      <c r="F613" t="inlineStr">
        <is>
          <t>VÄSTRA GÖTALANDS LÄN</t>
        </is>
      </c>
      <c r="G613" t="inlineStr">
        <is>
          <t>BORÅS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27356-2025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46279</v>
      </c>
      <c r="F614" t="inlineStr">
        <is>
          <t>VÄSTRA GÖTALANDS LÄN</t>
        </is>
      </c>
      <c r="G614" t="inlineStr">
        <is>
          <t>BORÅS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46279</v>
      </c>
      <c r="F615" t="inlineStr">
        <is>
          <t>VÄSTRA GÖTALANDS LÄN</t>
        </is>
      </c>
      <c r="G615" t="inlineStr">
        <is>
          <t>BORÅS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28037-2025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45817</v>
      </c>
      <c r="E616" s="1" t="n">
        <v>46279</v>
      </c>
      <c r="F616" t="inlineStr">
        <is>
          <t>VÄSTRA GÖTALANDS LÄN</t>
        </is>
      </c>
      <c r="G616" t="inlineStr">
        <is>
          <t>BORÅS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46420-2024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45582</v>
      </c>
      <c r="E617" s="1" t="n">
        <v>46279</v>
      </c>
      <c r="F617" t="inlineStr">
        <is>
          <t>VÄSTRA GÖTALANDS LÄN</t>
        </is>
      </c>
      <c r="G617" t="inlineStr">
        <is>
          <t>BORÅS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13436-2025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45735</v>
      </c>
      <c r="E618" s="1" t="n">
        <v>46279</v>
      </c>
      <c r="F618" t="inlineStr">
        <is>
          <t>VÄSTRA GÖTALANDS LÄN</t>
        </is>
      </c>
      <c r="G618" t="inlineStr">
        <is>
          <t>BORÅS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1252-2022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44624</v>
      </c>
      <c r="E619" s="1" t="n">
        <v>46279</v>
      </c>
      <c r="F619" t="inlineStr">
        <is>
          <t>VÄSTRA GÖTALANDS LÄN</t>
        </is>
      </c>
      <c r="G619" t="inlineStr">
        <is>
          <t>BORÅS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1559-2022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44642</v>
      </c>
      <c r="E620" s="1" t="n">
        <v>46279</v>
      </c>
      <c r="F620" t="inlineStr">
        <is>
          <t>VÄSTRA GÖTALANDS LÄN</t>
        </is>
      </c>
      <c r="G620" t="inlineStr">
        <is>
          <t>BORÅS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3027-2024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45513</v>
      </c>
      <c r="E621" s="1" t="n">
        <v>46279</v>
      </c>
      <c r="F621" t="inlineStr">
        <is>
          <t>VÄSTRA GÖTALANDS LÄN</t>
        </is>
      </c>
      <c r="G621" t="inlineStr">
        <is>
          <t>BORÅS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2814-2022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44706</v>
      </c>
      <c r="E622" s="1" t="n">
        <v>46279</v>
      </c>
      <c r="F622" t="inlineStr">
        <is>
          <t>VÄSTRA GÖTALANDS LÄN</t>
        </is>
      </c>
      <c r="G622" t="inlineStr">
        <is>
          <t>BORÅS</t>
        </is>
      </c>
      <c r="H622" t="inlineStr">
        <is>
          <t>Kyrkan</t>
        </is>
      </c>
      <c r="I622" t="n">
        <v>39.7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7249-2021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44467</v>
      </c>
      <c r="E623" s="1" t="n">
        <v>46279</v>
      </c>
      <c r="F623" t="inlineStr">
        <is>
          <t>VÄSTRA GÖTALANDS LÄN</t>
        </is>
      </c>
      <c r="G623" t="inlineStr">
        <is>
          <t>BORÅS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2978-2023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45174</v>
      </c>
      <c r="E624" s="1" t="n">
        <v>46279</v>
      </c>
      <c r="F624" t="inlineStr">
        <is>
          <t>VÄSTRA GÖTALANDS LÄN</t>
        </is>
      </c>
      <c r="G624" t="inlineStr">
        <is>
          <t>BORÅS</t>
        </is>
      </c>
      <c r="I624" t="n">
        <v>65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4414-2022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44785</v>
      </c>
      <c r="E625" s="1" t="n">
        <v>46279</v>
      </c>
      <c r="F625" t="inlineStr">
        <is>
          <t>VÄSTRA GÖTALANDS LÄN</t>
        </is>
      </c>
      <c r="G625" t="inlineStr">
        <is>
          <t>BORÅS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1019-2023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45008</v>
      </c>
      <c r="E626" s="1" t="n">
        <v>46279</v>
      </c>
      <c r="F626" t="inlineStr">
        <is>
          <t>VÄSTRA GÖTALANDS LÄN</t>
        </is>
      </c>
      <c r="G626" t="inlineStr">
        <is>
          <t>BORÅS</t>
        </is>
      </c>
      <c r="I626" t="n">
        <v>18.4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7239-2021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44466</v>
      </c>
      <c r="E627" s="1" t="n">
        <v>46279</v>
      </c>
      <c r="F627" t="inlineStr">
        <is>
          <t>VÄSTRA GÖTALANDS LÄN</t>
        </is>
      </c>
      <c r="G627" t="inlineStr">
        <is>
          <t>BORÅS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6936-2022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46279</v>
      </c>
      <c r="F628" t="inlineStr">
        <is>
          <t>VÄSTRA GÖTALANDS LÄN</t>
        </is>
      </c>
      <c r="G628" t="inlineStr">
        <is>
          <t>BORÅS</t>
        </is>
      </c>
      <c r="I628" t="n">
        <v>11.8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6156-2022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44865</v>
      </c>
      <c r="E629" s="1" t="n">
        <v>46279</v>
      </c>
      <c r="F629" t="inlineStr">
        <is>
          <t>VÄSTRA GÖTALANDS LÄN</t>
        </is>
      </c>
      <c r="G629" t="inlineStr">
        <is>
          <t>BORÅS</t>
        </is>
      </c>
      <c r="I629" t="n">
        <v>15.6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4259-2023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45257</v>
      </c>
      <c r="E630" s="1" t="n">
        <v>46279</v>
      </c>
      <c r="F630" t="inlineStr">
        <is>
          <t>VÄSTRA GÖTALANDS LÄN</t>
        </is>
      </c>
      <c r="G630" t="inlineStr">
        <is>
          <t>BORÅS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46279</v>
      </c>
      <c r="F631" t="inlineStr">
        <is>
          <t>VÄSTRA GÖTALANDS LÄN</t>
        </is>
      </c>
      <c r="G631" t="inlineStr">
        <is>
          <t>BORÅS</t>
        </is>
      </c>
      <c r="I631" t="n">
        <v>12.7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6934-2022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44900</v>
      </c>
      <c r="E632" s="1" t="n">
        <v>46279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2972-2023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46279</v>
      </c>
      <c r="F633" t="inlineStr">
        <is>
          <t>VÄSTRA GÖTALANDS LÄN</t>
        </is>
      </c>
      <c r="G633" t="inlineStr">
        <is>
          <t>BORÅS</t>
        </is>
      </c>
      <c r="I633" t="n">
        <v>30.4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6937-2022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44900</v>
      </c>
      <c r="E634" s="1" t="n">
        <v>46279</v>
      </c>
      <c r="F634" t="inlineStr">
        <is>
          <t>VÄSTRA GÖTALANDS LÄN</t>
        </is>
      </c>
      <c r="G634" t="inlineStr">
        <is>
          <t>BORÅS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3398-2024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45534</v>
      </c>
      <c r="E635" s="1" t="n">
        <v>46279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7266-2021</t>
        </is>
      </c>
      <c r="B636" t="inlineStr">
        <is>
          <t>samrådsanmälan</t>
        </is>
      </c>
      <c r="C636" t="inlineStr">
        <is>
          <t>Skogsbilväg</t>
        </is>
      </c>
      <c r="D636" s="1" t="n">
        <v>44468</v>
      </c>
      <c r="E636" s="1" t="n">
        <v>46279</v>
      </c>
      <c r="F636" t="inlineStr">
        <is>
          <t>VÄSTRA GÖTALANDS LÄN</t>
        </is>
      </c>
      <c r="G636" t="inlineStr">
        <is>
          <t>BORÅS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1800-2025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45814</v>
      </c>
      <c r="E637" s="1" t="n">
        <v>46279</v>
      </c>
      <c r="F637" t="inlineStr">
        <is>
          <t>VÄSTRA GÖTALANDS LÄN</t>
        </is>
      </c>
      <c r="G637" t="inlineStr">
        <is>
          <t>BORÅS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1640-2024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45429</v>
      </c>
      <c r="E638" s="1" t="n">
        <v>46279</v>
      </c>
      <c r="F638" t="inlineStr">
        <is>
          <t>VÄSTRA GÖTALANDS LÄN</t>
        </is>
      </c>
      <c r="G638" t="inlineStr">
        <is>
          <t>BORÅS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1979-2025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45831</v>
      </c>
      <c r="E639" s="1" t="n">
        <v>46279</v>
      </c>
      <c r="F639" t="inlineStr">
        <is>
          <t>VÄSTRA GÖTALANDS LÄN</t>
        </is>
      </c>
      <c r="G639" t="inlineStr">
        <is>
          <t>BORÅS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2374-2025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45890</v>
      </c>
      <c r="E640" s="1" t="n">
        <v>46279</v>
      </c>
      <c r="F640" t="inlineStr">
        <is>
          <t>VÄSTRA GÖTALANDS LÄN</t>
        </is>
      </c>
      <c r="G640" t="inlineStr">
        <is>
          <t>BORÅS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3201-2025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45979</v>
      </c>
      <c r="E641" s="1" t="n">
        <v>46279</v>
      </c>
      <c r="F641" t="inlineStr">
        <is>
          <t>VÄSTRA GÖTALANDS LÄN</t>
        </is>
      </c>
      <c r="G641" t="inlineStr">
        <is>
          <t>BORÅS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944-2025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45740</v>
      </c>
      <c r="E642" s="1" t="n">
        <v>46279</v>
      </c>
      <c r="F642" t="inlineStr">
        <is>
          <t>VÄSTRA GÖTALANDS LÄN</t>
        </is>
      </c>
      <c r="G642" t="inlineStr">
        <is>
          <t>BORÅS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943-2025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45740</v>
      </c>
      <c r="E643" s="1" t="n">
        <v>46279</v>
      </c>
      <c r="F643" t="inlineStr">
        <is>
          <t>VÄSTRA GÖTALANDS LÄN</t>
        </is>
      </c>
      <c r="G643" t="inlineStr">
        <is>
          <t>BORÅS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2453-2023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45127</v>
      </c>
      <c r="E644" s="1" t="n">
        <v>46279</v>
      </c>
      <c r="F644" t="inlineStr">
        <is>
          <t>VÄSTRA GÖTALANDS LÄN</t>
        </is>
      </c>
      <c r="G644" t="inlineStr">
        <is>
          <t>BORÅS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471-2026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46073</v>
      </c>
      <c r="E645" s="1" t="n">
        <v>46279</v>
      </c>
      <c r="F645" t="inlineStr">
        <is>
          <t>VÄSTRA GÖTALANDS LÄN</t>
        </is>
      </c>
      <c r="G645" t="inlineStr">
        <is>
          <t>BORÅS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560-2026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46083</v>
      </c>
      <c r="E646" s="1" t="n">
        <v>46279</v>
      </c>
      <c r="F646" t="inlineStr">
        <is>
          <t>VÄSTRA GÖTALANDS LÄN</t>
        </is>
      </c>
      <c r="G646" t="inlineStr">
        <is>
          <t>BORÅS</t>
        </is>
      </c>
      <c r="I646" t="n">
        <v>17.6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2026-09-14T02:14:06Z</dcterms:created>
  <dcterms:modified xmlns:dcterms="http://purl.org/dc/terms/" xmlns:xsi="http://www.w3.org/2001/XMLSchema-instance" xsi:type="dcterms:W3CDTF">2026-09-14T02:14:07Z</dcterms:modified>
</cp:coreProperties>
</file>