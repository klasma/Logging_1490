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46286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46286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46286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46286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46286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46286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46286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46286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46286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46286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46286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46286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46286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46286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46286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46286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46286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46286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46286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46286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46286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46286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46286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46286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46286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6659-2025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45700</v>
      </c>
      <c r="E37" s="1" t="n">
        <v>46286</v>
      </c>
      <c r="F37" t="inlineStr">
        <is>
          <t>VÄSTRA GÖTALANDS LÄN</t>
        </is>
      </c>
      <c r="G37" t="inlineStr">
        <is>
          <t>BORÅS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Spillkråka</t>
        </is>
      </c>
      <c r="W37">
        <f>HYPERLINK("https://klasma.github.io/Logging_1490/artfynd/A 6659-2025 artfynd.xlsx", "A 6659-2025")</f>
        <v/>
      </c>
      <c r="X37">
        <f>HYPERLINK("https://klasma.github.io/Logging_1490/kartor/A 6659-2025 karta.png", "A 6659-2025")</f>
        <v/>
      </c>
      <c r="Y37">
        <f>HYPERLINK("https://klasma.github.io/Logging_1490/kartor_geotiff/A 6659-2025 georefererad karta.tif", "A 6659-2025")</f>
        <v/>
      </c>
      <c r="AA37">
        <f>HYPERLINK("https://klasma.github.io/Logging_1490/klagomål/A 6659-2025 FSC-klagomål.docx", "A 6659-2025")</f>
        <v/>
      </c>
      <c r="AB37">
        <f>HYPERLINK("https://klasma.github.io/Logging_1490/klagomålsmail/A 6659-2025 FSC-klagomål mail.docx", "A 6659-2025")</f>
        <v/>
      </c>
      <c r="AC37">
        <f>HYPERLINK("https://klasma.github.io/Logging_1490/tillsyn/A 6659-2025 tillsynsbegäran.docx", "A 6659-2025")</f>
        <v/>
      </c>
      <c r="AD37">
        <f>HYPERLINK("https://klasma.github.io/Logging_1490/tillsynsmail/A 6659-2025 tillsynsbegäran mail.docx", "A 6659-2025")</f>
        <v/>
      </c>
      <c r="AE37">
        <f>HYPERLINK("https://klasma.github.io/Logging_1490/fåglar/A 6659-2025 prioriterade fågelarter.docx", "A 6659-2025")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46286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55712-2021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46286</v>
      </c>
      <c r="F39" t="inlineStr">
        <is>
          <t>VÄSTRA GÖTALANDS LÄN</t>
        </is>
      </c>
      <c r="G39" t="inlineStr">
        <is>
          <t>BORÅS</t>
        </is>
      </c>
      <c r="H39" t="inlineStr">
        <is>
          <t>Kommuner</t>
        </is>
      </c>
      <c r="I39" t="n">
        <v>3.6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1</v>
      </c>
      <c r="V39" s="2" t="inlineStr">
        <is>
          <t>Skogsalm
Knärot</t>
        </is>
      </c>
      <c r="W39">
        <f>HYPERLINK("https://klasma.github.io/Logging_1490/artfynd/A 55712-2021 artfynd.xlsx", "A 55712-2021")</f>
        <v/>
      </c>
      <c r="X39">
        <f>HYPERLINK("https://klasma.github.io/Logging_1490/kartor/A 55712-2021 karta.png", "A 55712-2021")</f>
        <v/>
      </c>
      <c r="Y39">
        <f>HYPERLINK("https://klasma.github.io/Logging_1490/kartor_geotiff/A 55712-2021 georefererad karta.tif", "A 55712-2021")</f>
        <v/>
      </c>
      <c r="Z39">
        <f>HYPERLINK("https://klasma.github.io/Logging_1490/knärot/A 55712-2021 karta knärot.png", "A 55712-2021")</f>
        <v/>
      </c>
      <c r="AA39">
        <f>HYPERLINK("https://klasma.github.io/Logging_1490/klagomål/A 55712-2021 FSC-klagomål.docx", "A 55712-2021")</f>
        <v/>
      </c>
      <c r="AB39">
        <f>HYPERLINK("https://klasma.github.io/Logging_1490/klagomålsmail/A 55712-2021 FSC-klagomål mail.docx", "A 55712-2021")</f>
        <v/>
      </c>
      <c r="AC39">
        <f>HYPERLINK("https://klasma.github.io/Logging_1490/tillsyn/A 55712-2021 tillsynsbegäran.docx", "A 55712-2021")</f>
        <v/>
      </c>
      <c r="AD39">
        <f>HYPERLINK("https://klasma.github.io/Logging_1490/tillsynsmail/A 55712-2021 tillsynsbegäran mail.docx", "A 55712-2021")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46286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46286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46286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46286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4362-2022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44589</v>
      </c>
      <c r="E44" s="1" t="n">
        <v>46286</v>
      </c>
      <c r="F44" t="inlineStr">
        <is>
          <t>VÄSTRA GÖTALANDS LÄN</t>
        </is>
      </c>
      <c r="G44" t="inlineStr">
        <is>
          <t>BORÅS</t>
        </is>
      </c>
      <c r="I44" t="n">
        <v>3.7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Gröngöling
Svartvit flugsnappare</t>
        </is>
      </c>
      <c r="W44">
        <f>HYPERLINK("https://klasma.github.io/Logging_1490/artfynd/A 4362-2022 artfynd.xlsx", "A 4362-2022")</f>
        <v/>
      </c>
      <c r="X44">
        <f>HYPERLINK("https://klasma.github.io/Logging_1490/kartor/A 4362-2022 karta.png", "A 4362-2022")</f>
        <v/>
      </c>
      <c r="Y44">
        <f>HYPERLINK("https://klasma.github.io/Logging_1490/kartor_geotiff/A 4362-2022 georefererad karta.tif", "A 4362-2022")</f>
        <v/>
      </c>
      <c r="AA44">
        <f>HYPERLINK("https://klasma.github.io/Logging_1490/klagomål/A 4362-2022 FSC-klagomål.docx", "A 4362-2022")</f>
        <v/>
      </c>
      <c r="AB44">
        <f>HYPERLINK("https://klasma.github.io/Logging_1490/klagomålsmail/A 4362-2022 FSC-klagomål mail.docx", "A 4362-2022")</f>
        <v/>
      </c>
      <c r="AC44">
        <f>HYPERLINK("https://klasma.github.io/Logging_1490/tillsyn/A 4362-2022 tillsynsbegäran.docx", "A 4362-2022")</f>
        <v/>
      </c>
      <c r="AD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46286</v>
      </c>
      <c r="F45" t="inlineStr">
        <is>
          <t>VÄSTRA GÖTALANDS LÄN</t>
        </is>
      </c>
      <c r="G45" t="inlineStr">
        <is>
          <t>BORÅS</t>
        </is>
      </c>
      <c r="I45" t="n">
        <v>1.5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Grönvit nattviol
Nattviol</t>
        </is>
      </c>
      <c r="W45">
        <f>HYPERLINK("https://klasma.github.io/Logging_1490/artfynd/A 36596-2023 artfynd.xlsx", "A 36596-2023")</f>
        <v/>
      </c>
      <c r="X45">
        <f>HYPERLINK("https://klasma.github.io/Logging_1490/kartor/A 36596-2023 karta.png", "A 36596-2023")</f>
        <v/>
      </c>
      <c r="Y45">
        <f>HYPERLINK("https://klasma.github.io/Logging_1490/kartor_geotiff/A 36596-2023 georefererad karta.tif", "A 36596-2023")</f>
        <v/>
      </c>
      <c r="AA45">
        <f>HYPERLINK("https://klasma.github.io/Logging_1490/klagomål/A 36596-2023 FSC-klagomål.docx", "A 36596-2023")</f>
        <v/>
      </c>
      <c r="AB45">
        <f>HYPERLINK("https://klasma.github.io/Logging_1490/klagomålsmail/A 36596-2023 FSC-klagomål mail.docx", "A 36596-2023")</f>
        <v/>
      </c>
      <c r="AC45">
        <f>HYPERLINK("https://klasma.github.io/Logging_1490/tillsyn/A 36596-2023 tillsynsbegäran.docx", "A 36596-2023")</f>
        <v/>
      </c>
      <c r="AD45">
        <f>HYPERLINK("https://klasma.github.io/Logging_1490/tillsynsmail/A 36596-2023 tillsynsbegäran mail.docx", "A 36596-2023")</f>
        <v/>
      </c>
    </row>
    <row r="46" ht="15" customHeight="1">
      <c r="A46" t="inlineStr">
        <is>
          <t>A 34341-2025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46286</v>
      </c>
      <c r="F46" t="inlineStr">
        <is>
          <t>VÄSTRA GÖTALANDS LÄN</t>
        </is>
      </c>
      <c r="G46" t="inlineStr">
        <is>
          <t>BORÅS</t>
        </is>
      </c>
      <c r="I46" t="n">
        <v>2.7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Svavelriska
Nattskärra</t>
        </is>
      </c>
      <c r="W46">
        <f>HYPERLINK("https://klasma.github.io/Logging_1490/artfynd/A 34341-2025 artfynd.xlsx", "A 34341-2025")</f>
        <v/>
      </c>
      <c r="X46">
        <f>HYPERLINK("https://klasma.github.io/Logging_1490/kartor/A 34341-2025 karta.png", "A 34341-2025")</f>
        <v/>
      </c>
      <c r="Y46">
        <f>HYPERLINK("https://klasma.github.io/Logging_1490/kartor_geotiff/A 34341-2025 georefererad karta.tif", "A 34341-2025")</f>
        <v/>
      </c>
      <c r="AA46">
        <f>HYPERLINK("https://klasma.github.io/Logging_1490/klagomål/A 34341-2025 FSC-klagomål.docx", "A 34341-2025")</f>
        <v/>
      </c>
      <c r="AB46">
        <f>HYPERLINK("https://klasma.github.io/Logging_1490/klagomålsmail/A 34341-2025 FSC-klagomål mail.docx", "A 34341-2025")</f>
        <v/>
      </c>
      <c r="AC46">
        <f>HYPERLINK("https://klasma.github.io/Logging_1490/tillsyn/A 34341-2025 tillsynsbegäran.docx", "A 34341-2025")</f>
        <v/>
      </c>
      <c r="AD46">
        <f>HYPERLINK("https://klasma.github.io/Logging_1490/tillsynsmail/A 34341-2025 tillsynsbegäran mail.docx", "A 34341-2025")</f>
        <v/>
      </c>
      <c r="AE46">
        <f>HYPERLINK("https://klasma.github.io/Logging_1490/fåglar/A 34341-2025 prioriterade fågelarter.docx", "A 34341-2025")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46286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46286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46286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46286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46286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46286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46286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31980-2024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46286</v>
      </c>
      <c r="F54" t="inlineStr">
        <is>
          <t>VÄSTRA GÖTALANDS LÄN</t>
        </is>
      </c>
      <c r="G54" t="inlineStr">
        <is>
          <t>BORÅS</t>
        </is>
      </c>
      <c r="I54" t="n">
        <v>2.8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HYPERLINK("https://klasma.github.io/Logging_1490/artfynd/A 31980-2024 artfynd.xlsx", "A 31980-2024")</f>
        <v/>
      </c>
      <c r="X54">
        <f>HYPERLINK("https://klasma.github.io/Logging_1490/kartor/A 31980-2024 karta.png", "A 31980-2024")</f>
        <v/>
      </c>
      <c r="Y54">
        <f>HYPERLINK("https://klasma.github.io/Logging_1490/kartor_geotiff/A 31980-2024 georefererad karta.tif", "A 31980-2024")</f>
        <v/>
      </c>
      <c r="AA54">
        <f>HYPERLINK("https://klasma.github.io/Logging_1490/klagomål/A 31980-2024 FSC-klagomål.docx", "A 31980-2024")</f>
        <v/>
      </c>
      <c r="AB54">
        <f>HYPERLINK("https://klasma.github.io/Logging_1490/klagomålsmail/A 31980-2024 FSC-klagomål mail.docx", "A 31980-2024")</f>
        <v/>
      </c>
      <c r="AC54">
        <f>HYPERLINK("https://klasma.github.io/Logging_1490/tillsyn/A 31980-2024 tillsynsbegäran.docx", "A 31980-2024")</f>
        <v/>
      </c>
      <c r="AD54">
        <f>HYPERLINK("https://klasma.github.io/Logging_1490/tillsynsmail/A 31980-2024 tillsynsbegäran mail.docx", "A 31980-2024")</f>
        <v/>
      </c>
    </row>
    <row r="55" ht="15" customHeight="1">
      <c r="A55" t="inlineStr">
        <is>
          <t>A 1922-2025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46286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Kyrkan</t>
        </is>
      </c>
      <c r="I55" t="n">
        <v>5.9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Kungsfågel</t>
        </is>
      </c>
      <c r="W55">
        <f>HYPERLINK("https://klasma.github.io/Logging_1490/artfynd/A 1922-2025 artfynd.xlsx", "A 1922-2025")</f>
        <v/>
      </c>
      <c r="X55">
        <f>HYPERLINK("https://klasma.github.io/Logging_1490/kartor/A 1922-2025 karta.png", "A 1922-2025")</f>
        <v/>
      </c>
      <c r="Y55">
        <f>HYPERLINK("https://klasma.github.io/Logging_1490/kartor_geotiff/A 1922-2025 georefererad karta.tif", "A 1922-2025")</f>
        <v/>
      </c>
      <c r="AA55">
        <f>HYPERLINK("https://klasma.github.io/Logging_1490/klagomål/A 1922-2025 FSC-klagomål.docx", "A 1922-2025")</f>
        <v/>
      </c>
      <c r="AB55">
        <f>HYPERLINK("https://klasma.github.io/Logging_1490/klagomålsmail/A 1922-2025 FSC-klagomål mail.docx", "A 1922-2025")</f>
        <v/>
      </c>
      <c r="AC55">
        <f>HYPERLINK("https://klasma.github.io/Logging_1490/tillsyn/A 1922-2025 tillsynsbegäran.docx", "A 1922-2025")</f>
        <v/>
      </c>
      <c r="AD55">
        <f>HYPERLINK("https://klasma.github.io/Logging_1490/tillsynsmail/A 1922-2025 tillsynsbegäran mail.docx", "A 1922-2025")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46286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3760-2024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46286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6.8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Kråka</t>
        </is>
      </c>
      <c r="W57">
        <f>HYPERLINK("https://klasma.github.io/Logging_1490/artfynd/A 3760-2024 artfynd.xlsx", "A 3760-2024")</f>
        <v/>
      </c>
      <c r="X57">
        <f>HYPERLINK("https://klasma.github.io/Logging_1490/kartor/A 3760-2024 karta.png", "A 3760-2024")</f>
        <v/>
      </c>
      <c r="Y57">
        <f>HYPERLINK("https://klasma.github.io/Logging_1490/kartor_geotiff/A 3760-2024 georefererad karta.tif", "A 3760-2024")</f>
        <v/>
      </c>
      <c r="AA57">
        <f>HYPERLINK("https://klasma.github.io/Logging_1490/klagomål/A 3760-2024 FSC-klagomål.docx", "A 3760-2024")</f>
        <v/>
      </c>
      <c r="AB57">
        <f>HYPERLINK("https://klasma.github.io/Logging_1490/klagomålsmail/A 3760-2024 FSC-klagomål mail.docx", "A 3760-2024")</f>
        <v/>
      </c>
      <c r="AC57">
        <f>HYPERLINK("https://klasma.github.io/Logging_1490/tillsyn/A 3760-2024 tillsynsbegäran.docx", "A 3760-2024")</f>
        <v/>
      </c>
      <c r="AD57">
        <f>HYPERLINK("https://klasma.github.io/Logging_1490/tillsynsmail/A 3760-2024 tillsynsbegäran mail.docx", "A 3760-2024")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46286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61684-2023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46286</v>
      </c>
      <c r="F59" t="inlineStr">
        <is>
          <t>VÄSTRA GÖTALANDS LÄN</t>
        </is>
      </c>
      <c r="G59" t="inlineStr">
        <is>
          <t>BORÅS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Fällmossa</t>
        </is>
      </c>
      <c r="W59">
        <f>HYPERLINK("https://klasma.github.io/Logging_1490/artfynd/A 61684-2023 artfynd.xlsx", "A 61684-2023")</f>
        <v/>
      </c>
      <c r="X59">
        <f>HYPERLINK("https://klasma.github.io/Logging_1490/kartor/A 61684-2023 karta.png", "A 61684-2023")</f>
        <v/>
      </c>
      <c r="Y59">
        <f>HYPERLINK("https://klasma.github.io/Logging_1490/kartor_geotiff/A 61684-2023 georefererad karta.tif", "A 61684-2023")</f>
        <v/>
      </c>
      <c r="AA59">
        <f>HYPERLINK("https://klasma.github.io/Logging_1490/klagomål/A 61684-2023 FSC-klagomål.docx", "A 61684-2023")</f>
        <v/>
      </c>
      <c r="AB59">
        <f>HYPERLINK("https://klasma.github.io/Logging_1490/klagomålsmail/A 61684-2023 FSC-klagomål mail.docx", "A 61684-2023")</f>
        <v/>
      </c>
      <c r="AC59">
        <f>HYPERLINK("https://klasma.github.io/Logging_1490/tillsyn/A 61684-2023 tillsynsbegäran.docx", "A 61684-2023")</f>
        <v/>
      </c>
      <c r="AD59">
        <f>HYPERLINK("https://klasma.github.io/Logging_1490/tillsynsmail/A 61684-2023 tillsynsbegäran mail.docx", "A 61684-2023")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46286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46286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46286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46286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19911-2023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46286</v>
      </c>
      <c r="F64" t="inlineStr">
        <is>
          <t>VÄSTRA GÖTALANDS LÄN</t>
        </is>
      </c>
      <c r="G64" t="inlineStr">
        <is>
          <t>BORÅS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Vanlig padda</t>
        </is>
      </c>
      <c r="W64">
        <f>HYPERLINK("https://klasma.github.io/Logging_1490/artfynd/A 19911-2023 artfynd.xlsx", "A 19911-2023")</f>
        <v/>
      </c>
      <c r="X64">
        <f>HYPERLINK("https://klasma.github.io/Logging_1490/kartor/A 19911-2023 karta.png", "A 19911-2023")</f>
        <v/>
      </c>
      <c r="Y64">
        <f>HYPERLINK("https://klasma.github.io/Logging_1490/kartor_geotiff/A 19911-2023 georefererad karta.tif", "A 19911-2023")</f>
        <v/>
      </c>
      <c r="AA64">
        <f>HYPERLINK("https://klasma.github.io/Logging_1490/klagomål/A 19911-2023 FSC-klagomål.docx", "A 19911-2023")</f>
        <v/>
      </c>
      <c r="AB64">
        <f>HYPERLINK("https://klasma.github.io/Logging_1490/klagomålsmail/A 19911-2023 FSC-klagomål mail.docx", "A 19911-2023")</f>
        <v/>
      </c>
      <c r="AC64">
        <f>HYPERLINK("https://klasma.github.io/Logging_1490/tillsyn/A 19911-2023 tillsynsbegäran.docx", "A 19911-2023")</f>
        <v/>
      </c>
      <c r="AD64">
        <f>HYPERLINK("https://klasma.github.io/Logging_1490/tillsynsmail/A 19911-2023 tillsynsbegäran mail.docx", "A 19911-2023")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46286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53533-2022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46286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Kungsfågel</t>
        </is>
      </c>
      <c r="W66">
        <f>HYPERLINK("https://klasma.github.io/Logging_1490/artfynd/A 53533-2022 artfynd.xlsx", "A 53533-2022")</f>
        <v/>
      </c>
      <c r="X66">
        <f>HYPERLINK("https://klasma.github.io/Logging_1490/kartor/A 53533-2022 karta.png", "A 53533-2022")</f>
        <v/>
      </c>
      <c r="Y66">
        <f>HYPERLINK("https://klasma.github.io/Logging_1490/kartor_geotiff/A 53533-2022 georefererad karta.tif", "A 53533-2022")</f>
        <v/>
      </c>
      <c r="AA66">
        <f>HYPERLINK("https://klasma.github.io/Logging_1490/klagomål/A 53533-2022 FSC-klagomål.docx", "A 53533-2022")</f>
        <v/>
      </c>
      <c r="AB66">
        <f>HYPERLINK("https://klasma.github.io/Logging_1490/klagomålsmail/A 53533-2022 FSC-klagomål mail.docx", "A 53533-2022")</f>
        <v/>
      </c>
      <c r="AC66">
        <f>HYPERLINK("https://klasma.github.io/Logging_1490/tillsyn/A 53533-2022 tillsynsbegäran.docx", "A 53533-2022")</f>
        <v/>
      </c>
      <c r="AD66">
        <f>HYPERLINK("https://klasma.github.io/Logging_1490/tillsynsmail/A 53533-2022 tillsynsbegäran mail.docx", "A 53533-2022")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46286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46286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46286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46286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46286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46286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46286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46286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46286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38108-2026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46286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HYPERLINK("https://klasma.github.io/Logging_1490/artfynd/A 38108-2026 artfynd.xlsx", "A 38108-2026")</f>
        <v/>
      </c>
      <c r="X76">
        <f>HYPERLINK("https://klasma.github.io/Logging_1490/kartor/A 38108-2026 karta.png", "A 38108-2026")</f>
        <v/>
      </c>
      <c r="Y76">
        <f>HYPERLINK("https://klasma.github.io/Logging_1490/kartor_geotiff/A 38108-2026 georefererad karta.tif", "A 38108-2026")</f>
        <v/>
      </c>
      <c r="AA76">
        <f>HYPERLINK("https://klasma.github.io/Logging_1490/klagomål/A 38108-2026 FSC-klagomål.docx", "A 38108-2026")</f>
        <v/>
      </c>
      <c r="AB76">
        <f>HYPERLINK("https://klasma.github.io/Logging_1490/klagomålsmail/A 38108-2026 FSC-klagomål mail.docx", "A 38108-2026")</f>
        <v/>
      </c>
      <c r="AC76">
        <f>HYPERLINK("https://klasma.github.io/Logging_1490/tillsyn/A 38108-2026 tillsynsbegäran.docx", "A 38108-2026")</f>
        <v/>
      </c>
      <c r="AD76">
        <f>HYPERLINK("https://klasma.github.io/Logging_1490/tillsynsmail/A 38108-2026 tillsynsbegäran mail.docx", "A 38108-2026")</f>
        <v/>
      </c>
    </row>
    <row r="77" ht="15" customHeight="1">
      <c r="A77" t="inlineStr">
        <is>
          <t>A 29911-2025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46286</v>
      </c>
      <c r="F77" t="inlineStr">
        <is>
          <t>VÄSTRA GÖTALANDS LÄN</t>
        </is>
      </c>
      <c r="G77" t="inlineStr">
        <is>
          <t>BORÅS</t>
        </is>
      </c>
      <c r="I77" t="n">
        <v>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Lönnlav</t>
        </is>
      </c>
      <c r="W77">
        <f>HYPERLINK("https://klasma.github.io/Logging_1490/artfynd/A 29911-2025 artfynd.xlsx", "A 29911-2025")</f>
        <v/>
      </c>
      <c r="X77">
        <f>HYPERLINK("https://klasma.github.io/Logging_1490/kartor/A 29911-2025 karta.png", "A 29911-2025")</f>
        <v/>
      </c>
      <c r="Y77">
        <f>HYPERLINK("https://klasma.github.io/Logging_1490/kartor_geotiff/A 29911-2025 georefererad karta.tif", "A 29911-2025")</f>
        <v/>
      </c>
      <c r="AA77">
        <f>HYPERLINK("https://klasma.github.io/Logging_1490/klagomål/A 29911-2025 FSC-klagomål.docx", "A 29911-2025")</f>
        <v/>
      </c>
      <c r="AB77">
        <f>HYPERLINK("https://klasma.github.io/Logging_1490/klagomålsmail/A 29911-2025 FSC-klagomål mail.docx", "A 29911-2025")</f>
        <v/>
      </c>
      <c r="AC77">
        <f>HYPERLINK("https://klasma.github.io/Logging_1490/tillsyn/A 29911-2025 tillsynsbegäran.docx", "A 29911-2025")</f>
        <v/>
      </c>
      <c r="AD77">
        <f>HYPERLINK("https://klasma.github.io/Logging_1490/tillsynsmail/A 29911-2025 tillsynsbegäran mail.docx", "A 29911-2025")</f>
        <v/>
      </c>
    </row>
    <row r="78" ht="15" customHeight="1">
      <c r="A78" t="inlineStr">
        <is>
          <t>A 33724-2025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46286</v>
      </c>
      <c r="F78" t="inlineStr">
        <is>
          <t>VÄSTRA GÖTALANDS LÄN</t>
        </is>
      </c>
      <c r="G78" t="inlineStr">
        <is>
          <t>BORÅS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HYPERLINK("https://klasma.github.io/Logging_1490/artfynd/A 33724-2025 artfynd.xlsx", "A 33724-2025")</f>
        <v/>
      </c>
      <c r="X78">
        <f>HYPERLINK("https://klasma.github.io/Logging_1490/kartor/A 33724-2025 karta.png", "A 33724-2025")</f>
        <v/>
      </c>
      <c r="Y78">
        <f>HYPERLINK("https://klasma.github.io/Logging_1490/kartor_geotiff/A 33724-2025 georefererad karta.tif", "A 33724-2025")</f>
        <v/>
      </c>
      <c r="AA78">
        <f>HYPERLINK("https://klasma.github.io/Logging_1490/klagomål/A 33724-2025 FSC-klagomål.docx", "A 33724-2025")</f>
        <v/>
      </c>
      <c r="AB78">
        <f>HYPERLINK("https://klasma.github.io/Logging_1490/klagomålsmail/A 33724-2025 FSC-klagomål mail.docx", "A 33724-2025")</f>
        <v/>
      </c>
      <c r="AC78">
        <f>HYPERLINK("https://klasma.github.io/Logging_1490/tillsyn/A 33724-2025 tillsynsbegäran.docx", "A 33724-2025")</f>
        <v/>
      </c>
      <c r="AD78">
        <f>HYPERLINK("https://klasma.github.io/Logging_1490/tillsynsmail/A 33724-2025 tillsynsbegäran mail.docx", "A 33724-2025")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46286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46286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46286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46286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46286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46286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46286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44631</v>
      </c>
      <c r="E86" s="1" t="n">
        <v>46286</v>
      </c>
      <c r="F86" t="inlineStr">
        <is>
          <t>VÄSTRA GÖTALANDS LÄN</t>
        </is>
      </c>
      <c r="G86" t="inlineStr">
        <is>
          <t>BORÅS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46286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46286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46286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46286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46286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46286</v>
      </c>
      <c r="F92" t="inlineStr">
        <is>
          <t>VÄSTRA GÖTALANDS LÄN</t>
        </is>
      </c>
      <c r="G92" t="inlineStr">
        <is>
          <t>BORÅS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46286</v>
      </c>
      <c r="F93" t="inlineStr">
        <is>
          <t>VÄSTRA GÖTALANDS LÄN</t>
        </is>
      </c>
      <c r="G93" t="inlineStr">
        <is>
          <t>BORÅS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71031-2021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46286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46286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46286</v>
      </c>
      <c r="F96" t="inlineStr">
        <is>
          <t>VÄSTRA GÖTALANDS LÄN</t>
        </is>
      </c>
      <c r="G96" t="inlineStr">
        <is>
          <t>BORÅS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46286</v>
      </c>
      <c r="F97" t="inlineStr">
        <is>
          <t>VÄSTRA GÖTALANDS LÄN</t>
        </is>
      </c>
      <c r="G97" t="inlineStr">
        <is>
          <t>BORÅS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46286</v>
      </c>
      <c r="F98" t="inlineStr">
        <is>
          <t>VÄSTRA GÖTALANDS LÄN</t>
        </is>
      </c>
      <c r="G98" t="inlineStr">
        <is>
          <t>BORÅS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44873</v>
      </c>
      <c r="E99" s="1" t="n">
        <v>46286</v>
      </c>
      <c r="F99" t="inlineStr">
        <is>
          <t>VÄSTRA GÖTALANDS LÄN</t>
        </is>
      </c>
      <c r="G99" t="inlineStr">
        <is>
          <t>BORÅS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46286</v>
      </c>
      <c r="F100" t="inlineStr">
        <is>
          <t>VÄSTRA GÖTALANDS LÄN</t>
        </is>
      </c>
      <c r="G100" t="inlineStr">
        <is>
          <t>BORÅS</t>
        </is>
      </c>
      <c r="H100" t="inlineStr">
        <is>
          <t>Kommuner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64223-2021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46286</v>
      </c>
      <c r="F101" t="inlineStr">
        <is>
          <t>VÄSTRA GÖTALANDS LÄN</t>
        </is>
      </c>
      <c r="G101" t="inlineStr">
        <is>
          <t>BORÅS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64466-2021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46286</v>
      </c>
      <c r="F102" t="inlineStr">
        <is>
          <t>VÄSTRA GÖTALANDS LÄN</t>
        </is>
      </c>
      <c r="G102" t="inlineStr">
        <is>
          <t>BORÅS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46286</v>
      </c>
      <c r="F103" t="inlineStr">
        <is>
          <t>VÄSTRA GÖTALANDS LÄN</t>
        </is>
      </c>
      <c r="G103" t="inlineStr">
        <is>
          <t>BORÅS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46286</v>
      </c>
      <c r="F104" t="inlineStr">
        <is>
          <t>VÄSTRA GÖTALANDS LÄN</t>
        </is>
      </c>
      <c r="G104" t="inlineStr">
        <is>
          <t>BORÅS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46286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44475</v>
      </c>
      <c r="E106" s="1" t="n">
        <v>46286</v>
      </c>
      <c r="F106" t="inlineStr">
        <is>
          <t>VÄSTRA GÖTALANDS LÄN</t>
        </is>
      </c>
      <c r="G106" t="inlineStr">
        <is>
          <t>BORÅS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46286</v>
      </c>
      <c r="F107" t="inlineStr">
        <is>
          <t>VÄSTRA GÖTALANDS LÄN</t>
        </is>
      </c>
      <c r="G107" t="inlineStr">
        <is>
          <t>BORÅS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51986-2021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44463</v>
      </c>
      <c r="E108" s="1" t="n">
        <v>46286</v>
      </c>
      <c r="F108" t="inlineStr">
        <is>
          <t>VÄSTRA GÖTALANDS LÄN</t>
        </is>
      </c>
      <c r="G108" t="inlineStr">
        <is>
          <t>BORÅS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46286</v>
      </c>
      <c r="F109" t="inlineStr">
        <is>
          <t>VÄSTRA GÖTALANDS LÄN</t>
        </is>
      </c>
      <c r="G109" t="inlineStr">
        <is>
          <t>BORÅS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46286</v>
      </c>
      <c r="F110" t="inlineStr">
        <is>
          <t>VÄSTRA GÖTALANDS LÄN</t>
        </is>
      </c>
      <c r="G110" t="inlineStr">
        <is>
          <t>BORÅS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46286</v>
      </c>
      <c r="F111" t="inlineStr">
        <is>
          <t>VÄSTRA GÖTALANDS LÄN</t>
        </is>
      </c>
      <c r="G111" t="inlineStr">
        <is>
          <t>BORÅS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44605</v>
      </c>
      <c r="E112" s="1" t="n">
        <v>46286</v>
      </c>
      <c r="F112" t="inlineStr">
        <is>
          <t>VÄSTRA GÖTALANDS LÄN</t>
        </is>
      </c>
      <c r="G112" t="inlineStr">
        <is>
          <t>BORÅS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46286</v>
      </c>
      <c r="F113" t="inlineStr">
        <is>
          <t>VÄSTRA GÖTALANDS LÄN</t>
        </is>
      </c>
      <c r="G113" t="inlineStr">
        <is>
          <t>BORÅS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46286</v>
      </c>
      <c r="F114" t="inlineStr">
        <is>
          <t>VÄSTRA GÖTALANDS LÄN</t>
        </is>
      </c>
      <c r="G114" t="inlineStr">
        <is>
          <t>BORÅS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46286</v>
      </c>
      <c r="F115" t="inlineStr">
        <is>
          <t>VÄSTRA GÖTALANDS LÄN</t>
        </is>
      </c>
      <c r="G115" t="inlineStr">
        <is>
          <t>BORÅS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46286</v>
      </c>
      <c r="F116" t="inlineStr">
        <is>
          <t>VÄSTRA GÖTALANDS LÄN</t>
        </is>
      </c>
      <c r="G116" t="inlineStr">
        <is>
          <t>BORÅS</t>
        </is>
      </c>
      <c r="H116" t="inlineStr">
        <is>
          <t>Kyrkan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46286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51980-2021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44463</v>
      </c>
      <c r="E118" s="1" t="n">
        <v>46286</v>
      </c>
      <c r="F118" t="inlineStr">
        <is>
          <t>VÄSTRA GÖTALANDS LÄN</t>
        </is>
      </c>
      <c r="G118" t="inlineStr">
        <is>
          <t>BORÅS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46286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46286</v>
      </c>
      <c r="F120" t="inlineStr">
        <is>
          <t>VÄSTRA GÖTALANDS LÄN</t>
        </is>
      </c>
      <c r="G120" t="inlineStr">
        <is>
          <t>BORÅS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46286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44873</v>
      </c>
      <c r="E122" s="1" t="n">
        <v>46286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44565</v>
      </c>
      <c r="E123" s="1" t="n">
        <v>46286</v>
      </c>
      <c r="F123" t="inlineStr">
        <is>
          <t>VÄSTRA GÖTALANDS LÄN</t>
        </is>
      </c>
      <c r="G123" t="inlineStr">
        <is>
          <t>BORÅS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73268-2021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46286</v>
      </c>
      <c r="F124" t="inlineStr">
        <is>
          <t>VÄSTRA GÖTALANDS LÄN</t>
        </is>
      </c>
      <c r="G124" t="inlineStr">
        <is>
          <t>BORÅS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46286</v>
      </c>
      <c r="F125" t="inlineStr">
        <is>
          <t>VÄSTRA GÖTALANDS LÄN</t>
        </is>
      </c>
      <c r="G125" t="inlineStr">
        <is>
          <t>BORÅS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46286</v>
      </c>
      <c r="F126" t="inlineStr">
        <is>
          <t>VÄSTRA GÖTALANDS LÄN</t>
        </is>
      </c>
      <c r="G126" t="inlineStr">
        <is>
          <t>BORÅS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44642</v>
      </c>
      <c r="E127" s="1" t="n">
        <v>46286</v>
      </c>
      <c r="F127" t="inlineStr">
        <is>
          <t>VÄSTRA GÖTALANDS LÄN</t>
        </is>
      </c>
      <c r="G127" t="inlineStr">
        <is>
          <t>BORÅS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63038-2021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46286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44678</v>
      </c>
      <c r="E129" s="1" t="n">
        <v>46286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46286</v>
      </c>
      <c r="F130" t="inlineStr">
        <is>
          <t>VÄSTRA GÖTALANDS LÄN</t>
        </is>
      </c>
      <c r="G130" t="inlineStr">
        <is>
          <t>BORÅS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46286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44489</v>
      </c>
      <c r="E132" s="1" t="n">
        <v>46286</v>
      </c>
      <c r="F132" t="inlineStr">
        <is>
          <t>VÄSTRA GÖTALANDS LÄN</t>
        </is>
      </c>
      <c r="G132" t="inlineStr">
        <is>
          <t>BORÅS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44489</v>
      </c>
      <c r="E133" s="1" t="n">
        <v>46286</v>
      </c>
      <c r="F133" t="inlineStr">
        <is>
          <t>VÄSTRA GÖTALANDS LÄN</t>
        </is>
      </c>
      <c r="G133" t="inlineStr">
        <is>
          <t>BORÅS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46286</v>
      </c>
      <c r="F134" t="inlineStr">
        <is>
          <t>VÄSTRA GÖTALANDS LÄN</t>
        </is>
      </c>
      <c r="G134" t="inlineStr">
        <is>
          <t>BORÅS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44740</v>
      </c>
      <c r="E135" s="1" t="n">
        <v>46286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8240-2022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44609</v>
      </c>
      <c r="E136" s="1" t="n">
        <v>46286</v>
      </c>
      <c r="F136" t="inlineStr">
        <is>
          <t>VÄSTRA GÖTALANDS LÄN</t>
        </is>
      </c>
      <c r="G136" t="inlineStr">
        <is>
          <t>BORÅS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46286</v>
      </c>
      <c r="F137" t="inlineStr">
        <is>
          <t>VÄSTRA GÖTALANDS LÄN</t>
        </is>
      </c>
      <c r="G137" t="inlineStr">
        <is>
          <t>BORÅS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46286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46286</v>
      </c>
      <c r="F139" t="inlineStr">
        <is>
          <t>VÄSTRA GÖTALANDS LÄN</t>
        </is>
      </c>
      <c r="G139" t="inlineStr">
        <is>
          <t>BORÅS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46286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46286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46286</v>
      </c>
      <c r="F142" t="inlineStr">
        <is>
          <t>VÄSTRA GÖTALANDS LÄN</t>
        </is>
      </c>
      <c r="G142" t="inlineStr">
        <is>
          <t>BORÅS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45294</v>
      </c>
      <c r="E143" s="1" t="n">
        <v>46286</v>
      </c>
      <c r="F143" t="inlineStr">
        <is>
          <t>VÄSTRA GÖTALANDS LÄN</t>
        </is>
      </c>
      <c r="G143" t="inlineStr">
        <is>
          <t>BORÅS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46286</v>
      </c>
      <c r="F144" t="inlineStr">
        <is>
          <t>VÄSTRA GÖTALANDS LÄN</t>
        </is>
      </c>
      <c r="G144" t="inlineStr">
        <is>
          <t>BORÅS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45050</v>
      </c>
      <c r="E145" s="1" t="n">
        <v>46286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46286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46286</v>
      </c>
      <c r="F147" t="inlineStr">
        <is>
          <t>VÄSTRA GÖTALANDS LÄN</t>
        </is>
      </c>
      <c r="G147" t="inlineStr">
        <is>
          <t>BORÅS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46286</v>
      </c>
      <c r="F148" t="inlineStr">
        <is>
          <t>VÄSTRA GÖTALANDS LÄN</t>
        </is>
      </c>
      <c r="G148" t="inlineStr">
        <is>
          <t>BORÅS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46286</v>
      </c>
      <c r="F149" t="inlineStr">
        <is>
          <t>VÄSTRA GÖTALANDS LÄN</t>
        </is>
      </c>
      <c r="G149" t="inlineStr">
        <is>
          <t>BORÅS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46286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46286</v>
      </c>
      <c r="F151" t="inlineStr">
        <is>
          <t>VÄSTRA GÖTALANDS LÄN</t>
        </is>
      </c>
      <c r="G151" t="inlineStr">
        <is>
          <t>BORÅS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45510</v>
      </c>
      <c r="E152" s="1" t="n">
        <v>46286</v>
      </c>
      <c r="F152" t="inlineStr">
        <is>
          <t>VÄSTRA GÖTALANDS LÄN</t>
        </is>
      </c>
      <c r="G152" t="inlineStr">
        <is>
          <t>BORÅS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46286</v>
      </c>
      <c r="F153" t="inlineStr">
        <is>
          <t>VÄSTRA GÖTALANDS LÄN</t>
        </is>
      </c>
      <c r="G153" t="inlineStr">
        <is>
          <t>BORÅS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46286</v>
      </c>
      <c r="F154" t="inlineStr">
        <is>
          <t>VÄSTRA GÖTALANDS LÄN</t>
        </is>
      </c>
      <c r="G154" t="inlineStr">
        <is>
          <t>BORÅS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45000</v>
      </c>
      <c r="E155" s="1" t="n">
        <v>46286</v>
      </c>
      <c r="F155" t="inlineStr">
        <is>
          <t>VÄSTRA GÖTALANDS LÄN</t>
        </is>
      </c>
      <c r="G155" t="inlineStr">
        <is>
          <t>BORÅS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46286</v>
      </c>
      <c r="F156" t="inlineStr">
        <is>
          <t>VÄSTRA GÖTALANDS LÄN</t>
        </is>
      </c>
      <c r="G156" t="inlineStr">
        <is>
          <t>BORÅS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46286</v>
      </c>
      <c r="F157" t="inlineStr">
        <is>
          <t>VÄSTRA GÖTALANDS LÄN</t>
        </is>
      </c>
      <c r="G157" t="inlineStr">
        <is>
          <t>BORÅS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46286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46286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45650</v>
      </c>
      <c r="E160" s="1" t="n">
        <v>46286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44639</v>
      </c>
      <c r="E161" s="1" t="n">
        <v>46286</v>
      </c>
      <c r="F161" t="inlineStr">
        <is>
          <t>VÄSTRA GÖTALANDS LÄN</t>
        </is>
      </c>
      <c r="G161" t="inlineStr">
        <is>
          <t>BORÅS</t>
        </is>
      </c>
      <c r="I161" t="n">
        <v>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46286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46286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46286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46286</v>
      </c>
      <c r="F165" t="inlineStr">
        <is>
          <t>VÄSTRA GÖTALANDS LÄN</t>
        </is>
      </c>
      <c r="G165" t="inlineStr">
        <is>
          <t>BORÅS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46286</v>
      </c>
      <c r="F166" t="inlineStr">
        <is>
          <t>VÄSTRA GÖTALANDS LÄN</t>
        </is>
      </c>
      <c r="G166" t="inlineStr">
        <is>
          <t>BORÅS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46286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Kyrkan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45462</v>
      </c>
      <c r="E168" s="1" t="n">
        <v>46286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46286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46286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46286</v>
      </c>
      <c r="F171" t="inlineStr">
        <is>
          <t>VÄSTRA GÖTALANDS LÄN</t>
        </is>
      </c>
      <c r="G171" t="inlineStr">
        <is>
          <t>BORÅS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46286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46286</v>
      </c>
      <c r="F173" t="inlineStr">
        <is>
          <t>VÄSTRA GÖTALANDS LÄN</t>
        </is>
      </c>
      <c r="G173" t="inlineStr">
        <is>
          <t>BORÅS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46286</v>
      </c>
      <c r="F174" t="inlineStr">
        <is>
          <t>VÄSTRA GÖTALANDS LÄN</t>
        </is>
      </c>
      <c r="G174" t="inlineStr">
        <is>
          <t>BORÅS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46286</v>
      </c>
      <c r="F175" t="inlineStr">
        <is>
          <t>VÄSTRA GÖTALANDS LÄN</t>
        </is>
      </c>
      <c r="G175" t="inlineStr">
        <is>
          <t>BORÅS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46286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46286</v>
      </c>
      <c r="F177" t="inlineStr">
        <is>
          <t>VÄSTRA GÖTALANDS LÄN</t>
        </is>
      </c>
      <c r="G177" t="inlineStr">
        <is>
          <t>BORÅS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45294</v>
      </c>
      <c r="E178" s="1" t="n">
        <v>46286</v>
      </c>
      <c r="F178" t="inlineStr">
        <is>
          <t>VÄSTRA GÖTALANDS LÄN</t>
        </is>
      </c>
      <c r="G178" t="inlineStr">
        <is>
          <t>BORÅS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46286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46286</v>
      </c>
      <c r="F180" t="inlineStr">
        <is>
          <t>VÄSTRA GÖTALANDS LÄN</t>
        </is>
      </c>
      <c r="G180" t="inlineStr">
        <is>
          <t>BORÅS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46286</v>
      </c>
      <c r="F181" t="inlineStr">
        <is>
          <t>VÄSTRA GÖTALANDS LÄN</t>
        </is>
      </c>
      <c r="G181" t="inlineStr">
        <is>
          <t>BORÅS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46286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46286</v>
      </c>
      <c r="F183" t="inlineStr">
        <is>
          <t>VÄSTRA GÖTALANDS LÄN</t>
        </is>
      </c>
      <c r="G183" t="inlineStr">
        <is>
          <t>BORÅS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46286</v>
      </c>
      <c r="F184" t="inlineStr">
        <is>
          <t>VÄSTRA GÖTALANDS LÄN</t>
        </is>
      </c>
      <c r="G184" t="inlineStr">
        <is>
          <t>BORÅS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46286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46286</v>
      </c>
      <c r="F186" t="inlineStr">
        <is>
          <t>VÄSTRA GÖTALANDS LÄN</t>
        </is>
      </c>
      <c r="G186" t="inlineStr">
        <is>
          <t>BORÅS</t>
        </is>
      </c>
      <c r="H186" t="inlineStr">
        <is>
          <t>Kommuner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45208</v>
      </c>
      <c r="E187" s="1" t="n">
        <v>46286</v>
      </c>
      <c r="F187" t="inlineStr">
        <is>
          <t>VÄSTRA GÖTALANDS LÄN</t>
        </is>
      </c>
      <c r="G187" t="inlineStr">
        <is>
          <t>BORÅS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46286</v>
      </c>
      <c r="F188" t="inlineStr">
        <is>
          <t>VÄSTRA GÖTALANDS LÄN</t>
        </is>
      </c>
      <c r="G188" t="inlineStr">
        <is>
          <t>BORÅS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46286</v>
      </c>
      <c r="F189" t="inlineStr">
        <is>
          <t>VÄSTRA GÖTALANDS LÄN</t>
        </is>
      </c>
      <c r="G189" t="inlineStr">
        <is>
          <t>BORÅS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44581</v>
      </c>
      <c r="E190" s="1" t="n">
        <v>46286</v>
      </c>
      <c r="F190" t="inlineStr">
        <is>
          <t>VÄSTRA GÖTALANDS LÄN</t>
        </is>
      </c>
      <c r="G190" t="inlineStr">
        <is>
          <t>BORÅS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46286</v>
      </c>
      <c r="F191" t="inlineStr">
        <is>
          <t>VÄSTRA GÖTALANDS LÄN</t>
        </is>
      </c>
      <c r="G191" t="inlineStr">
        <is>
          <t>BORÅS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46286</v>
      </c>
      <c r="F192" t="inlineStr">
        <is>
          <t>VÄSTRA GÖTALANDS LÄN</t>
        </is>
      </c>
      <c r="G192" t="inlineStr">
        <is>
          <t>BORÅS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46286</v>
      </c>
      <c r="F193" t="inlineStr">
        <is>
          <t>VÄSTRA GÖTALANDS LÄN</t>
        </is>
      </c>
      <c r="G193" t="inlineStr">
        <is>
          <t>BORÅS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46286</v>
      </c>
      <c r="F194" t="inlineStr">
        <is>
          <t>VÄSTRA GÖTALANDS LÄN</t>
        </is>
      </c>
      <c r="G194" t="inlineStr">
        <is>
          <t>BORÅS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46286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46286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45120</v>
      </c>
      <c r="E197" s="1" t="n">
        <v>46286</v>
      </c>
      <c r="F197" t="inlineStr">
        <is>
          <t>VÄSTRA GÖTALANDS LÄN</t>
        </is>
      </c>
      <c r="G197" t="inlineStr">
        <is>
          <t>BORÅS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46286</v>
      </c>
      <c r="F198" t="inlineStr">
        <is>
          <t>VÄSTRA GÖTALANDS LÄN</t>
        </is>
      </c>
      <c r="G198" t="inlineStr">
        <is>
          <t>BORÅS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32482-2023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45120</v>
      </c>
      <c r="E199" s="1" t="n">
        <v>46286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46286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Kyrkan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46286</v>
      </c>
      <c r="F201" t="inlineStr">
        <is>
          <t>VÄSTRA GÖTALANDS LÄN</t>
        </is>
      </c>
      <c r="G201" t="inlineStr">
        <is>
          <t>BORÅS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45412</v>
      </c>
      <c r="E202" s="1" t="n">
        <v>46286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45537</v>
      </c>
      <c r="E203" s="1" t="n">
        <v>46286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46286</v>
      </c>
      <c r="F204" t="inlineStr">
        <is>
          <t>VÄSTRA GÖTALANDS LÄN</t>
        </is>
      </c>
      <c r="G204" t="inlineStr">
        <is>
          <t>BORÅS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56684-2022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44888</v>
      </c>
      <c r="E205" s="1" t="n">
        <v>46286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Kyrkan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45120</v>
      </c>
      <c r="E206" s="1" t="n">
        <v>46286</v>
      </c>
      <c r="F206" t="inlineStr">
        <is>
          <t>VÄSTRA GÖTALANDS LÄN</t>
        </is>
      </c>
      <c r="G206" t="inlineStr">
        <is>
          <t>BORÅS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45120</v>
      </c>
      <c r="E207" s="1" t="n">
        <v>46286</v>
      </c>
      <c r="F207" t="inlineStr">
        <is>
          <t>VÄSTRA GÖTALANDS LÄN</t>
        </is>
      </c>
      <c r="G207" t="inlineStr">
        <is>
          <t>BORÅS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46286</v>
      </c>
      <c r="F208" t="inlineStr">
        <is>
          <t>VÄSTRA GÖTALANDS LÄN</t>
        </is>
      </c>
      <c r="G208" t="inlineStr">
        <is>
          <t>BORÅS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46286</v>
      </c>
      <c r="F209" t="inlineStr">
        <is>
          <t>VÄSTRA GÖTALANDS LÄN</t>
        </is>
      </c>
      <c r="G209" t="inlineStr">
        <is>
          <t>BORÅS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45350</v>
      </c>
      <c r="E210" s="1" t="n">
        <v>46286</v>
      </c>
      <c r="F210" t="inlineStr">
        <is>
          <t>VÄSTRA GÖTALANDS LÄN</t>
        </is>
      </c>
      <c r="G210" t="inlineStr">
        <is>
          <t>BORÅS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46286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46286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46286</v>
      </c>
      <c r="F213" t="inlineStr">
        <is>
          <t>VÄSTRA GÖTALANDS LÄN</t>
        </is>
      </c>
      <c r="G213" t="inlineStr">
        <is>
          <t>BORÅS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46286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46286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46286</v>
      </c>
      <c r="F216" t="inlineStr">
        <is>
          <t>VÄSTRA GÖTALANDS LÄN</t>
        </is>
      </c>
      <c r="G216" t="inlineStr">
        <is>
          <t>BORÅS</t>
        </is>
      </c>
      <c r="I216" t="n">
        <v>19.4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46286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45870</v>
      </c>
      <c r="E218" s="1" t="n">
        <v>46286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46286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46286</v>
      </c>
      <c r="F220" t="inlineStr">
        <is>
          <t>VÄSTRA GÖTALANDS LÄN</t>
        </is>
      </c>
      <c r="G220" t="inlineStr">
        <is>
          <t>BORÅS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46286</v>
      </c>
      <c r="F221" t="inlineStr">
        <is>
          <t>VÄSTRA GÖTALANDS LÄN</t>
        </is>
      </c>
      <c r="G221" t="inlineStr">
        <is>
          <t>BORÅS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46286</v>
      </c>
      <c r="F222" t="inlineStr">
        <is>
          <t>VÄSTRA GÖTALANDS LÄN</t>
        </is>
      </c>
      <c r="G222" t="inlineStr">
        <is>
          <t>BORÅS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44844</v>
      </c>
      <c r="E223" s="1" t="n">
        <v>46286</v>
      </c>
      <c r="F223" t="inlineStr">
        <is>
          <t>VÄSTRA GÖTALANDS LÄN</t>
        </is>
      </c>
      <c r="G223" t="inlineStr">
        <is>
          <t>BORÅS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21739-2026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46147</v>
      </c>
      <c r="E224" s="1" t="n">
        <v>46286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46286</v>
      </c>
      <c r="F225" t="inlineStr">
        <is>
          <t>VÄSTRA GÖTALANDS LÄN</t>
        </is>
      </c>
      <c r="G225" t="inlineStr">
        <is>
          <t>BORÅS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46286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46286</v>
      </c>
      <c r="F227" t="inlineStr">
        <is>
          <t>VÄSTRA GÖTALANDS LÄN</t>
        </is>
      </c>
      <c r="G227" t="inlineStr">
        <is>
          <t>BORÅS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46286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46286</v>
      </c>
      <c r="F229" t="inlineStr">
        <is>
          <t>VÄSTRA GÖTALANDS LÄN</t>
        </is>
      </c>
      <c r="G229" t="inlineStr">
        <is>
          <t>BORÅS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44630</v>
      </c>
      <c r="E230" s="1" t="n">
        <v>46286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46286</v>
      </c>
      <c r="F231" t="inlineStr">
        <is>
          <t>VÄSTRA GÖTALANDS LÄN</t>
        </is>
      </c>
      <c r="G231" t="inlineStr">
        <is>
          <t>BORÅS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45688</v>
      </c>
      <c r="E232" s="1" t="n">
        <v>46286</v>
      </c>
      <c r="F232" t="inlineStr">
        <is>
          <t>VÄSTRA GÖTALANDS LÄN</t>
        </is>
      </c>
      <c r="G232" t="inlineStr">
        <is>
          <t>BORÅS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46286</v>
      </c>
      <c r="F233" t="inlineStr">
        <is>
          <t>VÄSTRA GÖTALANDS LÄN</t>
        </is>
      </c>
      <c r="G233" t="inlineStr">
        <is>
          <t>BORÅS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46286</v>
      </c>
      <c r="F234" t="inlineStr">
        <is>
          <t>VÄSTRA GÖTALANDS LÄN</t>
        </is>
      </c>
      <c r="G234" t="inlineStr">
        <is>
          <t>BORÅS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13107-2022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44644</v>
      </c>
      <c r="E235" s="1" t="n">
        <v>46286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46286</v>
      </c>
      <c r="F236" t="inlineStr">
        <is>
          <t>VÄSTRA GÖTALANDS LÄN</t>
        </is>
      </c>
      <c r="G236" t="inlineStr">
        <is>
          <t>BORÅS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46286</v>
      </c>
      <c r="F237" t="inlineStr">
        <is>
          <t>VÄSTRA GÖTALANDS LÄN</t>
        </is>
      </c>
      <c r="G237" t="inlineStr">
        <is>
          <t>BORÅS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46286</v>
      </c>
      <c r="F238" t="inlineStr">
        <is>
          <t>VÄSTRA GÖTALANDS LÄN</t>
        </is>
      </c>
      <c r="G238" t="inlineStr">
        <is>
          <t>BORÅS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46286</v>
      </c>
      <c r="F239" t="inlineStr">
        <is>
          <t>VÄSTRA GÖTALANDS LÄN</t>
        </is>
      </c>
      <c r="G239" t="inlineStr">
        <is>
          <t>BORÅS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46286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46286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46286</v>
      </c>
      <c r="F242" t="inlineStr">
        <is>
          <t>VÄSTRA GÖTALANDS LÄN</t>
        </is>
      </c>
      <c r="G242" t="inlineStr">
        <is>
          <t>BORÅS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46286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46286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46286</v>
      </c>
      <c r="F245" t="inlineStr">
        <is>
          <t>VÄSTRA GÖTALANDS LÄN</t>
        </is>
      </c>
      <c r="G245" t="inlineStr">
        <is>
          <t>BORÅS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46286</v>
      </c>
      <c r="F246" t="inlineStr">
        <is>
          <t>VÄSTRA GÖTALANDS LÄN</t>
        </is>
      </c>
      <c r="G246" t="inlineStr">
        <is>
          <t>BORÅS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46286</v>
      </c>
      <c r="F247" t="inlineStr">
        <is>
          <t>VÄSTRA GÖTALANDS LÄN</t>
        </is>
      </c>
      <c r="G247" t="inlineStr">
        <is>
          <t>BORÅS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46286</v>
      </c>
      <c r="F248" t="inlineStr">
        <is>
          <t>VÄSTRA GÖTALANDS LÄN</t>
        </is>
      </c>
      <c r="G248" t="inlineStr">
        <is>
          <t>BORÅS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45805</v>
      </c>
      <c r="E249" s="1" t="n">
        <v>46286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45456</v>
      </c>
      <c r="E250" s="1" t="n">
        <v>46286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46286</v>
      </c>
      <c r="F251" t="inlineStr">
        <is>
          <t>VÄSTRA GÖTALANDS LÄN</t>
        </is>
      </c>
      <c r="G251" t="inlineStr">
        <is>
          <t>BORÅS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46286</v>
      </c>
      <c r="F252" t="inlineStr">
        <is>
          <t>VÄSTRA GÖTALANDS LÄN</t>
        </is>
      </c>
      <c r="G252" t="inlineStr">
        <is>
          <t>BORÅS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44571</v>
      </c>
      <c r="E253" s="1" t="n">
        <v>46286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46286</v>
      </c>
      <c r="F254" t="inlineStr">
        <is>
          <t>VÄSTRA GÖTALANDS LÄN</t>
        </is>
      </c>
      <c r="G254" t="inlineStr">
        <is>
          <t>BORÅS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46286</v>
      </c>
      <c r="F255" t="inlineStr">
        <is>
          <t>VÄSTRA GÖTALANDS LÄN</t>
        </is>
      </c>
      <c r="G255" t="inlineStr">
        <is>
          <t>BORÅS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46286</v>
      </c>
      <c r="F256" t="inlineStr">
        <is>
          <t>VÄSTRA GÖTALANDS LÄN</t>
        </is>
      </c>
      <c r="G256" t="inlineStr">
        <is>
          <t>BORÅS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46286</v>
      </c>
      <c r="F257" t="inlineStr">
        <is>
          <t>VÄSTRA GÖTALANDS LÄN</t>
        </is>
      </c>
      <c r="G257" t="inlineStr">
        <is>
          <t>BORÅS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45855</v>
      </c>
      <c r="E258" s="1" t="n">
        <v>46286</v>
      </c>
      <c r="F258" t="inlineStr">
        <is>
          <t>VÄSTRA GÖTALANDS LÄN</t>
        </is>
      </c>
      <c r="G258" t="inlineStr">
        <is>
          <t>BORÅS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46286</v>
      </c>
      <c r="F259" t="inlineStr">
        <is>
          <t>VÄSTRA GÖTALANDS LÄN</t>
        </is>
      </c>
      <c r="G259" t="inlineStr">
        <is>
          <t>BORÅS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52367-2025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46286</v>
      </c>
      <c r="F260" t="inlineStr">
        <is>
          <t>VÄSTRA GÖTALANDS LÄN</t>
        </is>
      </c>
      <c r="G260" t="inlineStr">
        <is>
          <t>BORÅS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46286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46286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20653-2026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46141</v>
      </c>
      <c r="E263" s="1" t="n">
        <v>46286</v>
      </c>
      <c r="F263" t="inlineStr">
        <is>
          <t>VÄSTRA GÖTALANDS LÄN</t>
        </is>
      </c>
      <c r="G263" t="inlineStr">
        <is>
          <t>BORÅS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45294</v>
      </c>
      <c r="E264" s="1" t="n">
        <v>46286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46286</v>
      </c>
      <c r="F265" t="inlineStr">
        <is>
          <t>VÄSTRA GÖTALANDS LÄN</t>
        </is>
      </c>
      <c r="G265" t="inlineStr">
        <is>
          <t>BORÅS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46286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Sveaskog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46286</v>
      </c>
      <c r="F267" t="inlineStr">
        <is>
          <t>VÄSTRA GÖTALANDS LÄN</t>
        </is>
      </c>
      <c r="G267" t="inlineStr">
        <is>
          <t>BORÅS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46286</v>
      </c>
      <c r="F268" t="inlineStr">
        <is>
          <t>VÄSTRA GÖTALANDS LÄN</t>
        </is>
      </c>
      <c r="G268" t="inlineStr">
        <is>
          <t>BORÅS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46286</v>
      </c>
      <c r="F269" t="inlineStr">
        <is>
          <t>VÄSTRA GÖTALANDS LÄN</t>
        </is>
      </c>
      <c r="G269" t="inlineStr">
        <is>
          <t>BORÅS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46286</v>
      </c>
      <c r="F270" t="inlineStr">
        <is>
          <t>VÄSTRA GÖTALANDS LÄN</t>
        </is>
      </c>
      <c r="G270" t="inlineStr">
        <is>
          <t>BORÅS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48358-2023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45205</v>
      </c>
      <c r="E271" s="1" t="n">
        <v>46286</v>
      </c>
      <c r="F271" t="inlineStr">
        <is>
          <t>VÄSTRA GÖTALANDS LÄN</t>
        </is>
      </c>
      <c r="G271" t="inlineStr">
        <is>
          <t>BORÅS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46286</v>
      </c>
      <c r="F272" t="inlineStr">
        <is>
          <t>VÄSTRA GÖTALANDS LÄN</t>
        </is>
      </c>
      <c r="G272" t="inlineStr">
        <is>
          <t>BORÅS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46286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46286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Kommuner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46286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46286</v>
      </c>
      <c r="F276" t="inlineStr">
        <is>
          <t>VÄSTRA GÖTALANDS LÄN</t>
        </is>
      </c>
      <c r="G276" t="inlineStr">
        <is>
          <t>BORÅS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45870</v>
      </c>
      <c r="E277" s="1" t="n">
        <v>46286</v>
      </c>
      <c r="F277" t="inlineStr">
        <is>
          <t>VÄSTRA GÖTALANDS LÄN</t>
        </is>
      </c>
      <c r="G277" t="inlineStr">
        <is>
          <t>BORÅS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46286</v>
      </c>
      <c r="F278" t="inlineStr">
        <is>
          <t>VÄSTRA GÖTALANDS LÄN</t>
        </is>
      </c>
      <c r="G278" t="inlineStr">
        <is>
          <t>BORÅS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45301</v>
      </c>
      <c r="E279" s="1" t="n">
        <v>46286</v>
      </c>
      <c r="F279" t="inlineStr">
        <is>
          <t>VÄSTRA GÖTALANDS LÄN</t>
        </is>
      </c>
      <c r="G279" t="inlineStr">
        <is>
          <t>BORÅS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46286</v>
      </c>
      <c r="F280" t="inlineStr">
        <is>
          <t>VÄSTRA GÖTALANDS LÄN</t>
        </is>
      </c>
      <c r="G280" t="inlineStr">
        <is>
          <t>BORÅS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46286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46286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Kommuner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46286</v>
      </c>
      <c r="F283" t="inlineStr">
        <is>
          <t>VÄSTRA GÖTALANDS LÄN</t>
        </is>
      </c>
      <c r="G283" t="inlineStr">
        <is>
          <t>BORÅS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46286</v>
      </c>
      <c r="F284" t="inlineStr">
        <is>
          <t>VÄSTRA GÖTALANDS LÄN</t>
        </is>
      </c>
      <c r="G284" t="inlineStr">
        <is>
          <t>BORÅS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46286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46286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47594-2025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46286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Kommuner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20279-2026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46136</v>
      </c>
      <c r="E288" s="1" t="n">
        <v>46286</v>
      </c>
      <c r="F288" t="inlineStr">
        <is>
          <t>VÄSTRA GÖTALANDS LÄN</t>
        </is>
      </c>
      <c r="G288" t="inlineStr">
        <is>
          <t>BORÅS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46286</v>
      </c>
      <c r="F289" t="inlineStr">
        <is>
          <t>VÄSTRA GÖTALANDS LÄN</t>
        </is>
      </c>
      <c r="G289" t="inlineStr">
        <is>
          <t>BORÅS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46286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45053</v>
      </c>
      <c r="E291" s="1" t="n">
        <v>46286</v>
      </c>
      <c r="F291" t="inlineStr">
        <is>
          <t>VÄSTRA GÖTALANDS LÄN</t>
        </is>
      </c>
      <c r="G291" t="inlineStr">
        <is>
          <t>BORÅS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46286</v>
      </c>
      <c r="F292" t="inlineStr">
        <is>
          <t>VÄSTRA GÖTALANDS LÄN</t>
        </is>
      </c>
      <c r="G292" t="inlineStr">
        <is>
          <t>BORÅS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46286</v>
      </c>
      <c r="F293" t="inlineStr">
        <is>
          <t>VÄSTRA GÖTALANDS LÄN</t>
        </is>
      </c>
      <c r="G293" t="inlineStr">
        <is>
          <t>BORÅS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46574-2022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44848</v>
      </c>
      <c r="E294" s="1" t="n">
        <v>46286</v>
      </c>
      <c r="F294" t="inlineStr">
        <is>
          <t>VÄSTRA GÖTALANDS LÄN</t>
        </is>
      </c>
      <c r="G294" t="inlineStr">
        <is>
          <t>BORÅS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46286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46286</v>
      </c>
      <c r="F296" t="inlineStr">
        <is>
          <t>VÄSTRA GÖTALANDS LÄN</t>
        </is>
      </c>
      <c r="G296" t="inlineStr">
        <is>
          <t>BORÅS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46286</v>
      </c>
      <c r="F297" t="inlineStr">
        <is>
          <t>VÄSTRA GÖTALANDS LÄN</t>
        </is>
      </c>
      <c r="G297" t="inlineStr">
        <is>
          <t>BORÅS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46286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46286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45935</v>
      </c>
      <c r="E300" s="1" t="n">
        <v>46286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46286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46286</v>
      </c>
      <c r="F302" t="inlineStr">
        <is>
          <t>VÄSTRA GÖTALANDS LÄN</t>
        </is>
      </c>
      <c r="G302" t="inlineStr">
        <is>
          <t>BORÅS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46286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46286</v>
      </c>
      <c r="F304" t="inlineStr">
        <is>
          <t>VÄSTRA GÖTALANDS LÄN</t>
        </is>
      </c>
      <c r="G304" t="inlineStr">
        <is>
          <t>BORÅS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46286</v>
      </c>
      <c r="F305" t="inlineStr">
        <is>
          <t>VÄSTRA GÖTALANDS LÄN</t>
        </is>
      </c>
      <c r="G305" t="inlineStr">
        <is>
          <t>BORÅS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46286</v>
      </c>
      <c r="F306" t="inlineStr">
        <is>
          <t>VÄSTRA GÖTALANDS LÄN</t>
        </is>
      </c>
      <c r="G306" t="inlineStr">
        <is>
          <t>BORÅS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46286</v>
      </c>
      <c r="F307" t="inlineStr">
        <is>
          <t>VÄSTRA GÖTALANDS LÄN</t>
        </is>
      </c>
      <c r="G307" t="inlineStr">
        <is>
          <t>BORÅS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46286</v>
      </c>
      <c r="F308" t="inlineStr">
        <is>
          <t>VÄSTRA GÖTALANDS LÄN</t>
        </is>
      </c>
      <c r="G308" t="inlineStr">
        <is>
          <t>BORÅS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46286</v>
      </c>
      <c r="F309" t="inlineStr">
        <is>
          <t>VÄSTRA GÖTALANDS LÄN</t>
        </is>
      </c>
      <c r="G309" t="inlineStr">
        <is>
          <t>BORÅS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46286</v>
      </c>
      <c r="F310" t="inlineStr">
        <is>
          <t>VÄSTRA GÖTALANDS LÄN</t>
        </is>
      </c>
      <c r="G310" t="inlineStr">
        <is>
          <t>BORÅS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27334-2024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45472</v>
      </c>
      <c r="E311" s="1" t="n">
        <v>46286</v>
      </c>
      <c r="F311" t="inlineStr">
        <is>
          <t>VÄSTRA GÖTALANDS LÄN</t>
        </is>
      </c>
      <c r="G311" t="inlineStr">
        <is>
          <t>BORÅS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46286</v>
      </c>
      <c r="F312" t="inlineStr">
        <is>
          <t>VÄSTRA GÖTALANDS LÄN</t>
        </is>
      </c>
      <c r="G312" t="inlineStr">
        <is>
          <t>BORÅS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45412</v>
      </c>
      <c r="E313" s="1" t="n">
        <v>46286</v>
      </c>
      <c r="F313" t="inlineStr">
        <is>
          <t>VÄSTRA GÖTALANDS LÄN</t>
        </is>
      </c>
      <c r="G313" t="inlineStr">
        <is>
          <t>BORÅS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46286</v>
      </c>
      <c r="F314" t="inlineStr">
        <is>
          <t>VÄSTRA GÖTALANDS LÄN</t>
        </is>
      </c>
      <c r="G314" t="inlineStr">
        <is>
          <t>BORÅS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46286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46286</v>
      </c>
      <c r="F316" t="inlineStr">
        <is>
          <t>VÄSTRA GÖTALANDS LÄN</t>
        </is>
      </c>
      <c r="G316" t="inlineStr">
        <is>
          <t>BORÅS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46286</v>
      </c>
      <c r="F317" t="inlineStr">
        <is>
          <t>VÄSTRA GÖTALANDS LÄN</t>
        </is>
      </c>
      <c r="G317" t="inlineStr">
        <is>
          <t>BORÅS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46286</v>
      </c>
      <c r="F318" t="inlineStr">
        <is>
          <t>VÄSTRA GÖTALANDS LÄN</t>
        </is>
      </c>
      <c r="G318" t="inlineStr">
        <is>
          <t>BORÅS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46286</v>
      </c>
      <c r="F319" t="inlineStr">
        <is>
          <t>VÄSTRA GÖTALANDS LÄN</t>
        </is>
      </c>
      <c r="G319" t="inlineStr">
        <is>
          <t>BORÅS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53942-2025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45961</v>
      </c>
      <c r="E320" s="1" t="n">
        <v>46286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46286</v>
      </c>
      <c r="F321" t="inlineStr">
        <is>
          <t>VÄSTRA GÖTALANDS LÄN</t>
        </is>
      </c>
      <c r="G321" t="inlineStr">
        <is>
          <t>BORÅS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46286</v>
      </c>
      <c r="F322" t="inlineStr">
        <is>
          <t>VÄSTRA GÖTALANDS LÄN</t>
        </is>
      </c>
      <c r="G322" t="inlineStr">
        <is>
          <t>BORÅS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46286</v>
      </c>
      <c r="F323" t="inlineStr">
        <is>
          <t>VÄSTRA GÖTALANDS LÄN</t>
        </is>
      </c>
      <c r="G323" t="inlineStr">
        <is>
          <t>BORÅS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46286</v>
      </c>
      <c r="F324" t="inlineStr">
        <is>
          <t>VÄSTRA GÖTALANDS LÄN</t>
        </is>
      </c>
      <c r="G324" t="inlineStr">
        <is>
          <t>BORÅS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46286</v>
      </c>
      <c r="F325" t="inlineStr">
        <is>
          <t>VÄSTRA GÖTALANDS LÄN</t>
        </is>
      </c>
      <c r="G325" t="inlineStr">
        <is>
          <t>BORÅS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52410-2023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45224</v>
      </c>
      <c r="E326" s="1" t="n">
        <v>46286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46286</v>
      </c>
      <c r="F327" t="inlineStr">
        <is>
          <t>VÄSTRA GÖTALANDS LÄN</t>
        </is>
      </c>
      <c r="G327" t="inlineStr">
        <is>
          <t>BORÅS</t>
        </is>
      </c>
      <c r="H327" t="inlineStr">
        <is>
          <t>Kommuner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46286</v>
      </c>
      <c r="F328" t="inlineStr">
        <is>
          <t>VÄSTRA GÖTALANDS LÄN</t>
        </is>
      </c>
      <c r="G328" t="inlineStr">
        <is>
          <t>BORÅS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56376-2025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45974</v>
      </c>
      <c r="E329" s="1" t="n">
        <v>46286</v>
      </c>
      <c r="F329" t="inlineStr">
        <is>
          <t>VÄSTRA GÖTALANDS LÄN</t>
        </is>
      </c>
      <c r="G329" t="inlineStr">
        <is>
          <t>BORÅS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46286</v>
      </c>
      <c r="F330" t="inlineStr">
        <is>
          <t>VÄSTRA GÖTALANDS LÄN</t>
        </is>
      </c>
      <c r="G330" t="inlineStr">
        <is>
          <t>BORÅS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46286</v>
      </c>
      <c r="F331" t="inlineStr">
        <is>
          <t>VÄSTRA GÖTALANDS LÄN</t>
        </is>
      </c>
      <c r="G331" t="inlineStr">
        <is>
          <t>BORÅS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45629</v>
      </c>
      <c r="E332" s="1" t="n">
        <v>46286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46286</v>
      </c>
      <c r="F333" t="inlineStr">
        <is>
          <t>VÄSTRA GÖTALANDS LÄN</t>
        </is>
      </c>
      <c r="G333" t="inlineStr">
        <is>
          <t>BORÅS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46286</v>
      </c>
      <c r="F334" t="inlineStr">
        <is>
          <t>VÄSTRA GÖTALANDS LÄN</t>
        </is>
      </c>
      <c r="G334" t="inlineStr">
        <is>
          <t>BORÅS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46286</v>
      </c>
      <c r="F335" t="inlineStr">
        <is>
          <t>VÄSTRA GÖTALANDS LÄN</t>
        </is>
      </c>
      <c r="G335" t="inlineStr">
        <is>
          <t>BORÅS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45176</v>
      </c>
      <c r="E336" s="1" t="n">
        <v>46286</v>
      </c>
      <c r="F336" t="inlineStr">
        <is>
          <t>VÄSTRA GÖTALANDS LÄN</t>
        </is>
      </c>
      <c r="G336" t="inlineStr">
        <is>
          <t>BORÅS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46286</v>
      </c>
      <c r="F337" t="inlineStr">
        <is>
          <t>VÄSTRA GÖTALANDS LÄN</t>
        </is>
      </c>
      <c r="G337" t="inlineStr">
        <is>
          <t>BORÅS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46286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Kommuner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46286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46286</v>
      </c>
      <c r="F340" t="inlineStr">
        <is>
          <t>VÄSTRA GÖTALANDS LÄN</t>
        </is>
      </c>
      <c r="G340" t="inlineStr">
        <is>
          <t>BORÅS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45308</v>
      </c>
      <c r="E341" s="1" t="n">
        <v>46286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46286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58304-2025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45982</v>
      </c>
      <c r="E343" s="1" t="n">
        <v>46286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X343">
        <f>HYPERLINK("https://klasma.github.io/Logging_1490/kartor/A 58304-2025 karta.png", "A 58304-2025")</f>
        <v/>
      </c>
      <c r="Y343">
        <f>HYPERLINK("https://klasma.github.io/Logging_1490/kartor_geotiff/A 58304-2025 georefererad karta.tif", "A 58304-2025")</f>
        <v/>
      </c>
      <c r="AA343">
        <f>HYPERLINK("https://klasma.github.io/Logging_1490/klagomål/A 58304-2025 FSC-klagomål.docx", "A 58304-2025")</f>
        <v/>
      </c>
      <c r="AB343">
        <f>HYPERLINK("https://klasma.github.io/Logging_1490/klagomålsmail/A 58304-2025 FSC-klagomål mail.docx", "A 58304-2025")</f>
        <v/>
      </c>
      <c r="AC343">
        <f>HYPERLINK("https://klasma.github.io/Logging_1490/tillsyn/A 58304-2025 tillsynsbegäran.docx", "A 58304-2025")</f>
        <v/>
      </c>
      <c r="AD343">
        <f>HYPERLINK("https://klasma.github.io/Logging_1490/tillsynsmail/A 58304-2025 tillsynsbegäran mail.docx", "A 58304-2025")</f>
        <v/>
      </c>
    </row>
    <row r="344" ht="15" customHeight="1">
      <c r="A344" t="inlineStr">
        <is>
          <t>A 19537-2025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45770</v>
      </c>
      <c r="E344" s="1" t="n">
        <v>46286</v>
      </c>
      <c r="F344" t="inlineStr">
        <is>
          <t>VÄSTRA GÖTALANDS LÄN</t>
        </is>
      </c>
      <c r="G344" t="inlineStr">
        <is>
          <t>BORÅS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46286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44941</v>
      </c>
      <c r="E346" s="1" t="n">
        <v>46286</v>
      </c>
      <c r="F346" t="inlineStr">
        <is>
          <t>VÄSTRA GÖTALANDS LÄN</t>
        </is>
      </c>
      <c r="G346" t="inlineStr">
        <is>
          <t>BORÅS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46286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Kyrkan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46286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46286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46286</v>
      </c>
      <c r="F350" t="inlineStr">
        <is>
          <t>VÄSTRA GÖTALANDS LÄN</t>
        </is>
      </c>
      <c r="G350" t="inlineStr">
        <is>
          <t>BORÅS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46286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46286</v>
      </c>
      <c r="F352" t="inlineStr">
        <is>
          <t>VÄSTRA GÖTALANDS LÄN</t>
        </is>
      </c>
      <c r="G352" t="inlineStr">
        <is>
          <t>BORÅS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6203-2024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45337</v>
      </c>
      <c r="E353" s="1" t="n">
        <v>46286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46286</v>
      </c>
      <c r="F354" t="inlineStr">
        <is>
          <t>VÄSTRA GÖTALANDS LÄN</t>
        </is>
      </c>
      <c r="G354" t="inlineStr">
        <is>
          <t>BORÅS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41048-2022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44825</v>
      </c>
      <c r="E355" s="1" t="n">
        <v>46286</v>
      </c>
      <c r="F355" t="inlineStr">
        <is>
          <t>VÄSTRA GÖTALANDS LÄN</t>
        </is>
      </c>
      <c r="G355" t="inlineStr">
        <is>
          <t>BORÅS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46286</v>
      </c>
      <c r="F356" t="inlineStr">
        <is>
          <t>VÄSTRA GÖTALANDS LÄN</t>
        </is>
      </c>
      <c r="G356" t="inlineStr">
        <is>
          <t>BORÅS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46286</v>
      </c>
      <c r="F357" t="inlineStr">
        <is>
          <t>VÄSTRA GÖTALANDS LÄN</t>
        </is>
      </c>
      <c r="G357" t="inlineStr">
        <is>
          <t>BORÅS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46286</v>
      </c>
      <c r="F358" t="inlineStr">
        <is>
          <t>VÄSTRA GÖTALANDS LÄN</t>
        </is>
      </c>
      <c r="G358" t="inlineStr">
        <is>
          <t>BORÅS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45996</v>
      </c>
      <c r="E359" s="1" t="n">
        <v>46286</v>
      </c>
      <c r="F359" t="inlineStr">
        <is>
          <t>VÄSTRA GÖTALANDS LÄN</t>
        </is>
      </c>
      <c r="G359" t="inlineStr">
        <is>
          <t>BORÅS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46286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Kommuner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45321</v>
      </c>
      <c r="E361" s="1" t="n">
        <v>46286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Kommuner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46286</v>
      </c>
      <c r="F362" t="inlineStr">
        <is>
          <t>VÄSTRA GÖTALANDS LÄN</t>
        </is>
      </c>
      <c r="G362" t="inlineStr">
        <is>
          <t>BORÅS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46286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46286</v>
      </c>
      <c r="F364" t="inlineStr">
        <is>
          <t>VÄSTRA GÖTALANDS LÄN</t>
        </is>
      </c>
      <c r="G364" t="inlineStr">
        <is>
          <t>BORÅS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57782-2022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44897</v>
      </c>
      <c r="E365" s="1" t="n">
        <v>46286</v>
      </c>
      <c r="F365" t="inlineStr">
        <is>
          <t>VÄSTRA GÖTALANDS LÄN</t>
        </is>
      </c>
      <c r="G365" t="inlineStr">
        <is>
          <t>BORÅS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44652</v>
      </c>
      <c r="E366" s="1" t="n">
        <v>46286</v>
      </c>
      <c r="F366" t="inlineStr">
        <is>
          <t>VÄSTRA GÖTALANDS LÄN</t>
        </is>
      </c>
      <c r="G366" t="inlineStr">
        <is>
          <t>BORÅS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46286</v>
      </c>
      <c r="F367" t="inlineStr">
        <is>
          <t>VÄSTRA GÖTALANDS LÄN</t>
        </is>
      </c>
      <c r="G367" t="inlineStr">
        <is>
          <t>BORÅS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46286</v>
      </c>
      <c r="F368" t="inlineStr">
        <is>
          <t>VÄSTRA GÖTALANDS LÄN</t>
        </is>
      </c>
      <c r="G368" t="inlineStr">
        <is>
          <t>BORÅS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46286</v>
      </c>
      <c r="F369" t="inlineStr">
        <is>
          <t>VÄSTRA GÖTALANDS LÄN</t>
        </is>
      </c>
      <c r="G369" t="inlineStr">
        <is>
          <t>BORÅS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46286</v>
      </c>
      <c r="F370" t="inlineStr">
        <is>
          <t>VÄSTRA GÖTALANDS LÄN</t>
        </is>
      </c>
      <c r="G370" t="inlineStr">
        <is>
          <t>BORÅS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46286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46286</v>
      </c>
      <c r="F372" t="inlineStr">
        <is>
          <t>VÄSTRA GÖTALANDS LÄN</t>
        </is>
      </c>
      <c r="G372" t="inlineStr">
        <is>
          <t>BORÅS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45688</v>
      </c>
      <c r="E373" s="1" t="n">
        <v>46286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45688</v>
      </c>
      <c r="E374" s="1" t="n">
        <v>46286</v>
      </c>
      <c r="F374" t="inlineStr">
        <is>
          <t>VÄSTRA GÖTALANDS LÄN</t>
        </is>
      </c>
      <c r="G374" t="inlineStr">
        <is>
          <t>BORÅS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46286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46286</v>
      </c>
      <c r="F376" t="inlineStr">
        <is>
          <t>VÄSTRA GÖTALANDS LÄN</t>
        </is>
      </c>
      <c r="G376" t="inlineStr">
        <is>
          <t>BORÅS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45701</v>
      </c>
      <c r="E377" s="1" t="n">
        <v>46286</v>
      </c>
      <c r="F377" t="inlineStr">
        <is>
          <t>VÄSTRA GÖTALANDS LÄN</t>
        </is>
      </c>
      <c r="G377" t="inlineStr">
        <is>
          <t>BORÅS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45699</v>
      </c>
      <c r="E378" s="1" t="n">
        <v>46286</v>
      </c>
      <c r="F378" t="inlineStr">
        <is>
          <t>VÄSTRA GÖTALANDS LÄN</t>
        </is>
      </c>
      <c r="G378" t="inlineStr">
        <is>
          <t>BORÅS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53930-2024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46286</v>
      </c>
      <c r="F379" t="inlineStr">
        <is>
          <t>VÄSTRA GÖTALANDS LÄN</t>
        </is>
      </c>
      <c r="G379" t="inlineStr">
        <is>
          <t>BORÅS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45050</v>
      </c>
      <c r="E380" s="1" t="n">
        <v>46286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46286</v>
      </c>
      <c r="F381" t="inlineStr">
        <is>
          <t>VÄSTRA GÖTALANDS LÄN</t>
        </is>
      </c>
      <c r="G381" t="inlineStr">
        <is>
          <t>BORÅS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46286</v>
      </c>
      <c r="F382" t="inlineStr">
        <is>
          <t>VÄSTRA GÖTALANDS LÄN</t>
        </is>
      </c>
      <c r="G382" t="inlineStr">
        <is>
          <t>BORÅS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44959</v>
      </c>
      <c r="E383" s="1" t="n">
        <v>46286</v>
      </c>
      <c r="F383" t="inlineStr">
        <is>
          <t>VÄSTRA GÖTALANDS LÄN</t>
        </is>
      </c>
      <c r="G383" t="inlineStr">
        <is>
          <t>BORÅS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45162</v>
      </c>
      <c r="E384" s="1" t="n">
        <v>46286</v>
      </c>
      <c r="F384" t="inlineStr">
        <is>
          <t>VÄSTRA GÖTALANDS LÄN</t>
        </is>
      </c>
      <c r="G384" t="inlineStr">
        <is>
          <t>BORÅS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44964</v>
      </c>
      <c r="E385" s="1" t="n">
        <v>46286</v>
      </c>
      <c r="F385" t="inlineStr">
        <is>
          <t>VÄSTRA GÖTALANDS LÄN</t>
        </is>
      </c>
      <c r="G385" t="inlineStr">
        <is>
          <t>BORÅS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44639</v>
      </c>
      <c r="E386" s="1" t="n">
        <v>46286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46286</v>
      </c>
      <c r="F387" t="inlineStr">
        <is>
          <t>VÄSTRA GÖTALANDS LÄN</t>
        </is>
      </c>
      <c r="G387" t="inlineStr">
        <is>
          <t>BORÅS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45239</v>
      </c>
      <c r="E388" s="1" t="n">
        <v>46286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46286</v>
      </c>
      <c r="F389" t="inlineStr">
        <is>
          <t>VÄSTRA GÖTALANDS LÄN</t>
        </is>
      </c>
      <c r="G389" t="inlineStr">
        <is>
          <t>BORÅS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46286</v>
      </c>
      <c r="F390" t="inlineStr">
        <is>
          <t>VÄSTRA GÖTALANDS LÄN</t>
        </is>
      </c>
      <c r="G390" t="inlineStr">
        <is>
          <t>BORÅS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46286</v>
      </c>
      <c r="F391" t="inlineStr">
        <is>
          <t>VÄSTRA GÖTALANDS LÄN</t>
        </is>
      </c>
      <c r="G391" t="inlineStr">
        <is>
          <t>BORÅS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46286</v>
      </c>
      <c r="F392" t="inlineStr">
        <is>
          <t>VÄSTRA GÖTALANDS LÄN</t>
        </is>
      </c>
      <c r="G392" t="inlineStr">
        <is>
          <t>BORÅS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46286</v>
      </c>
      <c r="F393" t="inlineStr">
        <is>
          <t>VÄSTRA GÖTALANDS LÄN</t>
        </is>
      </c>
      <c r="G393" t="inlineStr">
        <is>
          <t>BORÅS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46286</v>
      </c>
      <c r="F394" t="inlineStr">
        <is>
          <t>VÄSTRA GÖTALANDS LÄN</t>
        </is>
      </c>
      <c r="G394" t="inlineStr">
        <is>
          <t>BORÅS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46286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46286</v>
      </c>
      <c r="F396" t="inlineStr">
        <is>
          <t>VÄSTRA GÖTALANDS LÄN</t>
        </is>
      </c>
      <c r="G396" t="inlineStr">
        <is>
          <t>BORÅS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46041</v>
      </c>
      <c r="E397" s="1" t="n">
        <v>46286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46286</v>
      </c>
      <c r="F398" t="inlineStr">
        <is>
          <t>VÄSTRA GÖTALANDS LÄN</t>
        </is>
      </c>
      <c r="G398" t="inlineStr">
        <is>
          <t>BORÅS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72566-2021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44546</v>
      </c>
      <c r="E399" s="1" t="n">
        <v>46286</v>
      </c>
      <c r="F399" t="inlineStr">
        <is>
          <t>VÄSTRA GÖTALANDS LÄN</t>
        </is>
      </c>
      <c r="G399" t="inlineStr">
        <is>
          <t>BORÅS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46286</v>
      </c>
      <c r="F400" t="inlineStr">
        <is>
          <t>VÄSTRA GÖTALANDS LÄN</t>
        </is>
      </c>
      <c r="G400" t="inlineStr">
        <is>
          <t>BORÅS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44782-2025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45917</v>
      </c>
      <c r="E401" s="1" t="n">
        <v>46286</v>
      </c>
      <c r="F401" t="inlineStr">
        <is>
          <t>VÄSTRA GÖTALANDS LÄN</t>
        </is>
      </c>
      <c r="G401" t="inlineStr">
        <is>
          <t>BORÅS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46286</v>
      </c>
      <c r="F402" t="inlineStr">
        <is>
          <t>VÄSTRA GÖTALANDS LÄN</t>
        </is>
      </c>
      <c r="G402" t="inlineStr">
        <is>
          <t>BORÅS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45845</v>
      </c>
      <c r="E403" s="1" t="n">
        <v>46286</v>
      </c>
      <c r="F403" t="inlineStr">
        <is>
          <t>VÄSTRA GÖTALANDS LÄN</t>
        </is>
      </c>
      <c r="G403" t="inlineStr">
        <is>
          <t>BORÅS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46286</v>
      </c>
      <c r="F404" t="inlineStr">
        <is>
          <t>VÄSTRA GÖTALANDS LÄN</t>
        </is>
      </c>
      <c r="G404" t="inlineStr">
        <is>
          <t>BORÅS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46286</v>
      </c>
      <c r="F405" t="inlineStr">
        <is>
          <t>VÄSTRA GÖTALANDS LÄN</t>
        </is>
      </c>
      <c r="G405" t="inlineStr">
        <is>
          <t>BORÅS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44506-2023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45189</v>
      </c>
      <c r="E406" s="1" t="n">
        <v>46286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46286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45771</v>
      </c>
      <c r="E408" s="1" t="n">
        <v>46286</v>
      </c>
      <c r="F408" t="inlineStr">
        <is>
          <t>VÄSTRA GÖTALANDS LÄN</t>
        </is>
      </c>
      <c r="G408" t="inlineStr">
        <is>
          <t>BORÅS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25238-2026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46175</v>
      </c>
      <c r="E409" s="1" t="n">
        <v>46286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46286</v>
      </c>
      <c r="F410" t="inlineStr">
        <is>
          <t>VÄSTRA GÖTALANDS LÄN</t>
        </is>
      </c>
      <c r="G410" t="inlineStr">
        <is>
          <t>BORÅS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38970-2024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45548</v>
      </c>
      <c r="E411" s="1" t="n">
        <v>46286</v>
      </c>
      <c r="F411" t="inlineStr">
        <is>
          <t>VÄSTRA GÖTALANDS LÄN</t>
        </is>
      </c>
      <c r="G411" t="inlineStr">
        <is>
          <t>BORÅS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46286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45756</v>
      </c>
      <c r="E413" s="1" t="n">
        <v>46286</v>
      </c>
      <c r="F413" t="inlineStr">
        <is>
          <t>VÄSTRA GÖTALANDS LÄN</t>
        </is>
      </c>
      <c r="G413" t="inlineStr">
        <is>
          <t>BORÅS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45440</v>
      </c>
      <c r="E414" s="1" t="n">
        <v>46286</v>
      </c>
      <c r="F414" t="inlineStr">
        <is>
          <t>VÄSTRA GÖTALANDS LÄN</t>
        </is>
      </c>
      <c r="G414" t="inlineStr">
        <is>
          <t>BORÅS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45670</v>
      </c>
      <c r="E415" s="1" t="n">
        <v>46286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46286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46286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46286</v>
      </c>
      <c r="F418" t="inlineStr">
        <is>
          <t>VÄSTRA GÖTALANDS LÄN</t>
        </is>
      </c>
      <c r="G418" t="inlineStr">
        <is>
          <t>BORÅS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46286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50605-2022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44866</v>
      </c>
      <c r="E420" s="1" t="n">
        <v>46286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46286</v>
      </c>
      <c r="F421" t="inlineStr">
        <is>
          <t>VÄSTRA GÖTALANDS LÄN</t>
        </is>
      </c>
      <c r="G421" t="inlineStr">
        <is>
          <t>BORÅS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46286</v>
      </c>
      <c r="F422" t="inlineStr">
        <is>
          <t>VÄSTRA GÖTALANDS LÄN</t>
        </is>
      </c>
      <c r="G422" t="inlineStr">
        <is>
          <t>BORÅS</t>
        </is>
      </c>
      <c r="H422" t="inlineStr">
        <is>
          <t>Kyrkan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45240</v>
      </c>
      <c r="E423" s="1" t="n">
        <v>46286</v>
      </c>
      <c r="F423" t="inlineStr">
        <is>
          <t>VÄSTRA GÖTALANDS LÄN</t>
        </is>
      </c>
      <c r="G423" t="inlineStr">
        <is>
          <t>BORÅS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46286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46183</v>
      </c>
      <c r="E425" s="1" t="n">
        <v>46286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Kyrkan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46286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46286</v>
      </c>
      <c r="F427" t="inlineStr">
        <is>
          <t>VÄSTRA GÖTALANDS LÄN</t>
        </is>
      </c>
      <c r="G427" t="inlineStr">
        <is>
          <t>BORÅS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46286</v>
      </c>
      <c r="F428" t="inlineStr">
        <is>
          <t>VÄSTRA GÖTALANDS LÄN</t>
        </is>
      </c>
      <c r="G428" t="inlineStr">
        <is>
          <t>BORÅS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46286</v>
      </c>
      <c r="F429" t="inlineStr">
        <is>
          <t>VÄSTRA GÖTALANDS LÄN</t>
        </is>
      </c>
      <c r="G429" t="inlineStr">
        <is>
          <t>BORÅS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45817</v>
      </c>
      <c r="E430" s="1" t="n">
        <v>46286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46286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46286</v>
      </c>
      <c r="F432" t="inlineStr">
        <is>
          <t>VÄSTRA GÖTALANDS LÄN</t>
        </is>
      </c>
      <c r="G432" t="inlineStr">
        <is>
          <t>BORÅS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46286</v>
      </c>
      <c r="F433" t="inlineStr">
        <is>
          <t>VÄSTRA GÖTALANDS LÄN</t>
        </is>
      </c>
      <c r="G433" t="inlineStr">
        <is>
          <t>BORÅS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46382-2023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45197</v>
      </c>
      <c r="E434" s="1" t="n">
        <v>46286</v>
      </c>
      <c r="F434" t="inlineStr">
        <is>
          <t>VÄSTRA GÖTALANDS LÄN</t>
        </is>
      </c>
      <c r="G434" t="inlineStr">
        <is>
          <t>BORÅS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45186</v>
      </c>
      <c r="E435" s="1" t="n">
        <v>46286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46286</v>
      </c>
      <c r="F436" t="inlineStr">
        <is>
          <t>VÄSTRA GÖTALANDS LÄN</t>
        </is>
      </c>
      <c r="G436" t="inlineStr">
        <is>
          <t>BORÅS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46286</v>
      </c>
      <c r="F437" t="inlineStr">
        <is>
          <t>VÄSTRA GÖTALANDS LÄN</t>
        </is>
      </c>
      <c r="G437" t="inlineStr">
        <is>
          <t>BORÅS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12635-2026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46091</v>
      </c>
      <c r="E438" s="1" t="n">
        <v>46286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45477</v>
      </c>
      <c r="E439" s="1" t="n">
        <v>46286</v>
      </c>
      <c r="F439" t="inlineStr">
        <is>
          <t>VÄSTRA GÖTALANDS LÄN</t>
        </is>
      </c>
      <c r="G439" t="inlineStr">
        <is>
          <t>BORÅS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13729-2026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46097</v>
      </c>
      <c r="E440" s="1" t="n">
        <v>46286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46286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46286</v>
      </c>
      <c r="F442" t="inlineStr">
        <is>
          <t>VÄSTRA GÖTALANDS LÄN</t>
        </is>
      </c>
      <c r="G442" t="inlineStr">
        <is>
          <t>BORÅS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50382-2022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44866</v>
      </c>
      <c r="E443" s="1" t="n">
        <v>46286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54875-2022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44886</v>
      </c>
      <c r="E444" s="1" t="n">
        <v>46286</v>
      </c>
      <c r="F444" t="inlineStr">
        <is>
          <t>VÄSTRA GÖTALANDS LÄN</t>
        </is>
      </c>
      <c r="G444" t="inlineStr">
        <is>
          <t>BORÅS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46286</v>
      </c>
      <c r="F445" t="inlineStr">
        <is>
          <t>VÄSTRA GÖTALANDS LÄN</t>
        </is>
      </c>
      <c r="G445" t="inlineStr">
        <is>
          <t>BORÅS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44771</v>
      </c>
      <c r="E446" s="1" t="n">
        <v>46286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46286</v>
      </c>
      <c r="F447" t="inlineStr">
        <is>
          <t>VÄSTRA GÖTALANDS LÄN</t>
        </is>
      </c>
      <c r="G447" t="inlineStr">
        <is>
          <t>BORÅS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46286</v>
      </c>
      <c r="F448" t="inlineStr">
        <is>
          <t>VÄSTRA GÖTALANDS LÄN</t>
        </is>
      </c>
      <c r="G448" t="inlineStr">
        <is>
          <t>BORÅS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46286</v>
      </c>
      <c r="F449" t="inlineStr">
        <is>
          <t>VÄSTRA GÖTALANDS LÄN</t>
        </is>
      </c>
      <c r="G449" t="inlineStr">
        <is>
          <t>BORÅS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44854</v>
      </c>
      <c r="E450" s="1" t="n">
        <v>46286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46286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46286</v>
      </c>
      <c r="F452" t="inlineStr">
        <is>
          <t>VÄSTRA GÖTALANDS LÄN</t>
        </is>
      </c>
      <c r="G452" t="inlineStr">
        <is>
          <t>BORÅS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46286</v>
      </c>
      <c r="F453" t="inlineStr">
        <is>
          <t>VÄSTRA GÖTALANDS LÄN</t>
        </is>
      </c>
      <c r="G453" t="inlineStr">
        <is>
          <t>BORÅS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44875</v>
      </c>
      <c r="E454" s="1" t="n">
        <v>46286</v>
      </c>
      <c r="F454" t="inlineStr">
        <is>
          <t>VÄSTRA GÖTALANDS LÄN</t>
        </is>
      </c>
      <c r="G454" t="inlineStr">
        <is>
          <t>BORÅS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46286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15193-2026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46105</v>
      </c>
      <c r="E456" s="1" t="n">
        <v>46286</v>
      </c>
      <c r="F456" t="inlineStr">
        <is>
          <t>VÄSTRA GÖTALANDS LÄN</t>
        </is>
      </c>
      <c r="G456" t="inlineStr">
        <is>
          <t>BORÅS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46286</v>
      </c>
      <c r="F457" t="inlineStr">
        <is>
          <t>VÄSTRA GÖTALANDS LÄN</t>
        </is>
      </c>
      <c r="G457" t="inlineStr">
        <is>
          <t>BORÅS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46286</v>
      </c>
      <c r="F458" t="inlineStr">
        <is>
          <t>VÄSTRA GÖTALANDS LÄN</t>
        </is>
      </c>
      <c r="G458" t="inlineStr">
        <is>
          <t>BORÅS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46286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45631</v>
      </c>
      <c r="E460" s="1" t="n">
        <v>46286</v>
      </c>
      <c r="F460" t="inlineStr">
        <is>
          <t>VÄSTRA GÖTALANDS LÄN</t>
        </is>
      </c>
      <c r="G460" t="inlineStr">
        <is>
          <t>BORÅS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46286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45120</v>
      </c>
      <c r="E462" s="1" t="n">
        <v>46286</v>
      </c>
      <c r="F462" t="inlineStr">
        <is>
          <t>VÄSTRA GÖTALANDS LÄN</t>
        </is>
      </c>
      <c r="G462" t="inlineStr">
        <is>
          <t>BORÅS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45483</v>
      </c>
      <c r="E463" s="1" t="n">
        <v>46286</v>
      </c>
      <c r="F463" t="inlineStr">
        <is>
          <t>VÄSTRA GÖTALANDS LÄN</t>
        </is>
      </c>
      <c r="G463" t="inlineStr">
        <is>
          <t>BORÅS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46286</v>
      </c>
      <c r="F464" t="inlineStr">
        <is>
          <t>VÄSTRA GÖTALANDS LÄN</t>
        </is>
      </c>
      <c r="G464" t="inlineStr">
        <is>
          <t>BORÅS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46286</v>
      </c>
      <c r="F465" t="inlineStr">
        <is>
          <t>VÄSTRA GÖTALANDS LÄN</t>
        </is>
      </c>
      <c r="G465" t="inlineStr">
        <is>
          <t>BORÅS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44995</v>
      </c>
      <c r="E466" s="1" t="n">
        <v>46286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46286</v>
      </c>
      <c r="F467" t="inlineStr">
        <is>
          <t>VÄSTRA GÖTALANDS LÄN</t>
        </is>
      </c>
      <c r="G467" t="inlineStr">
        <is>
          <t>BORÅS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65200-2023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45289</v>
      </c>
      <c r="E468" s="1" t="n">
        <v>46286</v>
      </c>
      <c r="F468" t="inlineStr">
        <is>
          <t>VÄSTRA GÖTALANDS LÄN</t>
        </is>
      </c>
      <c r="G468" t="inlineStr">
        <is>
          <t>BORÅS</t>
        </is>
      </c>
      <c r="I468" t="n">
        <v>12.5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17234-2026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46119</v>
      </c>
      <c r="E469" s="1" t="n">
        <v>46286</v>
      </c>
      <c r="F469" t="inlineStr">
        <is>
          <t>VÄSTRA GÖTALANDS LÄN</t>
        </is>
      </c>
      <c r="G469" t="inlineStr">
        <is>
          <t>BORÅS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46286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46286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46286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46286</v>
      </c>
      <c r="F473" t="inlineStr">
        <is>
          <t>VÄSTRA GÖTALANDS LÄN</t>
        </is>
      </c>
      <c r="G473" t="inlineStr">
        <is>
          <t>BORÅS</t>
        </is>
      </c>
      <c r="I473" t="n">
        <v>9.199999999999999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46286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Kyrkan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46286</v>
      </c>
      <c r="F475" t="inlineStr">
        <is>
          <t>VÄSTRA GÖTALANDS LÄN</t>
        </is>
      </c>
      <c r="G475" t="inlineStr">
        <is>
          <t>BORÅS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46286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46286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46286</v>
      </c>
      <c r="F478" t="inlineStr">
        <is>
          <t>VÄSTRA GÖTALANDS LÄN</t>
        </is>
      </c>
      <c r="G478" t="inlineStr">
        <is>
          <t>BORÅS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46286</v>
      </c>
      <c r="F479" t="inlineStr">
        <is>
          <t>VÄSTRA GÖTALANDS LÄN</t>
        </is>
      </c>
      <c r="G479" t="inlineStr">
        <is>
          <t>BORÅS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46286</v>
      </c>
      <c r="F480" t="inlineStr">
        <is>
          <t>VÄSTRA GÖTALANDS LÄN</t>
        </is>
      </c>
      <c r="G480" t="inlineStr">
        <is>
          <t>BORÅS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44564</v>
      </c>
      <c r="E481" s="1" t="n">
        <v>46286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46286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45062</v>
      </c>
      <c r="E483" s="1" t="n">
        <v>46286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46286</v>
      </c>
      <c r="F484" t="inlineStr">
        <is>
          <t>VÄSTRA GÖTALANDS LÄN</t>
        </is>
      </c>
      <c r="G484" t="inlineStr">
        <is>
          <t>BORÅS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45670</v>
      </c>
      <c r="E485" s="1" t="n">
        <v>46286</v>
      </c>
      <c r="F485" t="inlineStr">
        <is>
          <t>VÄSTRA GÖTALANDS LÄN</t>
        </is>
      </c>
      <c r="G485" t="inlineStr">
        <is>
          <t>BORÅS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70988-2021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44538</v>
      </c>
      <c r="E486" s="1" t="n">
        <v>46286</v>
      </c>
      <c r="F486" t="inlineStr">
        <is>
          <t>VÄSTRA GÖTALANDS LÄN</t>
        </is>
      </c>
      <c r="G486" t="inlineStr">
        <is>
          <t>BORÅS</t>
        </is>
      </c>
      <c r="H486" t="inlineStr">
        <is>
          <t>Kommuner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46286</v>
      </c>
      <c r="F487" t="inlineStr">
        <is>
          <t>VÄSTRA GÖTALANDS LÄN</t>
        </is>
      </c>
      <c r="G487" t="inlineStr">
        <is>
          <t>BORÅS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46286</v>
      </c>
      <c r="F488" t="inlineStr">
        <is>
          <t>VÄSTRA GÖTALANDS LÄN</t>
        </is>
      </c>
      <c r="G488" t="inlineStr">
        <is>
          <t>BORÅS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46286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36016-2025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45863</v>
      </c>
      <c r="E490" s="1" t="n">
        <v>46286</v>
      </c>
      <c r="F490" t="inlineStr">
        <is>
          <t>VÄSTRA GÖTALANDS LÄN</t>
        </is>
      </c>
      <c r="G490" t="inlineStr">
        <is>
          <t>BORÅS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46286</v>
      </c>
      <c r="F491" t="inlineStr">
        <is>
          <t>VÄSTRA GÖTALANDS LÄN</t>
        </is>
      </c>
      <c r="G491" t="inlineStr">
        <is>
          <t>BORÅS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46246</v>
      </c>
      <c r="E492" s="1" t="n">
        <v>46286</v>
      </c>
      <c r="F492" t="inlineStr">
        <is>
          <t>VÄSTRA GÖTALANDS LÄN</t>
        </is>
      </c>
      <c r="G492" t="inlineStr">
        <is>
          <t>BORÅS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46246</v>
      </c>
      <c r="E493" s="1" t="n">
        <v>46286</v>
      </c>
      <c r="F493" t="inlineStr">
        <is>
          <t>VÄSTRA GÖTALANDS LÄN</t>
        </is>
      </c>
      <c r="G493" t="inlineStr">
        <is>
          <t>BORÅS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46286</v>
      </c>
      <c r="F494" t="inlineStr">
        <is>
          <t>VÄSTRA GÖTALANDS LÄN</t>
        </is>
      </c>
      <c r="G494" t="inlineStr">
        <is>
          <t>BORÅS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45364</v>
      </c>
      <c r="E495" s="1" t="n">
        <v>46286</v>
      </c>
      <c r="F495" t="inlineStr">
        <is>
          <t>VÄSTRA GÖTALANDS LÄN</t>
        </is>
      </c>
      <c r="G495" t="inlineStr">
        <is>
          <t>BORÅS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46286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46286</v>
      </c>
      <c r="F497" t="inlineStr">
        <is>
          <t>VÄSTRA GÖTALANDS LÄN</t>
        </is>
      </c>
      <c r="G497" t="inlineStr">
        <is>
          <t>BORÅS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46286</v>
      </c>
      <c r="F498" t="inlineStr">
        <is>
          <t>VÄSTRA GÖTALANDS LÄN</t>
        </is>
      </c>
      <c r="G498" t="inlineStr">
        <is>
          <t>BORÅS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46286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44577</v>
      </c>
      <c r="E500" s="1" t="n">
        <v>46286</v>
      </c>
      <c r="F500" t="inlineStr">
        <is>
          <t>VÄSTRA GÖTALANDS LÄN</t>
        </is>
      </c>
      <c r="G500" t="inlineStr">
        <is>
          <t>BORÅS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27335-2024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45472</v>
      </c>
      <c r="E501" s="1" t="n">
        <v>46286</v>
      </c>
      <c r="F501" t="inlineStr">
        <is>
          <t>VÄSTRA GÖTALANDS LÄN</t>
        </is>
      </c>
      <c r="G501" t="inlineStr">
        <is>
          <t>BORÅS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46286</v>
      </c>
      <c r="F502" t="inlineStr">
        <is>
          <t>VÄSTRA GÖTALANDS LÄN</t>
        </is>
      </c>
      <c r="G502" t="inlineStr">
        <is>
          <t>BORÅS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46286</v>
      </c>
      <c r="F503" t="inlineStr">
        <is>
          <t>VÄSTRA GÖTALANDS LÄN</t>
        </is>
      </c>
      <c r="G503" t="inlineStr">
        <is>
          <t>BORÅS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45636</v>
      </c>
      <c r="E504" s="1" t="n">
        <v>46286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46286</v>
      </c>
      <c r="F505" t="inlineStr">
        <is>
          <t>VÄSTRA GÖTALANDS LÄN</t>
        </is>
      </c>
      <c r="G505" t="inlineStr">
        <is>
          <t>BORÅS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46286</v>
      </c>
      <c r="F506" t="inlineStr">
        <is>
          <t>VÄSTRA GÖTALANDS LÄN</t>
        </is>
      </c>
      <c r="G506" t="inlineStr">
        <is>
          <t>BORÅS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46286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62532-2022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44916</v>
      </c>
      <c r="E508" s="1" t="n">
        <v>46286</v>
      </c>
      <c r="F508" t="inlineStr">
        <is>
          <t>VÄSTRA GÖTALANDS LÄN</t>
        </is>
      </c>
      <c r="G508" t="inlineStr">
        <is>
          <t>BORÅS</t>
        </is>
      </c>
      <c r="I508" t="n">
        <v>9.800000000000001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46286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32453-2023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46286</v>
      </c>
      <c r="F510" t="inlineStr">
        <is>
          <t>VÄSTRA GÖTALANDS LÄN</t>
        </is>
      </c>
      <c r="G510" t="inlineStr">
        <is>
          <t>BORÅS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58483-2024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46286</v>
      </c>
      <c r="F511" t="inlineStr">
        <is>
          <t>VÄSTRA GÖTALANDS LÄN</t>
        </is>
      </c>
      <c r="G511" t="inlineStr">
        <is>
          <t>BORÅS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46253</v>
      </c>
      <c r="E512" s="1" t="n">
        <v>46286</v>
      </c>
      <c r="F512" t="inlineStr">
        <is>
          <t>VÄSTRA GÖTALANDS LÄN</t>
        </is>
      </c>
      <c r="G512" t="inlineStr">
        <is>
          <t>BORÅS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43573-2022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46286</v>
      </c>
      <c r="F513" t="inlineStr">
        <is>
          <t>VÄSTRA GÖTALANDS LÄN</t>
        </is>
      </c>
      <c r="G513" t="inlineStr">
        <is>
          <t>BORÅS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45048</v>
      </c>
      <c r="E514" s="1" t="n">
        <v>46286</v>
      </c>
      <c r="F514" t="inlineStr">
        <is>
          <t>VÄSTRA GÖTALANDS LÄN</t>
        </is>
      </c>
      <c r="G514" t="inlineStr">
        <is>
          <t>BORÅS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28171-2022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44746</v>
      </c>
      <c r="E515" s="1" t="n">
        <v>46286</v>
      </c>
      <c r="F515" t="inlineStr">
        <is>
          <t>VÄSTRA GÖTALANDS LÄN</t>
        </is>
      </c>
      <c r="G515" t="inlineStr">
        <is>
          <t>BORÅS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46286</v>
      </c>
      <c r="F516" t="inlineStr">
        <is>
          <t>VÄSTRA GÖTALANDS LÄN</t>
        </is>
      </c>
      <c r="G516" t="inlineStr">
        <is>
          <t>BORÅS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46286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32237-2023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46286</v>
      </c>
      <c r="F518" t="inlineStr">
        <is>
          <t>VÄSTRA GÖTALANDS LÄN</t>
        </is>
      </c>
      <c r="G518" t="inlineStr">
        <is>
          <t>BORÅS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45516</v>
      </c>
      <c r="E519" s="1" t="n">
        <v>46286</v>
      </c>
      <c r="F519" t="inlineStr">
        <is>
          <t>VÄSTRA GÖTALANDS LÄN</t>
        </is>
      </c>
      <c r="G519" t="inlineStr">
        <is>
          <t>BORÅS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46286</v>
      </c>
      <c r="F520" t="inlineStr">
        <is>
          <t>VÄSTRA GÖTALANDS LÄN</t>
        </is>
      </c>
      <c r="G520" t="inlineStr">
        <is>
          <t>BORÅS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46286</v>
      </c>
      <c r="F521" t="inlineStr">
        <is>
          <t>VÄSTRA GÖTALANDS LÄN</t>
        </is>
      </c>
      <c r="G521" t="inlineStr">
        <is>
          <t>BORÅS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46286</v>
      </c>
      <c r="F522" t="inlineStr">
        <is>
          <t>VÄSTRA GÖTALANDS LÄN</t>
        </is>
      </c>
      <c r="G522" t="inlineStr">
        <is>
          <t>BORÅS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46286</v>
      </c>
      <c r="F523" t="inlineStr">
        <is>
          <t>VÄSTRA GÖTALANDS LÄN</t>
        </is>
      </c>
      <c r="G523" t="inlineStr">
        <is>
          <t>BORÅS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46286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32241-2023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45119</v>
      </c>
      <c r="E525" s="1" t="n">
        <v>46286</v>
      </c>
      <c r="F525" t="inlineStr">
        <is>
          <t>VÄSTRA GÖTALANDS LÄN</t>
        </is>
      </c>
      <c r="G525" t="inlineStr">
        <is>
          <t>BORÅS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45421</v>
      </c>
      <c r="E526" s="1" t="n">
        <v>46286</v>
      </c>
      <c r="F526" t="inlineStr">
        <is>
          <t>VÄSTRA GÖTALANDS LÄN</t>
        </is>
      </c>
      <c r="G526" t="inlineStr">
        <is>
          <t>BORÅS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46286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45194</v>
      </c>
      <c r="E528" s="1" t="n">
        <v>46286</v>
      </c>
      <c r="F528" t="inlineStr">
        <is>
          <t>VÄSTRA GÖTALANDS LÄN</t>
        </is>
      </c>
      <c r="G528" t="inlineStr">
        <is>
          <t>BORÅS</t>
        </is>
      </c>
      <c r="I528" t="n">
        <v>11.7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46217</v>
      </c>
      <c r="E529" s="1" t="n">
        <v>46286</v>
      </c>
      <c r="F529" t="inlineStr">
        <is>
          <t>VÄSTRA GÖTALANDS LÄN</t>
        </is>
      </c>
      <c r="G529" t="inlineStr">
        <is>
          <t>BORÅS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46286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45119</v>
      </c>
      <c r="E531" s="1" t="n">
        <v>46286</v>
      </c>
      <c r="F531" t="inlineStr">
        <is>
          <t>VÄSTRA GÖTALANDS LÄN</t>
        </is>
      </c>
      <c r="G531" t="inlineStr">
        <is>
          <t>BORÅS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46286</v>
      </c>
      <c r="F532" t="inlineStr">
        <is>
          <t>VÄSTRA GÖTALANDS LÄN</t>
        </is>
      </c>
      <c r="G532" t="inlineStr">
        <is>
          <t>BORÅS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44748</v>
      </c>
      <c r="E533" s="1" t="n">
        <v>46286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Kommuner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46286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Sveaskog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46286</v>
      </c>
      <c r="F535" t="inlineStr">
        <is>
          <t>VÄSTRA GÖTALANDS LÄN</t>
        </is>
      </c>
      <c r="G535" t="inlineStr">
        <is>
          <t>BORÅS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46260</v>
      </c>
      <c r="E536" s="1" t="n">
        <v>46286</v>
      </c>
      <c r="F536" t="inlineStr">
        <is>
          <t>VÄSTRA GÖTALANDS LÄN</t>
        </is>
      </c>
      <c r="G536" t="inlineStr">
        <is>
          <t>BORÅS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46286</v>
      </c>
      <c r="F537" t="inlineStr">
        <is>
          <t>VÄSTRA GÖTALANDS LÄN</t>
        </is>
      </c>
      <c r="G537" t="inlineStr">
        <is>
          <t>BORÅS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46286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46286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46286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46286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Kommuner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60931-2022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44914</v>
      </c>
      <c r="E542" s="1" t="n">
        <v>46286</v>
      </c>
      <c r="F542" t="inlineStr">
        <is>
          <t>VÄSTRA GÖTALANDS LÄN</t>
        </is>
      </c>
      <c r="G542" t="inlineStr">
        <is>
          <t>BORÅS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46286</v>
      </c>
      <c r="F543" t="inlineStr">
        <is>
          <t>VÄSTRA GÖTALANDS LÄN</t>
        </is>
      </c>
      <c r="G543" t="inlineStr">
        <is>
          <t>BORÅS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46286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45741</v>
      </c>
      <c r="E545" s="1" t="n">
        <v>46286</v>
      </c>
      <c r="F545" t="inlineStr">
        <is>
          <t>VÄSTRA GÖTALANDS LÄN</t>
        </is>
      </c>
      <c r="G545" t="inlineStr">
        <is>
          <t>BORÅS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36210-2026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46286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46286</v>
      </c>
      <c r="F547" t="inlineStr">
        <is>
          <t>VÄSTRA GÖTALANDS LÄN</t>
        </is>
      </c>
      <c r="G547" t="inlineStr">
        <is>
          <t>BORÅS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46286</v>
      </c>
      <c r="F548" t="inlineStr">
        <is>
          <t>VÄSTRA GÖTALANDS LÄN</t>
        </is>
      </c>
      <c r="G548" t="inlineStr">
        <is>
          <t>BORÅS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45593</v>
      </c>
      <c r="E549" s="1" t="n">
        <v>46286</v>
      </c>
      <c r="F549" t="inlineStr">
        <is>
          <t>VÄSTRA GÖTALANDS LÄN</t>
        </is>
      </c>
      <c r="G549" t="inlineStr">
        <is>
          <t>BORÅS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46439-2024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45582</v>
      </c>
      <c r="E550" s="1" t="n">
        <v>46286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46286</v>
      </c>
      <c r="F551" t="inlineStr">
        <is>
          <t>VÄSTRA GÖTALANDS LÄN</t>
        </is>
      </c>
      <c r="G551" t="inlineStr">
        <is>
          <t>BORÅS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45294</v>
      </c>
      <c r="E552" s="1" t="n">
        <v>46286</v>
      </c>
      <c r="F552" t="inlineStr">
        <is>
          <t>VÄSTRA GÖTALANDS LÄN</t>
        </is>
      </c>
      <c r="G552" t="inlineStr">
        <is>
          <t>BORÅS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46286</v>
      </c>
      <c r="F553" t="inlineStr">
        <is>
          <t>VÄSTRA GÖTALANDS LÄN</t>
        </is>
      </c>
      <c r="G553" t="inlineStr">
        <is>
          <t>BORÅS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46286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45294</v>
      </c>
      <c r="E555" s="1" t="n">
        <v>46286</v>
      </c>
      <c r="F555" t="inlineStr">
        <is>
          <t>VÄSTRA GÖTALANDS LÄN</t>
        </is>
      </c>
      <c r="G555" t="inlineStr">
        <is>
          <t>BORÅS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45294</v>
      </c>
      <c r="E556" s="1" t="n">
        <v>46286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46286</v>
      </c>
      <c r="F557" t="inlineStr">
        <is>
          <t>VÄSTRA GÖTALANDS LÄN</t>
        </is>
      </c>
      <c r="G557" t="inlineStr">
        <is>
          <t>BORÅS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46286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46286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46286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46286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46286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46286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46286</v>
      </c>
      <c r="F564" t="inlineStr">
        <is>
          <t>VÄSTRA GÖTALANDS LÄN</t>
        </is>
      </c>
      <c r="G564" t="inlineStr">
        <is>
          <t>BORÅS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46286</v>
      </c>
      <c r="F565" t="inlineStr">
        <is>
          <t>VÄSTRA GÖTALANDS LÄN</t>
        </is>
      </c>
      <c r="G565" t="inlineStr">
        <is>
          <t>BORÅS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46286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46286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46286</v>
      </c>
      <c r="F568" t="inlineStr">
        <is>
          <t>VÄSTRA GÖTALANDS LÄN</t>
        </is>
      </c>
      <c r="G568" t="inlineStr">
        <is>
          <t>BORÅS</t>
        </is>
      </c>
      <c r="H568" t="inlineStr">
        <is>
          <t>Kommuner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46286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46286</v>
      </c>
      <c r="F570" t="inlineStr">
        <is>
          <t>VÄSTRA GÖTALANDS LÄN</t>
        </is>
      </c>
      <c r="G570" t="inlineStr">
        <is>
          <t>BORÅS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46286</v>
      </c>
      <c r="F571" t="inlineStr">
        <is>
          <t>VÄSTRA GÖTALANDS LÄN</t>
        </is>
      </c>
      <c r="G571" t="inlineStr">
        <is>
          <t>BORÅS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46286</v>
      </c>
      <c r="F572" t="inlineStr">
        <is>
          <t>VÄSTRA GÖTALANDS LÄN</t>
        </is>
      </c>
      <c r="G572" t="inlineStr">
        <is>
          <t>BORÅS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46286</v>
      </c>
      <c r="F573" t="inlineStr">
        <is>
          <t>VÄSTRA GÖTALANDS LÄN</t>
        </is>
      </c>
      <c r="G573" t="inlineStr">
        <is>
          <t>BORÅS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23504-2025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46286</v>
      </c>
      <c r="F574" t="inlineStr">
        <is>
          <t>VÄSTRA GÖTALANDS LÄN</t>
        </is>
      </c>
      <c r="G574" t="inlineStr">
        <is>
          <t>BORÅS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46286</v>
      </c>
      <c r="F575" t="inlineStr">
        <is>
          <t>VÄSTRA GÖTALANDS LÄN</t>
        </is>
      </c>
      <c r="G575" t="inlineStr">
        <is>
          <t>BORÅS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45798</v>
      </c>
      <c r="E576" s="1" t="n">
        <v>46286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46286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25338-2025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46286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45803</v>
      </c>
      <c r="E579" s="1" t="n">
        <v>46286</v>
      </c>
      <c r="F579" t="inlineStr">
        <is>
          <t>VÄSTRA GÖTALANDS LÄN</t>
        </is>
      </c>
      <c r="G579" t="inlineStr">
        <is>
          <t>BORÅS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46286</v>
      </c>
      <c r="F580" t="inlineStr">
        <is>
          <t>VÄSTRA GÖTALANDS LÄN</t>
        </is>
      </c>
      <c r="G580" t="inlineStr">
        <is>
          <t>BORÅS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45274</v>
      </c>
      <c r="E581" s="1" t="n">
        <v>46286</v>
      </c>
      <c r="F581" t="inlineStr">
        <is>
          <t>VÄSTRA GÖTALANDS LÄN</t>
        </is>
      </c>
      <c r="G581" t="inlineStr">
        <is>
          <t>BORÅS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46286</v>
      </c>
      <c r="F582" t="inlineStr">
        <is>
          <t>VÄSTRA GÖTALANDS LÄN</t>
        </is>
      </c>
      <c r="G582" t="inlineStr">
        <is>
          <t>BORÅS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14777-2022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44656</v>
      </c>
      <c r="E583" s="1" t="n">
        <v>46286</v>
      </c>
      <c r="F583" t="inlineStr">
        <is>
          <t>VÄSTRA GÖTALANDS LÄN</t>
        </is>
      </c>
      <c r="G583" t="inlineStr">
        <is>
          <t>BORÅS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45812</v>
      </c>
      <c r="E584" s="1" t="n">
        <v>46286</v>
      </c>
      <c r="F584" t="inlineStr">
        <is>
          <t>VÄSTRA GÖTALANDS LÄN</t>
        </is>
      </c>
      <c r="G584" t="inlineStr">
        <is>
          <t>BORÅS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27274-2025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46286</v>
      </c>
      <c r="F585" t="inlineStr">
        <is>
          <t>VÄSTRA GÖTALANDS LÄN</t>
        </is>
      </c>
      <c r="G585" t="inlineStr">
        <is>
          <t>BORÅS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27370-2025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45812</v>
      </c>
      <c r="E586" s="1" t="n">
        <v>46286</v>
      </c>
      <c r="F586" t="inlineStr">
        <is>
          <t>VÄSTRA GÖTALANDS LÄN</t>
        </is>
      </c>
      <c r="G586" t="inlineStr">
        <is>
          <t>BORÅS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46420-2024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45582</v>
      </c>
      <c r="E587" s="1" t="n">
        <v>46286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46286</v>
      </c>
      <c r="F588" t="inlineStr">
        <is>
          <t>VÄSTRA GÖTALANDS LÄN</t>
        </is>
      </c>
      <c r="G588" t="inlineStr">
        <is>
          <t>BORÅS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46286</v>
      </c>
      <c r="F589" t="inlineStr">
        <is>
          <t>VÄSTRA GÖTALANDS LÄN</t>
        </is>
      </c>
      <c r="G589" t="inlineStr">
        <is>
          <t>BORÅS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13436-2025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45735</v>
      </c>
      <c r="E590" s="1" t="n">
        <v>46286</v>
      </c>
      <c r="F590" t="inlineStr">
        <is>
          <t>VÄSTRA GÖTALANDS LÄN</t>
        </is>
      </c>
      <c r="G590" t="inlineStr">
        <is>
          <t>BORÅS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28536-2025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46286</v>
      </c>
      <c r="F591" t="inlineStr">
        <is>
          <t>VÄSTRA GÖTALANDS LÄN</t>
        </is>
      </c>
      <c r="G591" t="inlineStr">
        <is>
          <t>BORÅS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46286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46286</v>
      </c>
      <c r="F593" t="inlineStr">
        <is>
          <t>VÄSTRA GÖTALANDS LÄN</t>
        </is>
      </c>
      <c r="G593" t="inlineStr">
        <is>
          <t>BORÅS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45472</v>
      </c>
      <c r="E594" s="1" t="n">
        <v>46286</v>
      </c>
      <c r="F594" t="inlineStr">
        <is>
          <t>VÄSTRA GÖTALANDS LÄN</t>
        </is>
      </c>
      <c r="G594" t="inlineStr">
        <is>
          <t>BORÅS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29209-2025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45823</v>
      </c>
      <c r="E595" s="1" t="n">
        <v>46286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45727</v>
      </c>
      <c r="E596" s="1" t="n">
        <v>46286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46286</v>
      </c>
      <c r="F597" t="inlineStr">
        <is>
          <t>VÄSTRA GÖTALANDS LÄN</t>
        </is>
      </c>
      <c r="G597" t="inlineStr">
        <is>
          <t>BORÅS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46286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46286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45720</v>
      </c>
      <c r="E600" s="1" t="n">
        <v>46286</v>
      </c>
      <c r="F600" t="inlineStr">
        <is>
          <t>VÄSTRA GÖTALANDS LÄN</t>
        </is>
      </c>
      <c r="G600" t="inlineStr">
        <is>
          <t>BORÅS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45723</v>
      </c>
      <c r="E601" s="1" t="n">
        <v>46286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30312-2025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45827</v>
      </c>
      <c r="E602" s="1" t="n">
        <v>46286</v>
      </c>
      <c r="F602" t="inlineStr">
        <is>
          <t>VÄSTRA GÖTALANDS LÄN</t>
        </is>
      </c>
      <c r="G602" t="inlineStr">
        <is>
          <t>BORÅS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45832</v>
      </c>
      <c r="E603" s="1" t="n">
        <v>46286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46286</v>
      </c>
      <c r="F604" t="inlineStr">
        <is>
          <t>VÄSTRA GÖTALANDS LÄN</t>
        </is>
      </c>
      <c r="G604" t="inlineStr">
        <is>
          <t>BORÅS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46286</v>
      </c>
      <c r="F605" t="inlineStr">
        <is>
          <t>VÄSTRA GÖTALANDS LÄN</t>
        </is>
      </c>
      <c r="G605" t="inlineStr">
        <is>
          <t>BORÅS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45839</v>
      </c>
      <c r="E606" s="1" t="n">
        <v>46286</v>
      </c>
      <c r="F606" t="inlineStr">
        <is>
          <t>VÄSTRA GÖTALANDS LÄN</t>
        </is>
      </c>
      <c r="G606" t="inlineStr">
        <is>
          <t>BORÅS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32323-2025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45836</v>
      </c>
      <c r="E607" s="1" t="n">
        <v>46286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32322-2025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45836</v>
      </c>
      <c r="E608" s="1" t="n">
        <v>46286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46286</v>
      </c>
      <c r="F609" t="inlineStr">
        <is>
          <t>VÄSTRA GÖTALANDS LÄN</t>
        </is>
      </c>
      <c r="G609" t="inlineStr">
        <is>
          <t>BORÅS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46286</v>
      </c>
      <c r="F610" t="inlineStr">
        <is>
          <t>VÄSTRA GÖTALANDS LÄN</t>
        </is>
      </c>
      <c r="G610" t="inlineStr">
        <is>
          <t>BORÅS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45846</v>
      </c>
      <c r="E611" s="1" t="n">
        <v>46286</v>
      </c>
      <c r="F611" t="inlineStr">
        <is>
          <t>VÄSTRA GÖTALANDS LÄN</t>
        </is>
      </c>
      <c r="G611" t="inlineStr">
        <is>
          <t>BORÅS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45848</v>
      </c>
      <c r="E612" s="1" t="n">
        <v>46286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46286</v>
      </c>
      <c r="F613" t="inlineStr">
        <is>
          <t>VÄSTRA GÖTALANDS LÄN</t>
        </is>
      </c>
      <c r="G613" t="inlineStr">
        <is>
          <t>BORÅS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45866</v>
      </c>
      <c r="E614" s="1" t="n">
        <v>46286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54361-2022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44882</v>
      </c>
      <c r="E615" s="1" t="n">
        <v>46286</v>
      </c>
      <c r="F615" t="inlineStr">
        <is>
          <t>VÄSTRA GÖTALANDS LÄN</t>
        </is>
      </c>
      <c r="G615" t="inlineStr">
        <is>
          <t>BORÅS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52904-2024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46286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43185-2024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45567</v>
      </c>
      <c r="E617" s="1" t="n">
        <v>46286</v>
      </c>
      <c r="F617" t="inlineStr">
        <is>
          <t>VÄSTRA GÖTALANDS LÄN</t>
        </is>
      </c>
      <c r="G617" t="inlineStr">
        <is>
          <t>BORÅS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53204-2024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45612</v>
      </c>
      <c r="E618" s="1" t="n">
        <v>46286</v>
      </c>
      <c r="F618" t="inlineStr">
        <is>
          <t>VÄSTRA GÖTALANDS LÄN</t>
        </is>
      </c>
      <c r="G618" t="inlineStr">
        <is>
          <t>BORÅS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37413-2025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45877</v>
      </c>
      <c r="E619" s="1" t="n">
        <v>46286</v>
      </c>
      <c r="F619" t="inlineStr">
        <is>
          <t>VÄSTRA GÖTALANDS LÄN</t>
        </is>
      </c>
      <c r="G619" t="inlineStr">
        <is>
          <t>BORÅS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46286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46286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46286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46286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46286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7239-2021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44466</v>
      </c>
      <c r="E625" s="1" t="n">
        <v>46286</v>
      </c>
      <c r="F625" t="inlineStr">
        <is>
          <t>VÄSTRA GÖTALANDS LÄN</t>
        </is>
      </c>
      <c r="G625" t="inlineStr">
        <is>
          <t>BORÅS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46286</v>
      </c>
      <c r="F626" t="inlineStr">
        <is>
          <t>VÄSTRA GÖTALANDS LÄN</t>
        </is>
      </c>
      <c r="G626" t="inlineStr">
        <is>
          <t>BORÅS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6156-2022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44865</v>
      </c>
      <c r="E627" s="1" t="n">
        <v>46286</v>
      </c>
      <c r="F627" t="inlineStr">
        <is>
          <t>VÄSTRA GÖTALANDS LÄN</t>
        </is>
      </c>
      <c r="G627" t="inlineStr">
        <is>
          <t>BORÅS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4259-2023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45257</v>
      </c>
      <c r="E628" s="1" t="n">
        <v>46286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2970-2023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46286</v>
      </c>
      <c r="F629" t="inlineStr">
        <is>
          <t>VÄSTRA GÖTALANDS LÄN</t>
        </is>
      </c>
      <c r="G629" t="inlineStr">
        <is>
          <t>BORÅS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1559-2022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44642</v>
      </c>
      <c r="E630" s="1" t="n">
        <v>46286</v>
      </c>
      <c r="F630" t="inlineStr">
        <is>
          <t>VÄSTRA GÖTALANDS LÄN</t>
        </is>
      </c>
      <c r="G630" t="inlineStr">
        <is>
          <t>BORÅS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46286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3027-2024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45513</v>
      </c>
      <c r="E632" s="1" t="n">
        <v>46286</v>
      </c>
      <c r="F632" t="inlineStr">
        <is>
          <t>VÄSTRA GÖTALANDS LÄN</t>
        </is>
      </c>
      <c r="G632" t="inlineStr">
        <is>
          <t>BORÅS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2814-2022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44706</v>
      </c>
      <c r="E633" s="1" t="n">
        <v>46286</v>
      </c>
      <c r="F633" t="inlineStr">
        <is>
          <t>VÄSTRA GÖTALANDS LÄN</t>
        </is>
      </c>
      <c r="G633" t="inlineStr">
        <is>
          <t>BORÅS</t>
        </is>
      </c>
      <c r="H633" t="inlineStr">
        <is>
          <t>Kyrkan</t>
        </is>
      </c>
      <c r="I633" t="n">
        <v>39.7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2972-2023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45173</v>
      </c>
      <c r="E634" s="1" t="n">
        <v>46286</v>
      </c>
      <c r="F634" t="inlineStr">
        <is>
          <t>VÄSTRA GÖTALANDS LÄN</t>
        </is>
      </c>
      <c r="G634" t="inlineStr">
        <is>
          <t>BORÅS</t>
        </is>
      </c>
      <c r="I634" t="n">
        <v>30.4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6937-2022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46286</v>
      </c>
      <c r="F635" t="inlineStr">
        <is>
          <t>VÄSTRA GÖTALANDS LÄN</t>
        </is>
      </c>
      <c r="G635" t="inlineStr">
        <is>
          <t>BORÅS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3398-2024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45534</v>
      </c>
      <c r="E636" s="1" t="n">
        <v>46286</v>
      </c>
      <c r="F636" t="inlineStr">
        <is>
          <t>VÄSTRA GÖTALANDS LÄN</t>
        </is>
      </c>
      <c r="G636" t="inlineStr">
        <is>
          <t>BORÅS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7266-2021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44468</v>
      </c>
      <c r="E637" s="1" t="n">
        <v>46286</v>
      </c>
      <c r="F637" t="inlineStr">
        <is>
          <t>VÄSTRA GÖTALANDS LÄN</t>
        </is>
      </c>
      <c r="G637" t="inlineStr">
        <is>
          <t>BORÅS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1800-2025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45814</v>
      </c>
      <c r="E638" s="1" t="n">
        <v>46286</v>
      </c>
      <c r="F638" t="inlineStr">
        <is>
          <t>VÄSTRA GÖTALANDS LÄN</t>
        </is>
      </c>
      <c r="G638" t="inlineStr">
        <is>
          <t>BORÅS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1640-2024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45429</v>
      </c>
      <c r="E639" s="1" t="n">
        <v>46286</v>
      </c>
      <c r="F639" t="inlineStr">
        <is>
          <t>VÄSTRA GÖTALANDS LÄN</t>
        </is>
      </c>
      <c r="G639" t="inlineStr">
        <is>
          <t>BORÅS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1979-2025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45831</v>
      </c>
      <c r="E640" s="1" t="n">
        <v>46286</v>
      </c>
      <c r="F640" t="inlineStr">
        <is>
          <t>VÄSTRA GÖTALANDS LÄN</t>
        </is>
      </c>
      <c r="G640" t="inlineStr">
        <is>
          <t>BORÅS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2374-2025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45890</v>
      </c>
      <c r="E641" s="1" t="n">
        <v>46286</v>
      </c>
      <c r="F641" t="inlineStr">
        <is>
          <t>VÄSTRA GÖTALANDS LÄN</t>
        </is>
      </c>
      <c r="G641" t="inlineStr">
        <is>
          <t>BORÅS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3201-2025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45979</v>
      </c>
      <c r="E642" s="1" t="n">
        <v>46286</v>
      </c>
      <c r="F642" t="inlineStr">
        <is>
          <t>VÄSTRA GÖTALANDS LÄN</t>
        </is>
      </c>
      <c r="G642" t="inlineStr">
        <is>
          <t>BORÅS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944-2025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46286</v>
      </c>
      <c r="F643" t="inlineStr">
        <is>
          <t>VÄSTRA GÖTALANDS LÄN</t>
        </is>
      </c>
      <c r="G643" t="inlineStr">
        <is>
          <t>BORÅS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943-2025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45740</v>
      </c>
      <c r="E644" s="1" t="n">
        <v>46286</v>
      </c>
      <c r="F644" t="inlineStr">
        <is>
          <t>VÄSTRA GÖTALANDS LÄN</t>
        </is>
      </c>
      <c r="G644" t="inlineStr">
        <is>
          <t>BORÅS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2453-2023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45127</v>
      </c>
      <c r="E645" s="1" t="n">
        <v>46286</v>
      </c>
      <c r="F645" t="inlineStr">
        <is>
          <t>VÄSTRA GÖTALANDS LÄN</t>
        </is>
      </c>
      <c r="G645" t="inlineStr">
        <is>
          <t>BORÅS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471-2026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46073</v>
      </c>
      <c r="E646" s="1" t="n">
        <v>46286</v>
      </c>
      <c r="F646" t="inlineStr">
        <is>
          <t>VÄSTRA GÖTALANDS LÄN</t>
        </is>
      </c>
      <c r="G646" t="inlineStr">
        <is>
          <t>BORÅS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560-2026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46083</v>
      </c>
      <c r="E647" s="1" t="n">
        <v>46286</v>
      </c>
      <c r="F647" t="inlineStr">
        <is>
          <t>VÄSTRA GÖTALANDS LÄN</t>
        </is>
      </c>
      <c r="G647" t="inlineStr">
        <is>
          <t>BORÅS</t>
        </is>
      </c>
      <c r="I647" t="n">
        <v>17.6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2026-09-21T02:00:09Z</dcterms:created>
  <dcterms:modified xmlns:dcterms="http://purl.org/dc/terms/" xmlns:xsi="http://www.w3.org/2001/XMLSchema-instance" xsi:type="dcterms:W3CDTF">2026-09-21T02:00:09Z</dcterms:modified>
</cp:coreProperties>
</file>