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45741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45741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62027-2021</t>
        </is>
      </c>
      <c r="B4" s="1" t="n">
        <v>44501</v>
      </c>
      <c r="C4" s="1" t="n">
        <v>45741</v>
      </c>
      <c r="D4" t="inlineStr">
        <is>
          <t>VÄSTRA GÖTALANDS LÄN</t>
        </is>
      </c>
      <c r="E4" t="inlineStr">
        <is>
          <t>BORÅS</t>
        </is>
      </c>
      <c r="G4" t="n">
        <v>4.2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Svartvit taggsvamp
Blåmossa
Stor revmossa</t>
        </is>
      </c>
      <c r="S4">
        <f>HYPERLINK("https://klasma.github.io/Logging_1490/artfynd/A 62027-2021 artfynd.xlsx", "A 62027-2021")</f>
        <v/>
      </c>
      <c r="T4">
        <f>HYPERLINK("https://klasma.github.io/Logging_1490/kartor/A 62027-2021 karta.png", "A 62027-2021")</f>
        <v/>
      </c>
      <c r="V4">
        <f>HYPERLINK("https://klasma.github.io/Logging_1490/klagomål/A 62027-2021 FSC-klagomål.docx", "A 62027-2021")</f>
        <v/>
      </c>
      <c r="W4">
        <f>HYPERLINK("https://klasma.github.io/Logging_1490/klagomålsmail/A 62027-2021 FSC-klagomål mail.docx", "A 62027-2021")</f>
        <v/>
      </c>
      <c r="X4">
        <f>HYPERLINK("https://klasma.github.io/Logging_1490/tillsyn/A 62027-2021 tillsynsbegäran.docx", "A 62027-2021")</f>
        <v/>
      </c>
      <c r="Y4">
        <f>HYPERLINK("https://klasma.github.io/Logging_1490/tillsynsmail/A 62027-2021 tillsynsbegäran mail.docx", "A 62027-2021")</f>
        <v/>
      </c>
      <c r="Z4">
        <f>HYPERLINK("https://klasma.github.io/Logging_1490/fåglar/A 62027-2021 prioriterade fågelarter.docx", "A 62027-2021")</f>
        <v/>
      </c>
    </row>
    <row r="5" ht="15" customHeight="1">
      <c r="A5" t="inlineStr">
        <is>
          <t>A 34634-2024</t>
        </is>
      </c>
      <c r="B5" s="1" t="n">
        <v>45526</v>
      </c>
      <c r="C5" s="1" t="n">
        <v>45741</v>
      </c>
      <c r="D5" t="inlineStr">
        <is>
          <t>VÄSTRA GÖTALANDS LÄN</t>
        </is>
      </c>
      <c r="E5" t="inlineStr">
        <is>
          <t>BORÅS</t>
        </is>
      </c>
      <c r="G5" t="n">
        <v>6.2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Dvärgpipistrell
Större brunfladdermus</t>
        </is>
      </c>
      <c r="S5">
        <f>HYPERLINK("https://klasma.github.io/Logging_1490/artfynd/A 34634-2024 artfynd.xlsx", "A 34634-2024")</f>
        <v/>
      </c>
      <c r="T5">
        <f>HYPERLINK("https://klasma.github.io/Logging_1490/kartor/A 34634-2024 karta.png", "A 34634-2024")</f>
        <v/>
      </c>
      <c r="V5">
        <f>HYPERLINK("https://klasma.github.io/Logging_1490/klagomål/A 34634-2024 FSC-klagomål.docx", "A 34634-2024")</f>
        <v/>
      </c>
      <c r="W5">
        <f>HYPERLINK("https://klasma.github.io/Logging_1490/klagomålsmail/A 34634-2024 FSC-klagomål mail.docx", "A 34634-2024")</f>
        <v/>
      </c>
      <c r="X5">
        <f>HYPERLINK("https://klasma.github.io/Logging_1490/tillsyn/A 34634-2024 tillsynsbegäran.docx", "A 34634-2024")</f>
        <v/>
      </c>
      <c r="Y5">
        <f>HYPERLINK("https://klasma.github.io/Logging_1490/tillsynsmail/A 34634-2024 tillsynsbegäran mail.docx", "A 34634-2024")</f>
        <v/>
      </c>
    </row>
    <row r="6" ht="15" customHeight="1">
      <c r="A6" t="inlineStr">
        <is>
          <t>A 20145-2021</t>
        </is>
      </c>
      <c r="B6" s="1" t="n">
        <v>44314</v>
      </c>
      <c r="C6" s="1" t="n">
        <v>45741</v>
      </c>
      <c r="D6" t="inlineStr">
        <is>
          <t>VÄSTRA GÖTALANDS LÄN</t>
        </is>
      </c>
      <c r="E6" t="inlineStr">
        <is>
          <t>BORÅS</t>
        </is>
      </c>
      <c r="G6" t="n">
        <v>5.8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Stor revmossa
Tibast
Västlig hakmossa</t>
        </is>
      </c>
      <c r="S6">
        <f>HYPERLINK("https://klasma.github.io/Logging_1490/artfynd/A 20145-2021 artfynd.xlsx", "A 20145-2021")</f>
        <v/>
      </c>
      <c r="T6">
        <f>HYPERLINK("https://klasma.github.io/Logging_1490/kartor/A 20145-2021 karta.png", "A 20145-2021")</f>
        <v/>
      </c>
      <c r="V6">
        <f>HYPERLINK("https://klasma.github.io/Logging_1490/klagomål/A 20145-2021 FSC-klagomål.docx", "A 20145-2021")</f>
        <v/>
      </c>
      <c r="W6">
        <f>HYPERLINK("https://klasma.github.io/Logging_1490/klagomålsmail/A 20145-2021 FSC-klagomål mail.docx", "A 20145-2021")</f>
        <v/>
      </c>
      <c r="X6">
        <f>HYPERLINK("https://klasma.github.io/Logging_1490/tillsyn/A 20145-2021 tillsynsbegäran.docx", "A 20145-2021")</f>
        <v/>
      </c>
      <c r="Y6">
        <f>HYPERLINK("https://klasma.github.io/Logging_1490/tillsynsmail/A 20145-2021 tillsynsbegäran mail.docx", "A 20145-2021")</f>
        <v/>
      </c>
    </row>
    <row r="7" ht="15" customHeight="1">
      <c r="A7" t="inlineStr">
        <is>
          <t>A 51423-2024</t>
        </is>
      </c>
      <c r="B7" s="1" t="n">
        <v>45604</v>
      </c>
      <c r="C7" s="1" t="n">
        <v>45741</v>
      </c>
      <c r="D7" t="inlineStr">
        <is>
          <t>VÄSTRA GÖTALANDS LÄN</t>
        </is>
      </c>
      <c r="E7" t="inlineStr">
        <is>
          <t>BORÅS</t>
        </is>
      </c>
      <c r="G7" t="n">
        <v>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Svart taggsvamp
Nattviol</t>
        </is>
      </c>
      <c r="S7">
        <f>HYPERLINK("https://klasma.github.io/Logging_1490/artfynd/A 51423-2024 artfynd.xlsx", "A 51423-2024")</f>
        <v/>
      </c>
      <c r="T7">
        <f>HYPERLINK("https://klasma.github.io/Logging_1490/kartor/A 51423-2024 karta.png", "A 51423-2024")</f>
        <v/>
      </c>
      <c r="U7">
        <f>HYPERLINK("https://klasma.github.io/Logging_1490/knärot/A 51423-2024 karta knärot.png", "A 51423-2024")</f>
        <v/>
      </c>
      <c r="V7">
        <f>HYPERLINK("https://klasma.github.io/Logging_1490/klagomål/A 51423-2024 FSC-klagomål.docx", "A 51423-2024")</f>
        <v/>
      </c>
      <c r="W7">
        <f>HYPERLINK("https://klasma.github.io/Logging_1490/klagomålsmail/A 51423-2024 FSC-klagomål mail.docx", "A 51423-2024")</f>
        <v/>
      </c>
      <c r="X7">
        <f>HYPERLINK("https://klasma.github.io/Logging_1490/tillsyn/A 51423-2024 tillsynsbegäran.docx", "A 51423-2024")</f>
        <v/>
      </c>
      <c r="Y7">
        <f>HYPERLINK("https://klasma.github.io/Logging_1490/tillsynsmail/A 51423-2024 tillsynsbegäran mail.docx", "A 51423-2024")</f>
        <v/>
      </c>
    </row>
    <row r="8" ht="15" customHeight="1">
      <c r="A8" t="inlineStr">
        <is>
          <t>A 22215-2019</t>
        </is>
      </c>
      <c r="B8" s="1" t="n">
        <v>43585</v>
      </c>
      <c r="C8" s="1" t="n">
        <v>45741</v>
      </c>
      <c r="D8" t="inlineStr">
        <is>
          <t>VÄSTRA GÖTALANDS LÄN</t>
        </is>
      </c>
      <c r="E8" t="inlineStr">
        <is>
          <t>BORÅS</t>
        </is>
      </c>
      <c r="G8" t="n">
        <v>7.7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Revlummer</t>
        </is>
      </c>
      <c r="S8">
        <f>HYPERLINK("https://klasma.github.io/Logging_1490/artfynd/A 22215-2019 artfynd.xlsx", "A 22215-2019")</f>
        <v/>
      </c>
      <c r="T8">
        <f>HYPERLINK("https://klasma.github.io/Logging_1490/kartor/A 22215-2019 karta.png", "A 22215-2019")</f>
        <v/>
      </c>
      <c r="V8">
        <f>HYPERLINK("https://klasma.github.io/Logging_1490/klagomål/A 22215-2019 FSC-klagomål.docx", "A 22215-2019")</f>
        <v/>
      </c>
      <c r="W8">
        <f>HYPERLINK("https://klasma.github.io/Logging_1490/klagomålsmail/A 22215-2019 FSC-klagomål mail.docx", "A 22215-2019")</f>
        <v/>
      </c>
      <c r="X8">
        <f>HYPERLINK("https://klasma.github.io/Logging_1490/tillsyn/A 22215-2019 tillsynsbegäran.docx", "A 22215-2019")</f>
        <v/>
      </c>
      <c r="Y8">
        <f>HYPERLINK("https://klasma.github.io/Logging_1490/tillsynsmail/A 22215-2019 tillsynsbegäran mail.docx", "A 22215-2019")</f>
        <v/>
      </c>
      <c r="Z8">
        <f>HYPERLINK("https://klasma.github.io/Logging_1490/fåglar/A 22215-2019 prioriterade fågelarter.docx", "A 22215-2019")</f>
        <v/>
      </c>
    </row>
    <row r="9" ht="15" customHeight="1">
      <c r="A9" t="inlineStr">
        <is>
          <t>A 31881-2019</t>
        </is>
      </c>
      <c r="B9" s="1" t="n">
        <v>43641</v>
      </c>
      <c r="C9" s="1" t="n">
        <v>45741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HYPERLINK("https://klasma.github.io/Logging_1490/artfynd/A 31881-2019 artfynd.xlsx", "A 31881-2019")</f>
        <v/>
      </c>
      <c r="T9">
        <f>HYPERLINK("https://klasma.github.io/Logging_1490/kartor/A 31881-2019 karta.png", "A 31881-2019")</f>
        <v/>
      </c>
      <c r="V9">
        <f>HYPERLINK("https://klasma.github.io/Logging_1490/klagomål/A 31881-2019 FSC-klagomål.docx", "A 31881-2019")</f>
        <v/>
      </c>
      <c r="W9">
        <f>HYPERLINK("https://klasma.github.io/Logging_1490/klagomålsmail/A 31881-2019 FSC-klagomål mail.docx", "A 31881-2019")</f>
        <v/>
      </c>
      <c r="X9">
        <f>HYPERLINK("https://klasma.github.io/Logging_1490/tillsyn/A 31881-2019 tillsynsbegäran.docx", "A 31881-2019")</f>
        <v/>
      </c>
      <c r="Y9">
        <f>HYPERLINK("https://klasma.github.io/Logging_1490/tillsynsmail/A 31881-2019 tillsynsbegäran mail.docx", "A 31881-2019")</f>
        <v/>
      </c>
      <c r="Z9">
        <f>HYPERLINK("https://klasma.github.io/Logging_1490/fåglar/A 31881-2019 prioriterade fågelarter.docx", "A 31881-2019")</f>
        <v/>
      </c>
    </row>
    <row r="10" ht="15" customHeight="1">
      <c r="A10" t="inlineStr">
        <is>
          <t>A 14675-2020</t>
        </is>
      </c>
      <c r="B10" s="1" t="n">
        <v>43909</v>
      </c>
      <c r="C10" s="1" t="n">
        <v>45741</v>
      </c>
      <c r="D10" t="inlineStr">
        <is>
          <t>VÄSTRA GÖTALANDS LÄN</t>
        </is>
      </c>
      <c r="E10" t="inlineStr">
        <is>
          <t>BORÅS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Blodvaxskivling
Spröd vaxskivling</t>
        </is>
      </c>
      <c r="S10">
        <f>HYPERLINK("https://klasma.github.io/Logging_1490/artfynd/A 14675-2020 artfynd.xlsx", "A 14675-2020")</f>
        <v/>
      </c>
      <c r="T10">
        <f>HYPERLINK("https://klasma.github.io/Logging_1490/kartor/A 14675-2020 karta.png", "A 14675-2020")</f>
        <v/>
      </c>
      <c r="V10">
        <f>HYPERLINK("https://klasma.github.io/Logging_1490/klagomål/A 14675-2020 FSC-klagomål.docx", "A 14675-2020")</f>
        <v/>
      </c>
      <c r="W10">
        <f>HYPERLINK("https://klasma.github.io/Logging_1490/klagomålsmail/A 14675-2020 FSC-klagomål mail.docx", "A 14675-2020")</f>
        <v/>
      </c>
      <c r="X10">
        <f>HYPERLINK("https://klasma.github.io/Logging_1490/tillsyn/A 14675-2020 tillsynsbegäran.docx", "A 14675-2020")</f>
        <v/>
      </c>
      <c r="Y10">
        <f>HYPERLINK("https://klasma.github.io/Logging_1490/tillsynsmail/A 14675-2020 tillsynsbegäran mail.docx", "A 14675-2020")</f>
        <v/>
      </c>
    </row>
    <row r="11" ht="15" customHeight="1">
      <c r="A11" t="inlineStr">
        <is>
          <t>A 23726-2020</t>
        </is>
      </c>
      <c r="B11" s="1" t="n">
        <v>43970</v>
      </c>
      <c r="C11" s="1" t="n">
        <v>45741</v>
      </c>
      <c r="D11" t="inlineStr">
        <is>
          <t>VÄSTRA GÖTALANDS LÄN</t>
        </is>
      </c>
      <c r="E11" t="inlineStr">
        <is>
          <t>BORÅS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Vanlig padda</t>
        </is>
      </c>
      <c r="S11">
        <f>HYPERLINK("https://klasma.github.io/Logging_1490/artfynd/A 23726-2020 artfynd.xlsx", "A 23726-2020")</f>
        <v/>
      </c>
      <c r="T11">
        <f>HYPERLINK("https://klasma.github.io/Logging_1490/kartor/A 23726-2020 karta.png", "A 23726-2020")</f>
        <v/>
      </c>
      <c r="V11">
        <f>HYPERLINK("https://klasma.github.io/Logging_1490/klagomål/A 23726-2020 FSC-klagomål.docx", "A 23726-2020")</f>
        <v/>
      </c>
      <c r="W11">
        <f>HYPERLINK("https://klasma.github.io/Logging_1490/klagomålsmail/A 23726-2020 FSC-klagomål mail.docx", "A 23726-2020")</f>
        <v/>
      </c>
      <c r="X11">
        <f>HYPERLINK("https://klasma.github.io/Logging_1490/tillsyn/A 23726-2020 tillsynsbegäran.docx", "A 23726-2020")</f>
        <v/>
      </c>
      <c r="Y11">
        <f>HYPERLINK("https://klasma.github.io/Logging_1490/tillsynsmail/A 23726-2020 tillsynsbegäran mail.docx", "A 23726-2020")</f>
        <v/>
      </c>
      <c r="Z11">
        <f>HYPERLINK("https://klasma.github.io/Logging_1490/fåglar/A 23726-2020 prioriterade fågelarter.docx", "A 23726-2020")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45741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45741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47911-2023</t>
        </is>
      </c>
      <c r="B14" s="1" t="n">
        <v>45204</v>
      </c>
      <c r="C14" s="1" t="n">
        <v>45741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45741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45741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61052-2019</t>
        </is>
      </c>
      <c r="B17" s="1" t="n">
        <v>43782</v>
      </c>
      <c r="C17" s="1" t="n">
        <v>45741</v>
      </c>
      <c r="D17" t="inlineStr">
        <is>
          <t>VÄSTRA GÖTALANDS LÄN</t>
        </is>
      </c>
      <c r="E17" t="inlineStr">
        <is>
          <t>BORÅS</t>
        </is>
      </c>
      <c r="G17" t="n">
        <v>18.5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HYPERLINK("https://klasma.github.io/Logging_1490/artfynd/A 61052-2019 artfynd.xlsx", "A 61052-2019")</f>
        <v/>
      </c>
      <c r="T17">
        <f>HYPERLINK("https://klasma.github.io/Logging_1490/kartor/A 61052-2019 karta.png", "A 61052-2019")</f>
        <v/>
      </c>
      <c r="V17">
        <f>HYPERLINK("https://klasma.github.io/Logging_1490/klagomål/A 61052-2019 FSC-klagomål.docx", "A 61052-2019")</f>
        <v/>
      </c>
      <c r="W17">
        <f>HYPERLINK("https://klasma.github.io/Logging_1490/klagomålsmail/A 61052-2019 FSC-klagomål mail.docx", "A 61052-2019")</f>
        <v/>
      </c>
      <c r="X17">
        <f>HYPERLINK("https://klasma.github.io/Logging_1490/tillsyn/A 61052-2019 tillsynsbegäran.docx", "A 61052-2019")</f>
        <v/>
      </c>
      <c r="Y17">
        <f>HYPERLINK("https://klasma.github.io/Logging_1490/tillsynsmail/A 61052-2019 tillsynsbegäran mail.docx", "A 61052-2019")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45741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45741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45741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45741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45741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45741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45741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45741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45741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45741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45741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45741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45741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45741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45741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45741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45741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45741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45741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45741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45741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45741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45741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45741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45741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45741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45741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45741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45741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45741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45741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45741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45741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45741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45741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45741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45741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45741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45741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45741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45741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45741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45741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45741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45741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45741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45741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45741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45741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45741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45741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45741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45741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45741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45741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45741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45741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45741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45741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45741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45741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45741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45741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45741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45741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45741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45741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45741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45741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45741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45741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45741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45741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45741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45741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45741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45741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45741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45741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45741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45741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45741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45741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45741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45741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45741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45741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45741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45741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45741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45741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45741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45741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45741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45741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45741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45741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45741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45741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45741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45741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45741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45741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45741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45741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45741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45741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45741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45741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45741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45741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45741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45741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45741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45741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45741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45741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45741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45741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45741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45741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45741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45741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45741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45741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45741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45741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45741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45741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45741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45741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45741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45741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45741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45741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45741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45741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45741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45741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45741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45741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45741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45741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45741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45741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45741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45741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45741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45741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45741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45741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45741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45741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45741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45741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45741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45741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45741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45741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45741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45741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45741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45741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45741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45741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45741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45741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45741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45741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45741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45741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45741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45741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45741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45741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45741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45741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45741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45741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45741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45741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45741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45741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45741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45741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45741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45741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45741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45741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45741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45741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45741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45741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45741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45741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45741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45741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45741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45741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45741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45741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45741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45741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45741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45741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45741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45741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45741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45741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45741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45741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45741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45741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45741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45741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45741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45741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45741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45741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45741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45741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45741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45741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45741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45741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45741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45741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45741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45741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45741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45741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45741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45741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45741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45741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45741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45741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45741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45741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45741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45741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45741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45741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45741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45741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45741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45741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45741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45741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45741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45741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45741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45741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45741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45741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45741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45741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45741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45741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45741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45741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45741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45741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45741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45741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45741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45741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45741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45741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45741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45741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45741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45741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45741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45741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45741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45741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45741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45741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45741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45741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45741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45741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45741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45741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45741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45741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45741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45741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45741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45741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45741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45741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45741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45741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45741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45741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45741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45741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45741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45741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45741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45741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45741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45741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45741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45741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45741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45741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45741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45741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45741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45741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45741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45741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45741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45741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45741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45741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45741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45741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45741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45741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45741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45741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45741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45741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45741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45741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45741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45741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45741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45741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45741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45741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45741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45741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45741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45741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45741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45741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45741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45741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45741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45741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45741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45741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45741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45741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45741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45741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45741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45741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45741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45741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45741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45741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45741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45741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45741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45741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45741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45741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45741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45741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45741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45741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45741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45741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45741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45741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45741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45741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45741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45741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45741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45741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45741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45741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45741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45741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45741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45741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45741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45741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45741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45741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45741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45741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45741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45741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45741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45741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45741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45741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45741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45741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45741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45741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45741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45741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45741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45741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45741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45741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45741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45741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45741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45741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45741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45741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45741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45741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45741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45741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45741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45741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45741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45741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45741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45741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45741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45741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45741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45741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45741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45741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45741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45741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45741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45741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45741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45741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45741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45741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45741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45741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45741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45741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45741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45741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45741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45741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45741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45741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45741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45741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45741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45741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45741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45741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45741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45741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45741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45741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45741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45741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45741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45741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45741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45741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45741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45741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45741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45741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45741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45741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45741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45741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45741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45741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45741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45741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45741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45741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45741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45741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45741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45741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45741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45741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45741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45741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45741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45741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45741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45741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45741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45741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45741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45741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45741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45741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45741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45741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45741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45741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45741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45741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45741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45741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45741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45741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45741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45741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45741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45741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45741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45741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45741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45741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45741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45741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45741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45741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45741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45741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45741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45741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45741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45741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45741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45741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45741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45741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45741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45741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45741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45741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45741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45741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45741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45741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45741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45741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45741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45741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45741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45741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45741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45741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45741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45741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45741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45741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45741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45741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45741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45741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45741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45741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45741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45741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45741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45741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45741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45741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45741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45741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45741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45741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45741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45741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45741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45741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45741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45741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45741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45741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45741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45741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45741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45741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45741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45741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45741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45741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45741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45741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45741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45741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45741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45741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45741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45741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45741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45741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45741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45741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45741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45741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45741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45741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45741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45741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45741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45741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45741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45741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45741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45741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45741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45741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45741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45741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45741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45741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45741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45741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45741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45741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45741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45741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45741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45741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45741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45741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45741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45741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45741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45741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45741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45741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45741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45741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45741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45741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45741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45741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45741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45741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45741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45741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45741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45741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45741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45741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45741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45741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45741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45741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45741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45741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45741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45741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45741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45741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45741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45741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45741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45741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45741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45741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45741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45741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45741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45741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45741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45741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45741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45741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45741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45741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45741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45741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45741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45741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45741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45741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45741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45741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45741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45741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45741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45741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45741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45741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45741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45741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45741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45741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45741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45741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45741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45741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45741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45741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45741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45741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45741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45741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45741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45741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45741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45741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45741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45741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45741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45741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45741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45741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45741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45741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45741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45741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45741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45741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45741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45741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45741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45741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45741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45741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45741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45741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45741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45741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45741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45741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45741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45741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45741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45741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45741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45741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45741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45741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45741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45741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45741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45741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45741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45741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45741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45741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45741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45741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45741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45741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45741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45741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45741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45741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45741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45741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45741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45741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45741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45741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45741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45741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45741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45741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45741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45741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45741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45741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45741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45741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45741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45741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45741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45741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45741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45741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45741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45741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45741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45741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45741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45741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45741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45741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45741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45741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45741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45741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45741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45741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45741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45741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45741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45741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45741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45741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45741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45741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45741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45741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45741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45741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45741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45741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45741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45741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45741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45741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45741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45741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45741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45741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45741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45741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45741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45741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45741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45741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45741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45741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45741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45741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45741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45741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45741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45741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45741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45741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45741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45741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45741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45741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45741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45741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45741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45741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45741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45741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45741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45741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45741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45741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45741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45741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45741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45741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45741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45741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45741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45741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45741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45741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45741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45741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45741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45741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45741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45741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45741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45741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45741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45741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45741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45741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45741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45741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45741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45741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45741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45741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45741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45741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45741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45741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45741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45741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45741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45741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45741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45741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45741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45741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45741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45741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45741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45741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45741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45741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45741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45741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45741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45741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45741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45741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45741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45741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45741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45741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45741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45741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45741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45741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45741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45741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45741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45741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45741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45741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45741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45741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45741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45741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45741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45741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45741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45741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45741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45741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45741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45741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45741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45741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45741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45741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45741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45741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45741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45741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45741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45741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45741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45741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45741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45741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45741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45741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45741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45741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45741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45741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45741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45741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45741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45741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45741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45741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45741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45741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45741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45741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45741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45741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45741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45741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45741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45741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45741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45741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45741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45741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45741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45741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45741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45741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45741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45741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45741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45741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45741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45741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45741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45741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45741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45741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45741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45741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45741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45741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45741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45741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45741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45741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45741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45741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45741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45741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45741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45741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45741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45741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45741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45741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45741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45741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45741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45741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45741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45741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45741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45741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45741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45741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45741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45741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45741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45741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45741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45741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45741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11445-2025</t>
        </is>
      </c>
      <c r="B1016" s="1" t="n">
        <v>45726</v>
      </c>
      <c r="C1016" s="1" t="n">
        <v>45741</v>
      </c>
      <c r="D1016" t="inlineStr">
        <is>
          <t>VÄSTRA GÖTALANDS LÄN</t>
        </is>
      </c>
      <c r="E1016" t="inlineStr">
        <is>
          <t>BORÅS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45741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11718-2025</t>
        </is>
      </c>
      <c r="B1018" s="1" t="n">
        <v>45727</v>
      </c>
      <c r="C1018" s="1" t="n">
        <v>45741</v>
      </c>
      <c r="D1018" t="inlineStr">
        <is>
          <t>VÄSTRA GÖTALANDS LÄN</t>
        </is>
      </c>
      <c r="E1018" t="inlineStr">
        <is>
          <t>BORÅS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45741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11759-2025</t>
        </is>
      </c>
      <c r="B1020" s="1" t="n">
        <v>45727</v>
      </c>
      <c r="C1020" s="1" t="n">
        <v>45741</v>
      </c>
      <c r="D1020" t="inlineStr">
        <is>
          <t>VÄSTRA GÖTALANDS LÄN</t>
        </is>
      </c>
      <c r="E1020" t="inlineStr">
        <is>
          <t>BORÅS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11770-2025</t>
        </is>
      </c>
      <c r="B1021" s="1" t="n">
        <v>45727</v>
      </c>
      <c r="C1021" s="1" t="n">
        <v>45741</v>
      </c>
      <c r="D1021" t="inlineStr">
        <is>
          <t>VÄSTRA GÖTALANDS LÄN</t>
        </is>
      </c>
      <c r="E1021" t="inlineStr">
        <is>
          <t>BORÅS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45741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12512-2025</t>
        </is>
      </c>
      <c r="B1023" s="1" t="n">
        <v>45730</v>
      </c>
      <c r="C1023" s="1" t="n">
        <v>45741</v>
      </c>
      <c r="D1023" t="inlineStr">
        <is>
          <t>VÄSTRA GÖTALANDS LÄN</t>
        </is>
      </c>
      <c r="E1023" t="inlineStr">
        <is>
          <t>BORÅS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12484-2025</t>
        </is>
      </c>
      <c r="B1024" s="1" t="n">
        <v>45730</v>
      </c>
      <c r="C1024" s="1" t="n">
        <v>45741</v>
      </c>
      <c r="D1024" t="inlineStr">
        <is>
          <t>VÄSTRA GÖTALANDS LÄN</t>
        </is>
      </c>
      <c r="E1024" t="inlineStr">
        <is>
          <t>BORÅS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45741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45741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13436-2025</t>
        </is>
      </c>
      <c r="B1027" s="1" t="n">
        <v>45735</v>
      </c>
      <c r="C1027" s="1" t="n">
        <v>45741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14003-2025</t>
        </is>
      </c>
      <c r="B1028" s="1" t="n">
        <v>45740</v>
      </c>
      <c r="C1028" s="1" t="n">
        <v>45741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2025-03-25T17:50:00Z</dcterms:created>
  <dcterms:modified xmlns:dcterms="http://purl.org/dc/terms/" xmlns:xsi="http://www.w3.org/2001/XMLSchema-instance" xsi:type="dcterms:W3CDTF">2025-03-25T17:50:01Z</dcterms:modified>
</cp:coreProperties>
</file>