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45665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45665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45665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51423-2024</t>
        </is>
      </c>
      <c r="B5" s="1" t="n">
        <v>45604</v>
      </c>
      <c r="C5" s="1" t="n">
        <v>45665</v>
      </c>
      <c r="D5" t="inlineStr">
        <is>
          <t>VÄSTRA GÖTALANDS LÄN</t>
        </is>
      </c>
      <c r="E5" t="inlineStr">
        <is>
          <t>BORÅS</t>
        </is>
      </c>
      <c r="G5" t="n">
        <v>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Svart taggsvamp
Nattviol</t>
        </is>
      </c>
      <c r="S5">
        <f>HYPERLINK("https://klasma.github.io/Logging_1490/artfynd/A 51423-2024 artfynd.xlsx", "A 51423-2024")</f>
        <v/>
      </c>
      <c r="T5">
        <f>HYPERLINK("https://klasma.github.io/Logging_1490/kartor/A 51423-2024 karta.png", "A 51423-2024")</f>
        <v/>
      </c>
      <c r="U5">
        <f>HYPERLINK("https://klasma.github.io/Logging_1490/knärot/A 51423-2024 karta knärot.png", "A 51423-2024")</f>
        <v/>
      </c>
      <c r="V5">
        <f>HYPERLINK("https://klasma.github.io/Logging_1490/klagomål/A 51423-2024 FSC-klagomål.docx", "A 51423-2024")</f>
        <v/>
      </c>
      <c r="W5">
        <f>HYPERLINK("https://klasma.github.io/Logging_1490/klagomålsmail/A 51423-2024 FSC-klagomål mail.docx", "A 51423-2024")</f>
        <v/>
      </c>
      <c r="X5">
        <f>HYPERLINK("https://klasma.github.io/Logging_1490/tillsyn/A 51423-2024 tillsynsbegäran.docx", "A 51423-2024")</f>
        <v/>
      </c>
      <c r="Y5">
        <f>HYPERLINK("https://klasma.github.io/Logging_1490/tillsynsmail/A 51423-2024 tillsynsbegäran mail.docx", "A 51423-2024")</f>
        <v/>
      </c>
    </row>
    <row r="6" ht="15" customHeight="1">
      <c r="A6" t="inlineStr">
        <is>
          <t>A 22215-2019</t>
        </is>
      </c>
      <c r="B6" s="1" t="n">
        <v>43585</v>
      </c>
      <c r="C6" s="1" t="n">
        <v>45665</v>
      </c>
      <c r="D6" t="inlineStr">
        <is>
          <t>VÄSTRA GÖTALANDS LÄN</t>
        </is>
      </c>
      <c r="E6" t="inlineStr">
        <is>
          <t>BORÅS</t>
        </is>
      </c>
      <c r="G6" t="n">
        <v>7.7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Revlummer</t>
        </is>
      </c>
      <c r="S6">
        <f>HYPERLINK("https://klasma.github.io/Logging_1490/artfynd/A 22215-2019 artfynd.xlsx", "A 22215-2019")</f>
        <v/>
      </c>
      <c r="T6">
        <f>HYPERLINK("https://klasma.github.io/Logging_1490/kartor/A 22215-2019 karta.png", "A 22215-2019")</f>
        <v/>
      </c>
      <c r="V6">
        <f>HYPERLINK("https://klasma.github.io/Logging_1490/klagomål/A 22215-2019 FSC-klagomål.docx", "A 22215-2019")</f>
        <v/>
      </c>
      <c r="W6">
        <f>HYPERLINK("https://klasma.github.io/Logging_1490/klagomålsmail/A 22215-2019 FSC-klagomål mail.docx", "A 22215-2019")</f>
        <v/>
      </c>
      <c r="X6">
        <f>HYPERLINK("https://klasma.github.io/Logging_1490/tillsyn/A 22215-2019 tillsynsbegäran.docx", "A 22215-2019")</f>
        <v/>
      </c>
      <c r="Y6">
        <f>HYPERLINK("https://klasma.github.io/Logging_1490/tillsynsmail/A 22215-2019 tillsynsbegäran mail.docx", "A 22215-2019")</f>
        <v/>
      </c>
      <c r="Z6">
        <f>HYPERLINK("https://klasma.github.io/Logging_1490/fåglar/A 22215-2019 prioriterade fågelarter.docx", "A 22215-2019")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45665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45665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45665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45665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45665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45665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45665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45665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3706-2024</t>
        </is>
      </c>
      <c r="B15" s="1" t="n">
        <v>45321</v>
      </c>
      <c r="C15" s="1" t="n">
        <v>45665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8.699999999999999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HYPERLINK("https://klasma.github.io/Logging_1490/artfynd/A 3706-2024 artfynd.xlsx", "A 3706-2024")</f>
        <v/>
      </c>
      <c r="T15">
        <f>HYPERLINK("https://klasma.github.io/Logging_1490/kartor/A 3706-2024 karta.png", "A 3706-2024")</f>
        <v/>
      </c>
      <c r="V15">
        <f>HYPERLINK("https://klasma.github.io/Logging_1490/klagomål/A 3706-2024 FSC-klagomål.docx", "A 3706-2024")</f>
        <v/>
      </c>
      <c r="W15">
        <f>HYPERLINK("https://klasma.github.io/Logging_1490/klagomålsmail/A 3706-2024 FSC-klagomål mail.docx", "A 3706-2024")</f>
        <v/>
      </c>
      <c r="X15">
        <f>HYPERLINK("https://klasma.github.io/Logging_1490/tillsyn/A 3706-2024 tillsynsbegäran.docx", "A 3706-2024")</f>
        <v/>
      </c>
      <c r="Y15">
        <f>HYPERLINK("https://klasma.github.io/Logging_1490/tillsynsmail/A 3706-2024 tillsynsbegäran mail.docx", "A 3706-2024")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45665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28682-2024</t>
        </is>
      </c>
      <c r="B17" s="1" t="n">
        <v>45478</v>
      </c>
      <c r="C17" s="1" t="n">
        <v>45665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45665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45665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45665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45665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45665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45665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62027-2021</t>
        </is>
      </c>
      <c r="B24" s="1" t="n">
        <v>44501</v>
      </c>
      <c r="C24" s="1" t="n">
        <v>45665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HYPERLINK("https://klasma.github.io/Logging_1490/artfynd/A 62027-2021 artfynd.xlsx", "A 62027-2021")</f>
        <v/>
      </c>
      <c r="T24">
        <f>HYPERLINK("https://klasma.github.io/Logging_1490/kartor/A 62027-2021 karta.png", "A 62027-2021")</f>
        <v/>
      </c>
      <c r="V24">
        <f>HYPERLINK("https://klasma.github.io/Logging_1490/klagomål/A 62027-2021 FSC-klagomål.docx", "A 62027-2021")</f>
        <v/>
      </c>
      <c r="W24">
        <f>HYPERLINK("https://klasma.github.io/Logging_1490/klagomålsmail/A 62027-2021 FSC-klagomål mail.docx", "A 62027-2021")</f>
        <v/>
      </c>
      <c r="X24">
        <f>HYPERLINK("https://klasma.github.io/Logging_1490/tillsyn/A 62027-2021 tillsynsbegäran.docx", "A 62027-2021")</f>
        <v/>
      </c>
      <c r="Y24">
        <f>HYPERLINK("https://klasma.github.io/Logging_1490/tillsynsmail/A 62027-2021 tillsynsbegäran mail.docx", "A 62027-2021")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45665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45665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45665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45665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45665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45665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45665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45665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45665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45665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45665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45665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45665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31980-2024</t>
        </is>
      </c>
      <c r="B38" s="1" t="n">
        <v>45510</v>
      </c>
      <c r="C38" s="1" t="n">
        <v>45665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45665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45665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45665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45665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45665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45665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45665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45665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45665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45665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45665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45665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45665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45665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45665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45665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45665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45665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45665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45665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45665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45665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45665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45665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45665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45665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45665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45665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45665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45665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45665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45665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45665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45665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45665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45665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45665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45665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45665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45665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45665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45665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45665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45665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45665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45665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45665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45665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45665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45665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45665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45665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45665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45665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45665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45665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45665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45665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45665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45665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45665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45665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45665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45665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45665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45665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45665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45665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45665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45665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45665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45665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45665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45665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45665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45665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45665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45665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45665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45665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45665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45665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45665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45665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45665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45665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45665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45665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45665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45665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45665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45665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45665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45665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45665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45665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45665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45665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45665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45665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45665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45665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45665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45665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45665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45665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45665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45665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45665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45665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45665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45665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45665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45665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45665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45665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45665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45665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45665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45665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45665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45665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45665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45665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45665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45665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45665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45665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45665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45665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45665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45665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45665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45665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45665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45665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45665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45665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45665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45665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45665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45665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45665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45665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45665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45665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45665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45665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45665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45665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45665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45665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45665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45665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45665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45665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45665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45665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45665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45665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45665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45665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45665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45665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45665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45665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45665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45665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45665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45665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45665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45665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45665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45665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45665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45665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45665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45665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45665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45665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45665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45665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45665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45665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45665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45665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45665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45665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45665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45665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45665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45665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45665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45665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45665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45665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45665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45665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45665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45665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45665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45665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45665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45665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45665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45665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45665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45665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45665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45665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45665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45665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45665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45665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45665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45665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45665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45665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45665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45665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45665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45665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45665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45665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45665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45665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45665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45665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45665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45665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45665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45665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45665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45665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45665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45665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45665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45665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45665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45665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45665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45665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45665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45665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45665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45665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45665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45665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45665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45665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45665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45665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45665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45665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45665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45665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45665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45665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45665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45665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45665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45665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45665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45665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45665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45665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45665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45665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45665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45665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45665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45665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45665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45665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45665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45665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45665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45665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45665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45665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45665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45665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45665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45665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45665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45665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45665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45665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45665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45665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45665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45665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45665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45665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45665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45665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45665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45665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45665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45665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45665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45665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45665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45665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45665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45665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45665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45665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45665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45665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45665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45665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45665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45665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45665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45665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45665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45665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45665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45665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45665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45665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45665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45665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45665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45665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45665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45665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45665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45665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45665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45665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45665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45665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45665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45665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45665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45665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45665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45665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45665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45665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45665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45665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45665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45665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45665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45665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45665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45665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45665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45665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45665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45665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45665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45665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45665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45665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45665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45665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45665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45665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45665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45665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45665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45665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45665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45665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45665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45665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45665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45665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45665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45665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45665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45665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45665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45665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45665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45665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45665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45665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45665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45665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45665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45665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45665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45665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45665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45665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45665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45665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45665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45665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45665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45665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45665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45665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45665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45665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45665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45665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45665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45665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45665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45665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45665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45665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45665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45665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45665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45665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45665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45665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45665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45665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45665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45665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45665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45665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45665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45665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45665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45665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45665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45665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45665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45665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45665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45665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45665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45665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45665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45665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45665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45665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45665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45665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45665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45665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45665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45665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45665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45665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45665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45665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45665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45665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45665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45665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45665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45665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45665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45665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45665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45665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45665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45665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45665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45665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45665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45665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45665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45665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45665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45665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45665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45665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45665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45665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45665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45665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45665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45665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45665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45665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45665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45665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45665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45665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45665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45665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45665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45665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45665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45665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45665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45665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45665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45665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45665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45665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45665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45665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45665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45665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45665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45665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45665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45665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45665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45665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45665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45665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45665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45665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45665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45665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45665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45665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45665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45665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45665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45665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45665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45665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45665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45665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45665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45665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45665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45665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45665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45665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45665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45665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45665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45665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45665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45665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45665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45665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45665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45665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45665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45665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45665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45665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45665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45665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45665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45665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45665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45665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45665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45665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45665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45665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45665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45665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45665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45665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45665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45665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45665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45665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45665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45665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45665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45665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45665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45665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45665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45665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45665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45665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45665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45665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45665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45665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45665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45665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45665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45665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45665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45665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45665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45665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45665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45665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45665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45665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45665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45665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45665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45665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45665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45665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45665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45665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45665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45665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45665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45665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45665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45665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45665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45665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45665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45665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45665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45665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45665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45665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45665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45665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45665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45665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45665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45665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45665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45665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45665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45665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45665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45665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45665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45665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45665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45665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45665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45665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45665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45665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45665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45665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45665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45665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45665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45665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45665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45665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45665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45665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45665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45665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45665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45665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45665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45665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45665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45665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45665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45665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45665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45665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45665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45665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45665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45665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45665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45665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45665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45665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45665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45665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45665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45665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45665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45665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45665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45665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45665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45665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45665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45665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45665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45665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45665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45665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45665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45665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45665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45665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45665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45665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45665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45665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45665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45665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45665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45665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45665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45665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45665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45665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45665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45665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45665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45665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45665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45665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45665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45665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45665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45665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45665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45665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45665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45665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45665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45665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45665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45665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45665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45665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45665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45665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45665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45665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45665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45665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45665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45665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45665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45665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45665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45665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45665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45665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45665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45665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45665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45665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45665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45665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45665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45665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45665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45665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45665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45665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45665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45665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45665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45665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45665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45665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45665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45665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45665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45665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45665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45665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45665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45665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45665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45665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45665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45665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45665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45665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45665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45665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45665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45665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45665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45665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45665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45665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45665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45665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45665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45665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45665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45665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45665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45665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45665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45665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45665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45665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45665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45665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45665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45665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45665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45665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45665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45665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45665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45665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45665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45665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45665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45665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45665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45665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45665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45665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45665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45665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45665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45665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45665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45665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45665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45665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45665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45665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45665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45665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45665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45665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45665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45665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45665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45665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45665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45665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45665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45665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45665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45665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45665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45665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45665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45665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45665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45665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45665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45665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45665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45665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45665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45665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45665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45665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45665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45665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45665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45665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45665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45665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45665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45665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45665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45665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45665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45665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45665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45665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45665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45665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45665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45665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45665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45665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45665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45665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45665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45665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45665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45665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45665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45665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45665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45665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45665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45665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45665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45665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45665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45665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45665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45665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45665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45665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45665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45665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45665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45665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45665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45665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45665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45665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45665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45665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45665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45665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55530-2024</t>
        </is>
      </c>
      <c r="B919" s="1" t="n">
        <v>45622</v>
      </c>
      <c r="C919" s="1" t="n">
        <v>45665</v>
      </c>
      <c r="D919" t="inlineStr">
        <is>
          <t>VÄSTRA GÖTALANDS LÄN</t>
        </is>
      </c>
      <c r="E919" t="inlineStr">
        <is>
          <t>BORÅS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55535-2024</t>
        </is>
      </c>
      <c r="B920" s="1" t="n">
        <v>45622</v>
      </c>
      <c r="C920" s="1" t="n">
        <v>45665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55544-2024</t>
        </is>
      </c>
      <c r="B921" s="1" t="n">
        <v>45622</v>
      </c>
      <c r="C921" s="1" t="n">
        <v>45665</v>
      </c>
      <c r="D921" t="inlineStr">
        <is>
          <t>VÄSTRA GÖTALANDS LÄN</t>
        </is>
      </c>
      <c r="E921" t="inlineStr">
        <is>
          <t>BORÅS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45665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45665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45665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45665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45665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45665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57422-2024</t>
        </is>
      </c>
      <c r="B928" s="1" t="n">
        <v>45629</v>
      </c>
      <c r="C928" s="1" t="n">
        <v>45665</v>
      </c>
      <c r="D928" t="inlineStr">
        <is>
          <t>VÄSTRA GÖTALANDS LÄN</t>
        </is>
      </c>
      <c r="E928" t="inlineStr">
        <is>
          <t>BORÅS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57426-2024</t>
        </is>
      </c>
      <c r="B929" s="1" t="n">
        <v>45629</v>
      </c>
      <c r="C929" s="1" t="n">
        <v>45665</v>
      </c>
      <c r="D929" t="inlineStr">
        <is>
          <t>VÄSTRA GÖTALANDS LÄN</t>
        </is>
      </c>
      <c r="E929" t="inlineStr">
        <is>
          <t>BORÅS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57430-2024</t>
        </is>
      </c>
      <c r="B930" s="1" t="n">
        <v>45629</v>
      </c>
      <c r="C930" s="1" t="n">
        <v>45665</v>
      </c>
      <c r="D930" t="inlineStr">
        <is>
          <t>VÄSTRA GÖTALANDS LÄN</t>
        </is>
      </c>
      <c r="E930" t="inlineStr">
        <is>
          <t>BORÅS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57419-2024</t>
        </is>
      </c>
      <c r="B931" s="1" t="n">
        <v>45629</v>
      </c>
      <c r="C931" s="1" t="n">
        <v>45665</v>
      </c>
      <c r="D931" t="inlineStr">
        <is>
          <t>VÄSTRA GÖTALANDS LÄN</t>
        </is>
      </c>
      <c r="E931" t="inlineStr">
        <is>
          <t>BORÅS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57421-2024</t>
        </is>
      </c>
      <c r="B932" s="1" t="n">
        <v>45629</v>
      </c>
      <c r="C932" s="1" t="n">
        <v>45665</v>
      </c>
      <c r="D932" t="inlineStr">
        <is>
          <t>VÄSTRA GÖTALANDS LÄN</t>
        </is>
      </c>
      <c r="E932" t="inlineStr">
        <is>
          <t>BORÅS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57429-2024</t>
        </is>
      </c>
      <c r="B933" s="1" t="n">
        <v>45629</v>
      </c>
      <c r="C933" s="1" t="n">
        <v>45665</v>
      </c>
      <c r="D933" t="inlineStr">
        <is>
          <t>VÄSTRA GÖTALANDS LÄN</t>
        </is>
      </c>
      <c r="E933" t="inlineStr">
        <is>
          <t>BORÅS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57439-2024</t>
        </is>
      </c>
      <c r="B934" s="1" t="n">
        <v>45629</v>
      </c>
      <c r="C934" s="1" t="n">
        <v>45665</v>
      </c>
      <c r="D934" t="inlineStr">
        <is>
          <t>VÄSTRA GÖTALANDS LÄN</t>
        </is>
      </c>
      <c r="E934" t="inlineStr">
        <is>
          <t>BORÅS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57714-2024</t>
        </is>
      </c>
      <c r="B935" s="1" t="n">
        <v>45630</v>
      </c>
      <c r="C935" s="1" t="n">
        <v>45665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45665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57719-2024</t>
        </is>
      </c>
      <c r="B937" s="1" t="n">
        <v>45630</v>
      </c>
      <c r="C937" s="1" t="n">
        <v>45665</v>
      </c>
      <c r="D937" t="inlineStr">
        <is>
          <t>VÄSTRA GÖTALANDS LÄN</t>
        </is>
      </c>
      <c r="E937" t="inlineStr">
        <is>
          <t>BORÅS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45665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58199-2024</t>
        </is>
      </c>
      <c r="B939" s="1" t="n">
        <v>45632</v>
      </c>
      <c r="C939" s="1" t="n">
        <v>45665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58483-2024</t>
        </is>
      </c>
      <c r="B940" s="1" t="n">
        <v>45632</v>
      </c>
      <c r="C940" s="1" t="n">
        <v>45665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45665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59217-2024</t>
        </is>
      </c>
      <c r="B942" s="1" t="n">
        <v>45637</v>
      </c>
      <c r="C942" s="1" t="n">
        <v>45665</v>
      </c>
      <c r="D942" t="inlineStr">
        <is>
          <t>VÄSTRA GÖTALANDS LÄN</t>
        </is>
      </c>
      <c r="E942" t="inlineStr">
        <is>
          <t>BORÅS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59212-2024</t>
        </is>
      </c>
      <c r="B943" s="1" t="n">
        <v>45637</v>
      </c>
      <c r="C943" s="1" t="n">
        <v>45665</v>
      </c>
      <c r="D943" t="inlineStr">
        <is>
          <t>VÄSTRA GÖTALANDS LÄN</t>
        </is>
      </c>
      <c r="E943" t="inlineStr">
        <is>
          <t>BORÅS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59254-2024</t>
        </is>
      </c>
      <c r="B944" s="1" t="n">
        <v>45637</v>
      </c>
      <c r="C944" s="1" t="n">
        <v>45665</v>
      </c>
      <c r="D944" t="inlineStr">
        <is>
          <t>VÄSTRA GÖTALANDS LÄN</t>
        </is>
      </c>
      <c r="E944" t="inlineStr">
        <is>
          <t>BORÅS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59334-2024</t>
        </is>
      </c>
      <c r="B945" s="1" t="n">
        <v>45637</v>
      </c>
      <c r="C945" s="1" t="n">
        <v>45665</v>
      </c>
      <c r="D945" t="inlineStr">
        <is>
          <t>VÄSTRA GÖTALANDS LÄN</t>
        </is>
      </c>
      <c r="E945" t="inlineStr">
        <is>
          <t>BORÅS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59512-2024</t>
        </is>
      </c>
      <c r="B946" s="1" t="n">
        <v>45638</v>
      </c>
      <c r="C946" s="1" t="n">
        <v>45665</v>
      </c>
      <c r="D946" t="inlineStr">
        <is>
          <t>VÄSTRA GÖTALANDS LÄN</t>
        </is>
      </c>
      <c r="E946" t="inlineStr">
        <is>
          <t>BORÅS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59463-2024</t>
        </is>
      </c>
      <c r="B947" s="1" t="n">
        <v>45638</v>
      </c>
      <c r="C947" s="1" t="n">
        <v>45665</v>
      </c>
      <c r="D947" t="inlineStr">
        <is>
          <t>VÄSTRA GÖTALANDS LÄN</t>
        </is>
      </c>
      <c r="E947" t="inlineStr">
        <is>
          <t>BORÅS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59770-2024</t>
        </is>
      </c>
      <c r="B948" s="1" t="n">
        <v>45639</v>
      </c>
      <c r="C948" s="1" t="n">
        <v>45665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60803-2024</t>
        </is>
      </c>
      <c r="B949" s="1" t="n">
        <v>45644</v>
      </c>
      <c r="C949" s="1" t="n">
        <v>45665</v>
      </c>
      <c r="D949" t="inlineStr">
        <is>
          <t>VÄSTRA GÖTALANDS LÄN</t>
        </is>
      </c>
      <c r="E949" t="inlineStr">
        <is>
          <t>BORÅS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60862-2024</t>
        </is>
      </c>
      <c r="B950" s="1" t="n">
        <v>45644</v>
      </c>
      <c r="C950" s="1" t="n">
        <v>45665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61103-2024</t>
        </is>
      </c>
      <c r="B951" s="1" t="n">
        <v>45645</v>
      </c>
      <c r="C951" s="1" t="n">
        <v>45665</v>
      </c>
      <c r="D951" t="inlineStr">
        <is>
          <t>VÄSTRA GÖTALANDS LÄN</t>
        </is>
      </c>
      <c r="E951" t="inlineStr">
        <is>
          <t>BORÅS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61083-2024</t>
        </is>
      </c>
      <c r="B952" s="1" t="n">
        <v>45645</v>
      </c>
      <c r="C952" s="1" t="n">
        <v>45665</v>
      </c>
      <c r="D952" t="inlineStr">
        <is>
          <t>VÄSTRA GÖTALANDS LÄN</t>
        </is>
      </c>
      <c r="E952" t="inlineStr">
        <is>
          <t>BORÅS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61453-2024</t>
        </is>
      </c>
      <c r="B953" s="1" t="n">
        <v>45646</v>
      </c>
      <c r="C953" s="1" t="n">
        <v>45665</v>
      </c>
      <c r="D953" t="inlineStr">
        <is>
          <t>VÄSTRA GÖTALANDS LÄN</t>
        </is>
      </c>
      <c r="E953" t="inlineStr">
        <is>
          <t>BORÅS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61448-2024</t>
        </is>
      </c>
      <c r="B954" s="1" t="n">
        <v>45646</v>
      </c>
      <c r="C954" s="1" t="n">
        <v>45665</v>
      </c>
      <c r="D954" t="inlineStr">
        <is>
          <t>VÄSTRA GÖTALANDS LÄN</t>
        </is>
      </c>
      <c r="E954" t="inlineStr">
        <is>
          <t>BORÅS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61863-2024</t>
        </is>
      </c>
      <c r="B955" s="1" t="n">
        <v>45650</v>
      </c>
      <c r="C955" s="1" t="n">
        <v>45665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>
      <c r="A956" t="inlineStr">
        <is>
          <t>A 244-2025</t>
        </is>
      </c>
      <c r="B956" s="1" t="n">
        <v>45660</v>
      </c>
      <c r="C956" s="1" t="n">
        <v>45665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2025-01-08T15:29:30Z</dcterms:created>
  <dcterms:modified xmlns:dcterms="http://purl.org/dc/terms/" xmlns:xsi="http://www.w3.org/2001/XMLSchema-instance" xsi:type="dcterms:W3CDTF">2025-01-08T15:29:30Z</dcterms:modified>
</cp:coreProperties>
</file>