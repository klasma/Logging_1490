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46238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46238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46238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46238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46238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46238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46238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46238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46238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46238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46238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46238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46238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46238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46238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46238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46238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28586-2022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46238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4.9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Tallriska
Talltita
Brandticka</t>
        </is>
      </c>
      <c r="W25">
        <f>HYPERLINK("https://klasma.github.io/Logging_1490/artfynd/A 28586-2022 artfynd.xlsx", "A 28586-2022")</f>
        <v/>
      </c>
      <c r="X25">
        <f>HYPERLINK("https://klasma.github.io/Logging_1490/kartor/A 28586-2022 karta.png", "A 28586-2022")</f>
        <v/>
      </c>
      <c r="Y25">
        <f>HYPERLINK("https://klasma.github.io/Logging_1490/kartor_geotiff/A 28586-2022 georefererad karta.tif", "A 28586-2022")</f>
        <v/>
      </c>
      <c r="AA25">
        <f>HYPERLINK("https://klasma.github.io/Logging_1490/klagomål/A 28586-2022 FSC-klagomål.docx", "A 28586-2022")</f>
        <v/>
      </c>
      <c r="AB25">
        <f>HYPERLINK("https://klasma.github.io/Logging_1490/klagomålsmail/A 28586-2022 FSC-klagomål mail.docx", "A 28586-2022")</f>
        <v/>
      </c>
      <c r="AC25">
        <f>HYPERLINK("https://klasma.github.io/Logging_1490/tillsyn/A 28586-2022 tillsynsbegäran.docx", "A 28586-2022")</f>
        <v/>
      </c>
      <c r="AD25">
        <f>HYPERLINK("https://klasma.github.io/Logging_1490/tillsynsmail/A 28586-2022 tillsynsbegäran mail.docx", "A 28586-2022")</f>
        <v/>
      </c>
      <c r="AE25">
        <f>HYPERLINK("https://klasma.github.io/Logging_1490/fåglar/A 28586-2022 prioriterade fågelarter.docx", "A 28586-2022")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46238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46238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46238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46238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46238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46238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46238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46238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46238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46238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46238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46238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46238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46238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46238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46238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46238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6042-2026 artfynd.xlsx", "A 6042-2026")</f>
        <v/>
      </c>
      <c r="X42">
        <f>HYPERLINK("https://klasma.github.io/Logging_1490/kartor/A 6042-2026 karta.png", "A 6042-2026")</f>
        <v/>
      </c>
      <c r="Y42">
        <f>HYPERLINK("https://klasma.github.io/Logging_1490/kartor_geotiff/A 6042-2026 georefererad karta.tif", "A 6042-2026")</f>
        <v/>
      </c>
      <c r="AA42">
        <f>HYPERLINK("https://klasma.github.io/Logging_1490/klagomål/A 6042-2026 FSC-klagomål.docx", "A 6042-2026")</f>
        <v/>
      </c>
      <c r="AB42">
        <f>HYPERLINK("https://klasma.github.io/Logging_1490/klagomålsmail/A 6042-2026 FSC-klagomål mail.docx", "A 6042-2026")</f>
        <v/>
      </c>
      <c r="AC42">
        <f>HYPERLINK("https://klasma.github.io/Logging_1490/tillsyn/A 6042-2026 tillsynsbegäran.docx", "A 6042-2026")</f>
        <v/>
      </c>
      <c r="AD42">
        <f>HYPERLINK("https://klasma.github.io/Logging_1490/tillsynsmail/A 6042-2026 tillsynsbegäran mail.docx", "A 6042-2026")</f>
        <v/>
      </c>
      <c r="AE42">
        <f>HYPERLINK("https://klasma.github.io/Logging_1490/fåglar/A 6042-2026 prioriterade fågelarter.docx", "A 6042-2026")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46238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46238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46238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46238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46238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46238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Svavelriska
Nattskärra</t>
        </is>
      </c>
      <c r="W48">
        <f>HYPERLINK("https://klasma.github.io/Logging_1490/artfynd/A 34341-2025 artfynd.xlsx", "A 34341-2025")</f>
        <v/>
      </c>
      <c r="X48">
        <f>HYPERLINK("https://klasma.github.io/Logging_1490/kartor/A 34341-2025 karta.png", "A 34341-2025")</f>
        <v/>
      </c>
      <c r="Y48">
        <f>HYPERLINK("https://klasma.github.io/Logging_1490/kartor_geotiff/A 34341-2025 georefererad karta.tif", "A 34341-2025")</f>
        <v/>
      </c>
      <c r="AA48">
        <f>HYPERLINK("https://klasma.github.io/Logging_1490/klagomål/A 34341-2025 FSC-klagomål.docx", "A 34341-2025")</f>
        <v/>
      </c>
      <c r="AB48">
        <f>HYPERLINK("https://klasma.github.io/Logging_1490/klagomålsmail/A 34341-2025 FSC-klagomål mail.docx", "A 34341-2025")</f>
        <v/>
      </c>
      <c r="AC48">
        <f>HYPERLINK("https://klasma.github.io/Logging_1490/tillsyn/A 34341-2025 tillsynsbegäran.docx", "A 34341-2025")</f>
        <v/>
      </c>
      <c r="AD48">
        <f>HYPERLINK("https://klasma.github.io/Logging_1490/tillsynsmail/A 34341-2025 tillsynsbegäran mail.docx", "A 34341-2025")</f>
        <v/>
      </c>
      <c r="AE48">
        <f>HYPERLINK("https://klasma.github.io/Logging_1490/fåglar/A 34341-2025 prioriterade fågelarter.docx", "A 34341-2025")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46238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46238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46238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46238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46238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46238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46238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1922-2025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46238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Kyrkan</t>
        </is>
      </c>
      <c r="I56" t="n">
        <v>5.9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Kungsfågel</t>
        </is>
      </c>
      <c r="W56">
        <f>HYPERLINK("https://klasma.github.io/Logging_1490/artfynd/A 1922-2025 artfynd.xlsx", "A 1922-2025")</f>
        <v/>
      </c>
      <c r="X56">
        <f>HYPERLINK("https://klasma.github.io/Logging_1490/kartor/A 1922-2025 karta.png", "A 1922-2025")</f>
        <v/>
      </c>
      <c r="Y56">
        <f>HYPERLINK("https://klasma.github.io/Logging_1490/kartor_geotiff/A 1922-2025 georefererad karta.tif", "A 1922-2025")</f>
        <v/>
      </c>
      <c r="AA56">
        <f>HYPERLINK("https://klasma.github.io/Logging_1490/klagomål/A 1922-2025 FSC-klagomål.docx", "A 1922-2025")</f>
        <v/>
      </c>
      <c r="AB56">
        <f>HYPERLINK("https://klasma.github.io/Logging_1490/klagomålsmail/A 1922-2025 FSC-klagomål mail.docx", "A 1922-2025")</f>
        <v/>
      </c>
      <c r="AC56">
        <f>HYPERLINK("https://klasma.github.io/Logging_1490/tillsyn/A 1922-2025 tillsynsbegäran.docx", "A 1922-2025")</f>
        <v/>
      </c>
      <c r="AD56">
        <f>HYPERLINK("https://klasma.github.io/Logging_1490/tillsynsmail/A 1922-2025 tillsynsbegäran mail.docx", "A 1922-2025")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46238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46238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46238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61684-2023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46238</v>
      </c>
      <c r="F60" t="inlineStr">
        <is>
          <t>VÄSTRA GÖTALANDS LÄN</t>
        </is>
      </c>
      <c r="G60" t="inlineStr">
        <is>
          <t>BORÅS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Fällmossa</t>
        </is>
      </c>
      <c r="W60">
        <f>HYPERLINK("https://klasma.github.io/Logging_1490/artfynd/A 61684-2023 artfynd.xlsx", "A 61684-2023")</f>
        <v/>
      </c>
      <c r="X60">
        <f>HYPERLINK("https://klasma.github.io/Logging_1490/kartor/A 61684-2023 karta.png", "A 61684-2023")</f>
        <v/>
      </c>
      <c r="Y60">
        <f>HYPERLINK("https://klasma.github.io/Logging_1490/kartor_geotiff/A 61684-2023 georefererad karta.tif", "A 61684-2023")</f>
        <v/>
      </c>
      <c r="AA60">
        <f>HYPERLINK("https://klasma.github.io/Logging_1490/klagomål/A 61684-2023 FSC-klagomål.docx", "A 61684-2023")</f>
        <v/>
      </c>
      <c r="AB60">
        <f>HYPERLINK("https://klasma.github.io/Logging_1490/klagomålsmail/A 61684-2023 FSC-klagomål mail.docx", "A 61684-2023")</f>
        <v/>
      </c>
      <c r="AC60">
        <f>HYPERLINK("https://klasma.github.io/Logging_1490/tillsyn/A 61684-2023 tillsynsbegäran.docx", "A 61684-2023")</f>
        <v/>
      </c>
      <c r="AD60">
        <f>HYPERLINK("https://klasma.github.io/Logging_1490/tillsynsmail/A 61684-2023 tillsynsbegäran mail.docx", "A 61684-2023")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46238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27342-2022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46238</v>
      </c>
      <c r="F62" t="inlineStr">
        <is>
          <t>VÄSTRA GÖTALANDS LÄN</t>
        </is>
      </c>
      <c r="G62" t="inlineStr">
        <is>
          <t>BORÅS</t>
        </is>
      </c>
      <c r="I62" t="n">
        <v>2.3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Järnsparv</t>
        </is>
      </c>
      <c r="W62">
        <f>HYPERLINK("https://klasma.github.io/Logging_1490/artfynd/A 27342-2022 artfynd.xlsx", "A 27342-2022")</f>
        <v/>
      </c>
      <c r="X62">
        <f>HYPERLINK("https://klasma.github.io/Logging_1490/kartor/A 27342-2022 karta.png", "A 27342-2022")</f>
        <v/>
      </c>
      <c r="Y62">
        <f>HYPERLINK("https://klasma.github.io/Logging_1490/kartor_geotiff/A 27342-2022 georefererad karta.tif", "A 27342-2022")</f>
        <v/>
      </c>
      <c r="AA62">
        <f>HYPERLINK("https://klasma.github.io/Logging_1490/klagomål/A 27342-2022 FSC-klagomål.docx", "A 27342-2022")</f>
        <v/>
      </c>
      <c r="AB62">
        <f>HYPERLINK("https://klasma.github.io/Logging_1490/klagomålsmail/A 27342-2022 FSC-klagomål mail.docx", "A 27342-2022")</f>
        <v/>
      </c>
      <c r="AC62">
        <f>HYPERLINK("https://klasma.github.io/Logging_1490/tillsyn/A 27342-2022 tillsynsbegäran.docx", "A 27342-2022")</f>
        <v/>
      </c>
      <c r="AD62">
        <f>HYPERLINK("https://klasma.github.io/Logging_1490/tillsynsmail/A 27342-2022 tillsynsbegäran mail.docx", "A 27342-2022")</f>
        <v/>
      </c>
      <c r="AE62">
        <f>HYPERLINK("https://klasma.github.io/Logging_1490/fåglar/A 27342-2022 prioriterade fågelarter.docx", "A 27342-2022")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46238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46238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19911-2023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46238</v>
      </c>
      <c r="F65" t="inlineStr">
        <is>
          <t>VÄSTRA GÖTALANDS LÄN</t>
        </is>
      </c>
      <c r="G65" t="inlineStr">
        <is>
          <t>BORÅS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padda</t>
        </is>
      </c>
      <c r="W65">
        <f>HYPERLINK("https://klasma.github.io/Logging_1490/artfynd/A 19911-2023 artfynd.xlsx", "A 19911-2023")</f>
        <v/>
      </c>
      <c r="X65">
        <f>HYPERLINK("https://klasma.github.io/Logging_1490/kartor/A 19911-2023 karta.png", "A 19911-2023")</f>
        <v/>
      </c>
      <c r="Y65">
        <f>HYPERLINK("https://klasma.github.io/Logging_1490/kartor_geotiff/A 19911-2023 georefererad karta.tif", "A 19911-2023")</f>
        <v/>
      </c>
      <c r="AA65">
        <f>HYPERLINK("https://klasma.github.io/Logging_1490/klagomål/A 19911-2023 FSC-klagomål.docx", "A 19911-2023")</f>
        <v/>
      </c>
      <c r="AB65">
        <f>HYPERLINK("https://klasma.github.io/Logging_1490/klagomålsmail/A 19911-2023 FSC-klagomål mail.docx", "A 19911-2023")</f>
        <v/>
      </c>
      <c r="AC65">
        <f>HYPERLINK("https://klasma.github.io/Logging_1490/tillsyn/A 19911-2023 tillsynsbegäran.docx", "A 19911-2023")</f>
        <v/>
      </c>
      <c r="AD65">
        <f>HYPERLINK("https://klasma.github.io/Logging_1490/tillsynsmail/A 19911-2023 tillsynsbegäran mail.docx", "A 19911-2023")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46238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46238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46238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46238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46238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46238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46238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46238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46238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46238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46238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46238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46238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46238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46238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46238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46238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46238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46238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46238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46238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46238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46238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46238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46238</v>
      </c>
      <c r="F90" t="inlineStr">
        <is>
          <t>VÄSTRA GÖTALANDS LÄN</t>
        </is>
      </c>
      <c r="G90" t="inlineStr">
        <is>
          <t>BORÅS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44631</v>
      </c>
      <c r="E91" s="1" t="n">
        <v>46238</v>
      </c>
      <c r="F91" t="inlineStr">
        <is>
          <t>VÄSTRA GÖTALANDS LÄN</t>
        </is>
      </c>
      <c r="G91" t="inlineStr">
        <is>
          <t>BORÅS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46238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46238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46238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46238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46238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46238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46238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46238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46238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46238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46238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46238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46238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46238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46238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46238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46238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46238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46238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46238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46238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46238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46238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46238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46238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46238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46238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46238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46238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46238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46238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46238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46238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46238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46238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46238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46238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46238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46238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46238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46238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46238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46238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44489</v>
      </c>
      <c r="E135" s="1" t="n">
        <v>46238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58771-2021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46238</v>
      </c>
      <c r="F136" t="inlineStr">
        <is>
          <t>VÄSTRA GÖTALANDS LÄN</t>
        </is>
      </c>
      <c r="G136" t="inlineStr">
        <is>
          <t>BORÅS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46238</v>
      </c>
      <c r="F137" t="inlineStr">
        <is>
          <t>VÄSTRA GÖTALANDS LÄN</t>
        </is>
      </c>
      <c r="G137" t="inlineStr">
        <is>
          <t>BORÅS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8240-2022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46238</v>
      </c>
      <c r="F138" t="inlineStr">
        <is>
          <t>VÄSTRA GÖTALANDS LÄN</t>
        </is>
      </c>
      <c r="G138" t="inlineStr">
        <is>
          <t>BORÅS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46238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46238</v>
      </c>
      <c r="F140" t="inlineStr">
        <is>
          <t>VÄSTRA GÖTALANDS LÄN</t>
        </is>
      </c>
      <c r="G140" t="inlineStr">
        <is>
          <t>BORÅS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46238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46238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46238</v>
      </c>
      <c r="F143" t="inlineStr">
        <is>
          <t>VÄSTRA GÖTALANDS LÄN</t>
        </is>
      </c>
      <c r="G143" t="inlineStr">
        <is>
          <t>BORÅS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46238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46238</v>
      </c>
      <c r="F145" t="inlineStr">
        <is>
          <t>VÄSTRA GÖTALANDS LÄN</t>
        </is>
      </c>
      <c r="G145" t="inlineStr">
        <is>
          <t>BORÅS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46238</v>
      </c>
      <c r="F146" t="inlineStr">
        <is>
          <t>VÄSTRA GÖTALANDS LÄN</t>
        </is>
      </c>
      <c r="G146" t="inlineStr">
        <is>
          <t>BORÅS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46238</v>
      </c>
      <c r="F147" t="inlineStr">
        <is>
          <t>VÄSTRA GÖTALANDS LÄN</t>
        </is>
      </c>
      <c r="G147" t="inlineStr">
        <is>
          <t>BORÅS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46238</v>
      </c>
      <c r="F148" t="inlineStr">
        <is>
          <t>VÄSTRA GÖTALANDS LÄN</t>
        </is>
      </c>
      <c r="G148" t="inlineStr">
        <is>
          <t>BORÅS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46238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73822-2021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44552</v>
      </c>
      <c r="E150" s="1" t="n">
        <v>46238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46238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46238</v>
      </c>
      <c r="F152" t="inlineStr">
        <is>
          <t>VÄSTRA GÖTALANDS LÄN</t>
        </is>
      </c>
      <c r="G152" t="inlineStr">
        <is>
          <t>BORÅS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46238</v>
      </c>
      <c r="F153" t="inlineStr">
        <is>
          <t>VÄSTRA GÖTALANDS LÄN</t>
        </is>
      </c>
      <c r="G153" t="inlineStr">
        <is>
          <t>BORÅS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46238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8182-2024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46238</v>
      </c>
      <c r="F155" t="inlineStr">
        <is>
          <t>VÄSTRA GÖTALANDS LÄN</t>
        </is>
      </c>
      <c r="G155" t="inlineStr">
        <is>
          <t>BORÅS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24860-2022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44728</v>
      </c>
      <c r="E156" s="1" t="n">
        <v>46238</v>
      </c>
      <c r="F156" t="inlineStr">
        <is>
          <t>VÄSTRA GÖTALANDS LÄN</t>
        </is>
      </c>
      <c r="G156" t="inlineStr">
        <is>
          <t>BORÅS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46238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46238</v>
      </c>
      <c r="F158" t="inlineStr">
        <is>
          <t>VÄSTRA GÖTALANDS LÄN</t>
        </is>
      </c>
      <c r="G158" t="inlineStr">
        <is>
          <t>BORÅS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46238</v>
      </c>
      <c r="F159" t="inlineStr">
        <is>
          <t>VÄSTRA GÖTALANDS LÄN</t>
        </is>
      </c>
      <c r="G159" t="inlineStr">
        <is>
          <t>BORÅS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46238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46238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46238</v>
      </c>
      <c r="F162" t="inlineStr">
        <is>
          <t>VÄSTRA GÖTALANDS LÄN</t>
        </is>
      </c>
      <c r="G162" t="inlineStr">
        <is>
          <t>BORÅS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46238</v>
      </c>
      <c r="F163" t="inlineStr">
        <is>
          <t>VÄSTRA GÖTALANDS LÄN</t>
        </is>
      </c>
      <c r="G163" t="inlineStr">
        <is>
          <t>BORÅS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45650</v>
      </c>
      <c r="E164" s="1" t="n">
        <v>46238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46238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46238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46238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46238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46238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46238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46238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46238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46238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44889</v>
      </c>
      <c r="E174" s="1" t="n">
        <v>46238</v>
      </c>
      <c r="F174" t="inlineStr">
        <is>
          <t>VÄSTRA GÖTALANDS LÄN</t>
        </is>
      </c>
      <c r="G174" t="inlineStr">
        <is>
          <t>BORÅS</t>
        </is>
      </c>
      <c r="H174" t="inlineStr">
        <is>
          <t>Kyrkan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44910</v>
      </c>
      <c r="E175" s="1" t="n">
        <v>46238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46238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46238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46238</v>
      </c>
      <c r="F178" t="inlineStr">
        <is>
          <t>VÄSTRA GÖTALANDS LÄN</t>
        </is>
      </c>
      <c r="G178" t="inlineStr">
        <is>
          <t>BORÅS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46238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46238</v>
      </c>
      <c r="F180" t="inlineStr">
        <is>
          <t>VÄSTRA GÖTALANDS LÄN</t>
        </is>
      </c>
      <c r="G180" t="inlineStr">
        <is>
          <t>BORÅS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46238</v>
      </c>
      <c r="F181" t="inlineStr">
        <is>
          <t>VÄSTRA GÖTALANDS LÄN</t>
        </is>
      </c>
      <c r="G181" t="inlineStr">
        <is>
          <t>BORÅS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45225</v>
      </c>
      <c r="E182" s="1" t="n">
        <v>46238</v>
      </c>
      <c r="F182" t="inlineStr">
        <is>
          <t>VÄSTRA GÖTALANDS LÄN</t>
        </is>
      </c>
      <c r="G182" t="inlineStr">
        <is>
          <t>BORÅS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45294</v>
      </c>
      <c r="E183" s="1" t="n">
        <v>46238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40611-2021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44420</v>
      </c>
      <c r="E184" s="1" t="n">
        <v>46238</v>
      </c>
      <c r="F184" t="inlineStr">
        <is>
          <t>VÄSTRA GÖTALANDS LÄN</t>
        </is>
      </c>
      <c r="G184" t="inlineStr">
        <is>
          <t>BORÅS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46238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46238</v>
      </c>
      <c r="F186" t="inlineStr">
        <is>
          <t>VÄSTRA GÖTALANDS LÄN</t>
        </is>
      </c>
      <c r="G186" t="inlineStr">
        <is>
          <t>BORÅS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46238</v>
      </c>
      <c r="F187" t="inlineStr">
        <is>
          <t>VÄSTRA GÖTALANDS LÄN</t>
        </is>
      </c>
      <c r="G187" t="inlineStr">
        <is>
          <t>BORÅS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46238</v>
      </c>
      <c r="F188" t="inlineStr">
        <is>
          <t>VÄSTRA GÖTALANDS LÄN</t>
        </is>
      </c>
      <c r="G188" t="inlineStr">
        <is>
          <t>BORÅS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45180</v>
      </c>
      <c r="E189" s="1" t="n">
        <v>46238</v>
      </c>
      <c r="F189" t="inlineStr">
        <is>
          <t>VÄSTRA GÖTALANDS LÄN</t>
        </is>
      </c>
      <c r="G189" t="inlineStr">
        <is>
          <t>BORÅS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46238</v>
      </c>
      <c r="F190" t="inlineStr">
        <is>
          <t>VÄSTRA GÖTALANDS LÄN</t>
        </is>
      </c>
      <c r="G190" t="inlineStr">
        <is>
          <t>BORÅS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46238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46238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45126</v>
      </c>
      <c r="E193" s="1" t="n">
        <v>46238</v>
      </c>
      <c r="F193" t="inlineStr">
        <is>
          <t>VÄSTRA GÖTALANDS LÄN</t>
        </is>
      </c>
      <c r="G193" t="inlineStr">
        <is>
          <t>BORÅS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46238</v>
      </c>
      <c r="F194" t="inlineStr">
        <is>
          <t>VÄSTRA GÖTALANDS LÄN</t>
        </is>
      </c>
      <c r="G194" t="inlineStr">
        <is>
          <t>BORÅS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46238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Kommuner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46238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46238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46238</v>
      </c>
      <c r="F198" t="inlineStr">
        <is>
          <t>VÄSTRA GÖTALANDS LÄN</t>
        </is>
      </c>
      <c r="G198" t="inlineStr">
        <is>
          <t>BORÅS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46238</v>
      </c>
      <c r="F199" t="inlineStr">
        <is>
          <t>VÄSTRA GÖTALANDS LÄN</t>
        </is>
      </c>
      <c r="G199" t="inlineStr">
        <is>
          <t>BORÅS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32482-2023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45120</v>
      </c>
      <c r="E200" s="1" t="n">
        <v>46238</v>
      </c>
      <c r="F200" t="inlineStr">
        <is>
          <t>VÄSTRA GÖTALANDS LÄN</t>
        </is>
      </c>
      <c r="G200" t="inlineStr">
        <is>
          <t>BORÅS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46238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44581</v>
      </c>
      <c r="E202" s="1" t="n">
        <v>46238</v>
      </c>
      <c r="F202" t="inlineStr">
        <is>
          <t>VÄSTRA GÖTALANDS LÄN</t>
        </is>
      </c>
      <c r="G202" t="inlineStr">
        <is>
          <t>BORÅS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46238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46238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45412</v>
      </c>
      <c r="E205" s="1" t="n">
        <v>46238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46238</v>
      </c>
      <c r="F206" t="inlineStr">
        <is>
          <t>VÄSTRA GÖTALANDS LÄN</t>
        </is>
      </c>
      <c r="G206" t="inlineStr">
        <is>
          <t>BORÅS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46238</v>
      </c>
      <c r="F207" t="inlineStr">
        <is>
          <t>VÄSTRA GÖTALANDS LÄN</t>
        </is>
      </c>
      <c r="G207" t="inlineStr">
        <is>
          <t>BORÅS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56684-2022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44888</v>
      </c>
      <c r="E208" s="1" t="n">
        <v>46238</v>
      </c>
      <c r="F208" t="inlineStr">
        <is>
          <t>VÄSTRA GÖTALANDS LÄN</t>
        </is>
      </c>
      <c r="G208" t="inlineStr">
        <is>
          <t>BORÅS</t>
        </is>
      </c>
      <c r="H208" t="inlineStr">
        <is>
          <t>Kyrkan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46238</v>
      </c>
      <c r="F209" t="inlineStr">
        <is>
          <t>VÄSTRA GÖTALANDS LÄN</t>
        </is>
      </c>
      <c r="G209" t="inlineStr">
        <is>
          <t>BORÅS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45233</v>
      </c>
      <c r="E210" s="1" t="n">
        <v>46238</v>
      </c>
      <c r="F210" t="inlineStr">
        <is>
          <t>VÄSTRA GÖTALANDS LÄN</t>
        </is>
      </c>
      <c r="G210" t="inlineStr">
        <is>
          <t>BORÅS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45120</v>
      </c>
      <c r="E211" s="1" t="n">
        <v>46238</v>
      </c>
      <c r="F211" t="inlineStr">
        <is>
          <t>VÄSTRA GÖTALANDS LÄN</t>
        </is>
      </c>
      <c r="G211" t="inlineStr">
        <is>
          <t>BORÅS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46238</v>
      </c>
      <c r="F212" t="inlineStr">
        <is>
          <t>VÄSTRA GÖTALANDS LÄN</t>
        </is>
      </c>
      <c r="G212" t="inlineStr">
        <is>
          <t>BORÅS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46238</v>
      </c>
      <c r="F213" t="inlineStr">
        <is>
          <t>VÄSTRA GÖTALANDS LÄN</t>
        </is>
      </c>
      <c r="G213" t="inlineStr">
        <is>
          <t>BORÅS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45866</v>
      </c>
      <c r="E214" s="1" t="n">
        <v>46238</v>
      </c>
      <c r="F214" t="inlineStr">
        <is>
          <t>VÄSTRA GÖTALANDS LÄN</t>
        </is>
      </c>
      <c r="G214" t="inlineStr">
        <is>
          <t>BORÅS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45350</v>
      </c>
      <c r="E215" s="1" t="n">
        <v>46238</v>
      </c>
      <c r="F215" t="inlineStr">
        <is>
          <t>VÄSTRA GÖTALANDS LÄN</t>
        </is>
      </c>
      <c r="G215" t="inlineStr">
        <is>
          <t>BORÅS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46238</v>
      </c>
      <c r="F216" t="inlineStr">
        <is>
          <t>VÄSTRA GÖTALANDS LÄN</t>
        </is>
      </c>
      <c r="G216" t="inlineStr">
        <is>
          <t>BORÅS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46238</v>
      </c>
      <c r="F217" t="inlineStr">
        <is>
          <t>VÄSTRA GÖTALANDS LÄN</t>
        </is>
      </c>
      <c r="G217" t="inlineStr">
        <is>
          <t>BORÅS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46238</v>
      </c>
      <c r="F218" t="inlineStr">
        <is>
          <t>VÄSTRA GÖTALANDS LÄN</t>
        </is>
      </c>
      <c r="G218" t="inlineStr">
        <is>
          <t>BORÅS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44844</v>
      </c>
      <c r="E219" s="1" t="n">
        <v>46238</v>
      </c>
      <c r="F219" t="inlineStr">
        <is>
          <t>VÄSTRA GÖTALANDS LÄN</t>
        </is>
      </c>
      <c r="G219" t="inlineStr">
        <is>
          <t>BORÅS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44703-2021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44438</v>
      </c>
      <c r="E220" s="1" t="n">
        <v>46238</v>
      </c>
      <c r="F220" t="inlineStr">
        <is>
          <t>VÄSTRA GÖTALANDS LÄN</t>
        </is>
      </c>
      <c r="G220" t="inlineStr">
        <is>
          <t>BORÅS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46119</v>
      </c>
      <c r="E221" s="1" t="n">
        <v>46238</v>
      </c>
      <c r="F221" t="inlineStr">
        <is>
          <t>VÄSTRA GÖTALANDS LÄN</t>
        </is>
      </c>
      <c r="G221" t="inlineStr">
        <is>
          <t>BORÅS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45567</v>
      </c>
      <c r="E222" s="1" t="n">
        <v>46238</v>
      </c>
      <c r="F222" t="inlineStr">
        <is>
          <t>VÄSTRA GÖTALANDS LÄN</t>
        </is>
      </c>
      <c r="G222" t="inlineStr">
        <is>
          <t>BORÅS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46238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45612</v>
      </c>
      <c r="E224" s="1" t="n">
        <v>46238</v>
      </c>
      <c r="F224" t="inlineStr">
        <is>
          <t>VÄSTRA GÖTALANDS LÄN</t>
        </is>
      </c>
      <c r="G224" t="inlineStr">
        <is>
          <t>BORÅS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46238</v>
      </c>
      <c r="F225" t="inlineStr">
        <is>
          <t>VÄSTRA GÖTALANDS LÄN</t>
        </is>
      </c>
      <c r="G225" t="inlineStr">
        <is>
          <t>BORÅS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45058</v>
      </c>
      <c r="E226" s="1" t="n">
        <v>46238</v>
      </c>
      <c r="F226" t="inlineStr">
        <is>
          <t>VÄSTRA GÖTALANDS LÄN</t>
        </is>
      </c>
      <c r="G226" t="inlineStr">
        <is>
          <t>BORÅS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45379</v>
      </c>
      <c r="E227" s="1" t="n">
        <v>46238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45877</v>
      </c>
      <c r="E228" s="1" t="n">
        <v>46238</v>
      </c>
      <c r="F228" t="inlineStr">
        <is>
          <t>VÄSTRA GÖTALANDS LÄN</t>
        </is>
      </c>
      <c r="G228" t="inlineStr">
        <is>
          <t>BORÅS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46238</v>
      </c>
      <c r="F229" t="inlineStr">
        <is>
          <t>VÄSTRA GÖTALANDS LÄN</t>
        </is>
      </c>
      <c r="G229" t="inlineStr">
        <is>
          <t>BORÅS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46238</v>
      </c>
      <c r="F230" t="inlineStr">
        <is>
          <t>VÄSTRA GÖTALANDS LÄN</t>
        </is>
      </c>
      <c r="G230" t="inlineStr">
        <is>
          <t>BORÅS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46238</v>
      </c>
      <c r="F231" t="inlineStr">
        <is>
          <t>VÄSTRA GÖTALANDS LÄN</t>
        </is>
      </c>
      <c r="G231" t="inlineStr">
        <is>
          <t>BORÅS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39060-2025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46238</v>
      </c>
      <c r="F232" t="inlineStr">
        <is>
          <t>VÄSTRA GÖTALANDS LÄN</t>
        </is>
      </c>
      <c r="G232" t="inlineStr">
        <is>
          <t>BORÅS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46238</v>
      </c>
      <c r="F233" t="inlineStr">
        <is>
          <t>VÄSTRA GÖTALANDS LÄN</t>
        </is>
      </c>
      <c r="G233" t="inlineStr">
        <is>
          <t>BORÅS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46238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46238</v>
      </c>
      <c r="F235" t="inlineStr">
        <is>
          <t>VÄSTRA GÖTALANDS LÄN</t>
        </is>
      </c>
      <c r="G235" t="inlineStr">
        <is>
          <t>BORÅS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46238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46238</v>
      </c>
      <c r="F237" t="inlineStr">
        <is>
          <t>VÄSTRA GÖTALANDS LÄN</t>
        </is>
      </c>
      <c r="G237" t="inlineStr">
        <is>
          <t>BORÅS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44467</v>
      </c>
      <c r="E238" s="1" t="n">
        <v>46238</v>
      </c>
      <c r="F238" t="inlineStr">
        <is>
          <t>VÄSTRA GÖTALANDS LÄN</t>
        </is>
      </c>
      <c r="G238" t="inlineStr">
        <is>
          <t>BORÅS</t>
        </is>
      </c>
      <c r="I238" t="n">
        <v>19.4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46238</v>
      </c>
      <c r="F239" t="inlineStr">
        <is>
          <t>VÄSTRA GÖTALANDS LÄN</t>
        </is>
      </c>
      <c r="G239" t="inlineStr">
        <is>
          <t>BORÅS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46238</v>
      </c>
      <c r="F240" t="inlineStr">
        <is>
          <t>VÄSTRA GÖTALANDS LÄN</t>
        </is>
      </c>
      <c r="G240" t="inlineStr">
        <is>
          <t>BORÅS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46238</v>
      </c>
      <c r="F241" t="inlineStr">
        <is>
          <t>VÄSTRA GÖTALANDS LÄN</t>
        </is>
      </c>
      <c r="G241" t="inlineStr">
        <is>
          <t>BORÅS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46238</v>
      </c>
      <c r="F242" t="inlineStr">
        <is>
          <t>VÄSTRA GÖTALANDS LÄN</t>
        </is>
      </c>
      <c r="G242" t="inlineStr">
        <is>
          <t>BORÅS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46238</v>
      </c>
      <c r="F243" t="inlineStr">
        <is>
          <t>VÄSTRA GÖTALANDS LÄN</t>
        </is>
      </c>
      <c r="G243" t="inlineStr">
        <is>
          <t>BORÅS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46238</v>
      </c>
      <c r="F244" t="inlineStr">
        <is>
          <t>VÄSTRA GÖTALANDS LÄN</t>
        </is>
      </c>
      <c r="G244" t="inlineStr">
        <is>
          <t>BORÅS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45510</v>
      </c>
      <c r="E245" s="1" t="n">
        <v>46238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46238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46238</v>
      </c>
      <c r="F247" t="inlineStr">
        <is>
          <t>VÄSTRA GÖTALANDS LÄN</t>
        </is>
      </c>
      <c r="G247" t="inlineStr">
        <is>
          <t>BORÅS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72806-2021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44547</v>
      </c>
      <c r="E248" s="1" t="n">
        <v>46238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46238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46238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11362-2022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44630</v>
      </c>
      <c r="E251" s="1" t="n">
        <v>46238</v>
      </c>
      <c r="F251" t="inlineStr">
        <is>
          <t>VÄSTRA GÖTALANDS LÄN</t>
        </is>
      </c>
      <c r="G251" t="inlineStr">
        <is>
          <t>BORÅS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46238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13107-2022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44644</v>
      </c>
      <c r="E253" s="1" t="n">
        <v>46238</v>
      </c>
      <c r="F253" t="inlineStr">
        <is>
          <t>VÄSTRA GÖTALANDS LÄN</t>
        </is>
      </c>
      <c r="G253" t="inlineStr">
        <is>
          <t>BORÅS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44777-2025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46238</v>
      </c>
      <c r="F254" t="inlineStr">
        <is>
          <t>VÄSTRA GÖTALANDS LÄN</t>
        </is>
      </c>
      <c r="G254" t="inlineStr">
        <is>
          <t>BORÅS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46158-2023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46238</v>
      </c>
      <c r="F255" t="inlineStr">
        <is>
          <t>VÄSTRA GÖTALANDS LÄN</t>
        </is>
      </c>
      <c r="G255" t="inlineStr">
        <is>
          <t>BORÅS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46238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46238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46238</v>
      </c>
      <c r="F258" t="inlineStr">
        <is>
          <t>VÄSTRA GÖTALANDS LÄN</t>
        </is>
      </c>
      <c r="G258" t="inlineStr">
        <is>
          <t>BORÅS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46238</v>
      </c>
      <c r="F259" t="inlineStr">
        <is>
          <t>VÄSTRA GÖTALANDS LÄN</t>
        </is>
      </c>
      <c r="G259" t="inlineStr">
        <is>
          <t>BORÅS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45316</v>
      </c>
      <c r="E260" s="1" t="n">
        <v>46238</v>
      </c>
      <c r="F260" t="inlineStr">
        <is>
          <t>VÄSTRA GÖTALANDS LÄN</t>
        </is>
      </c>
      <c r="G260" t="inlineStr">
        <is>
          <t>BORÅS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46238</v>
      </c>
      <c r="F261" t="inlineStr">
        <is>
          <t>VÄSTRA GÖTALANDS LÄN</t>
        </is>
      </c>
      <c r="G261" t="inlineStr">
        <is>
          <t>BORÅS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46238</v>
      </c>
      <c r="F262" t="inlineStr">
        <is>
          <t>VÄSTRA GÖTALANDS LÄN</t>
        </is>
      </c>
      <c r="G262" t="inlineStr">
        <is>
          <t>BORÅS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45202</v>
      </c>
      <c r="E263" s="1" t="n">
        <v>46238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27146-2023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46238</v>
      </c>
      <c r="F264" t="inlineStr">
        <is>
          <t>VÄSTRA GÖTALANDS LÄN</t>
        </is>
      </c>
      <c r="G264" t="inlineStr">
        <is>
          <t>BORÅS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46238</v>
      </c>
      <c r="F265" t="inlineStr">
        <is>
          <t>VÄSTRA GÖTALANDS LÄN</t>
        </is>
      </c>
      <c r="G265" t="inlineStr">
        <is>
          <t>BORÅS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24183-2024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45456</v>
      </c>
      <c r="E266" s="1" t="n">
        <v>46238</v>
      </c>
      <c r="F266" t="inlineStr">
        <is>
          <t>VÄSTRA GÖTALANDS LÄN</t>
        </is>
      </c>
      <c r="G266" t="inlineStr">
        <is>
          <t>BORÅS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46238</v>
      </c>
      <c r="F267" t="inlineStr">
        <is>
          <t>VÄSTRA GÖTALANDS LÄN</t>
        </is>
      </c>
      <c r="G267" t="inlineStr">
        <is>
          <t>BORÅS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46238</v>
      </c>
      <c r="F268" t="inlineStr">
        <is>
          <t>VÄSTRA GÖTALANDS LÄN</t>
        </is>
      </c>
      <c r="G268" t="inlineStr">
        <is>
          <t>BORÅS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44571</v>
      </c>
      <c r="E269" s="1" t="n">
        <v>46238</v>
      </c>
      <c r="F269" t="inlineStr">
        <is>
          <t>VÄSTRA GÖTALANDS LÄN</t>
        </is>
      </c>
      <c r="G269" t="inlineStr">
        <is>
          <t>BORÅS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49948-2023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46238</v>
      </c>
      <c r="F270" t="inlineStr">
        <is>
          <t>VÄSTRA GÖTALANDS LÄN</t>
        </is>
      </c>
      <c r="G270" t="inlineStr">
        <is>
          <t>BORÅS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46238</v>
      </c>
      <c r="F271" t="inlineStr">
        <is>
          <t>VÄSTRA GÖTALANDS LÄN</t>
        </is>
      </c>
      <c r="G271" t="inlineStr">
        <is>
          <t>BORÅS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45547</v>
      </c>
      <c r="E272" s="1" t="n">
        <v>46238</v>
      </c>
      <c r="F272" t="inlineStr">
        <is>
          <t>VÄSTRA GÖTALANDS LÄN</t>
        </is>
      </c>
      <c r="G272" t="inlineStr">
        <is>
          <t>BORÅS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46238</v>
      </c>
      <c r="F273" t="inlineStr">
        <is>
          <t>VÄSTRA GÖTALANDS LÄN</t>
        </is>
      </c>
      <c r="G273" t="inlineStr">
        <is>
          <t>BORÅS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46238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Kommuner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46238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46238</v>
      </c>
      <c r="F276" t="inlineStr">
        <is>
          <t>VÄSTRA GÖTALANDS LÄN</t>
        </is>
      </c>
      <c r="G276" t="inlineStr">
        <is>
          <t>BORÅS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46238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46238</v>
      </c>
      <c r="F278" t="inlineStr">
        <is>
          <t>VÄSTRA GÖTALANDS LÄN</t>
        </is>
      </c>
      <c r="G278" t="inlineStr">
        <is>
          <t>BORÅS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46238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46238</v>
      </c>
      <c r="F280" t="inlineStr">
        <is>
          <t>VÄSTRA GÖTALANDS LÄN</t>
        </is>
      </c>
      <c r="G280" t="inlineStr">
        <is>
          <t>BORÅS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70988-2021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46238</v>
      </c>
      <c r="F281" t="inlineStr">
        <is>
          <t>VÄSTRA GÖTALANDS LÄN</t>
        </is>
      </c>
      <c r="G281" t="inlineStr">
        <is>
          <t>BORÅS</t>
        </is>
      </c>
      <c r="H281" t="inlineStr">
        <is>
          <t>Kommuner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45935</v>
      </c>
      <c r="E282" s="1" t="n">
        <v>46238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45935</v>
      </c>
      <c r="E283" s="1" t="n">
        <v>46238</v>
      </c>
      <c r="F283" t="inlineStr">
        <is>
          <t>VÄSTRA GÖTALANDS LÄN</t>
        </is>
      </c>
      <c r="G283" t="inlineStr">
        <is>
          <t>BORÅS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46238</v>
      </c>
      <c r="F284" t="inlineStr">
        <is>
          <t>VÄSTRA GÖTALANDS LÄN</t>
        </is>
      </c>
      <c r="G284" t="inlineStr">
        <is>
          <t>BORÅS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36016-2025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45863</v>
      </c>
      <c r="E285" s="1" t="n">
        <v>46238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46238</v>
      </c>
      <c r="F286" t="inlineStr">
        <is>
          <t>VÄSTRA GÖTALANDS LÄN</t>
        </is>
      </c>
      <c r="G286" t="inlineStr">
        <is>
          <t>BORÅS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46238</v>
      </c>
      <c r="F287" t="inlineStr">
        <is>
          <t>VÄSTRA GÖTALANDS LÄN</t>
        </is>
      </c>
      <c r="G287" t="inlineStr">
        <is>
          <t>BORÅS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46238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46238</v>
      </c>
      <c r="F289" t="inlineStr">
        <is>
          <t>VÄSTRA GÖTALANDS LÄN</t>
        </is>
      </c>
      <c r="G289" t="inlineStr">
        <is>
          <t>BORÅS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45870</v>
      </c>
      <c r="E290" s="1" t="n">
        <v>46238</v>
      </c>
      <c r="F290" t="inlineStr">
        <is>
          <t>VÄSTRA GÖTALANDS LÄN</t>
        </is>
      </c>
      <c r="G290" t="inlineStr">
        <is>
          <t>BORÅS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45646</v>
      </c>
      <c r="E291" s="1" t="n">
        <v>46238</v>
      </c>
      <c r="F291" t="inlineStr">
        <is>
          <t>VÄSTRA GÖTALANDS LÄN</t>
        </is>
      </c>
      <c r="G291" t="inlineStr">
        <is>
          <t>BORÅS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46238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Kommuner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46238</v>
      </c>
      <c r="F293" t="inlineStr">
        <is>
          <t>VÄSTRA GÖTALANDS LÄN</t>
        </is>
      </c>
      <c r="G293" t="inlineStr">
        <is>
          <t>BORÅS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48358-2023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45205</v>
      </c>
      <c r="E294" s="1" t="n">
        <v>46238</v>
      </c>
      <c r="F294" t="inlineStr">
        <is>
          <t>VÄSTRA GÖTALANDS LÄN</t>
        </is>
      </c>
      <c r="G294" t="inlineStr">
        <is>
          <t>BORÅS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45453</v>
      </c>
      <c r="E295" s="1" t="n">
        <v>46238</v>
      </c>
      <c r="F295" t="inlineStr">
        <is>
          <t>VÄSTRA GÖTALANDS LÄN</t>
        </is>
      </c>
      <c r="G295" t="inlineStr">
        <is>
          <t>BORÅS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46238</v>
      </c>
      <c r="F296" t="inlineStr">
        <is>
          <t>VÄSTRA GÖTALANDS LÄN</t>
        </is>
      </c>
      <c r="G296" t="inlineStr">
        <is>
          <t>BORÅS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46238</v>
      </c>
      <c r="F297" t="inlineStr">
        <is>
          <t>VÄSTRA GÖTALANDS LÄN</t>
        </is>
      </c>
      <c r="G297" t="inlineStr">
        <is>
          <t>BORÅS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46238</v>
      </c>
      <c r="F298" t="inlineStr">
        <is>
          <t>VÄSTRA GÖTALANDS LÄN</t>
        </is>
      </c>
      <c r="G298" t="inlineStr">
        <is>
          <t>BORÅS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46238</v>
      </c>
      <c r="F299" t="inlineStr">
        <is>
          <t>VÄSTRA GÖTALANDS LÄN</t>
        </is>
      </c>
      <c r="G299" t="inlineStr">
        <is>
          <t>BORÅS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21739-2026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46147</v>
      </c>
      <c r="E300" s="1" t="n">
        <v>46238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46238</v>
      </c>
      <c r="F301" t="inlineStr">
        <is>
          <t>VÄSTRA GÖTALANDS LÄN</t>
        </is>
      </c>
      <c r="G301" t="inlineStr">
        <is>
          <t>BORÅS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46238</v>
      </c>
      <c r="F302" t="inlineStr">
        <is>
          <t>VÄSTRA GÖTALANDS LÄN</t>
        </is>
      </c>
      <c r="G302" t="inlineStr">
        <is>
          <t>BORÅS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46238</v>
      </c>
      <c r="F303" t="inlineStr">
        <is>
          <t>VÄSTRA GÖTALANDS LÄN</t>
        </is>
      </c>
      <c r="G303" t="inlineStr">
        <is>
          <t>BORÅS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45308</v>
      </c>
      <c r="E304" s="1" t="n">
        <v>46238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46238</v>
      </c>
      <c r="F305" t="inlineStr">
        <is>
          <t>VÄSTRA GÖTALANDS LÄN</t>
        </is>
      </c>
      <c r="G305" t="inlineStr">
        <is>
          <t>BORÅS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46238</v>
      </c>
      <c r="F306" t="inlineStr">
        <is>
          <t>VÄSTRA GÖTALANDS LÄN</t>
        </is>
      </c>
      <c r="G306" t="inlineStr">
        <is>
          <t>BORÅS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46238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46238</v>
      </c>
      <c r="F308" t="inlineStr">
        <is>
          <t>VÄSTRA GÖTALANDS LÄN</t>
        </is>
      </c>
      <c r="G308" t="inlineStr">
        <is>
          <t>BORÅS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46238</v>
      </c>
      <c r="F309" t="inlineStr">
        <is>
          <t>VÄSTRA GÖTALANDS LÄN</t>
        </is>
      </c>
      <c r="G309" t="inlineStr">
        <is>
          <t>BORÅS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53942-2025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45961</v>
      </c>
      <c r="E310" s="1" t="n">
        <v>46238</v>
      </c>
      <c r="F310" t="inlineStr">
        <is>
          <t>VÄSTRA GÖTALANDS LÄN</t>
        </is>
      </c>
      <c r="G310" t="inlineStr">
        <is>
          <t>BORÅS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46238</v>
      </c>
      <c r="F311" t="inlineStr">
        <is>
          <t>VÄSTRA GÖTALANDS LÄN</t>
        </is>
      </c>
      <c r="G311" t="inlineStr">
        <is>
          <t>BORÅS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46238</v>
      </c>
      <c r="F312" t="inlineStr">
        <is>
          <t>VÄSTRA GÖTALANDS LÄN</t>
        </is>
      </c>
      <c r="G312" t="inlineStr">
        <is>
          <t>BORÅS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45819</v>
      </c>
      <c r="E313" s="1" t="n">
        <v>46238</v>
      </c>
      <c r="F313" t="inlineStr">
        <is>
          <t>VÄSTRA GÖTALANDS LÄN</t>
        </is>
      </c>
      <c r="G313" t="inlineStr">
        <is>
          <t>BORÅS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45053</v>
      </c>
      <c r="E314" s="1" t="n">
        <v>46238</v>
      </c>
      <c r="F314" t="inlineStr">
        <is>
          <t>VÄSTRA GÖTALANDS LÄN</t>
        </is>
      </c>
      <c r="G314" t="inlineStr">
        <is>
          <t>BORÅS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48886-2022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44859</v>
      </c>
      <c r="E315" s="1" t="n">
        <v>46238</v>
      </c>
      <c r="F315" t="inlineStr">
        <is>
          <t>VÄSTRA GÖTALANDS LÄN</t>
        </is>
      </c>
      <c r="G315" t="inlineStr">
        <is>
          <t>BORÅS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46574-2022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44848</v>
      </c>
      <c r="E316" s="1" t="n">
        <v>46238</v>
      </c>
      <c r="F316" t="inlineStr">
        <is>
          <t>VÄSTRA GÖTALANDS LÄN</t>
        </is>
      </c>
      <c r="G316" t="inlineStr">
        <is>
          <t>BORÅS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46238</v>
      </c>
      <c r="F317" t="inlineStr">
        <is>
          <t>VÄSTRA GÖTALANDS LÄN</t>
        </is>
      </c>
      <c r="G317" t="inlineStr">
        <is>
          <t>BORÅS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46238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56376-2025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45974</v>
      </c>
      <c r="E319" s="1" t="n">
        <v>46238</v>
      </c>
      <c r="F319" t="inlineStr">
        <is>
          <t>VÄSTRA GÖTALANDS LÄN</t>
        </is>
      </c>
      <c r="G319" t="inlineStr">
        <is>
          <t>BORÅS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44592</v>
      </c>
      <c r="E320" s="1" t="n">
        <v>46238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45315</v>
      </c>
      <c r="E321" s="1" t="n">
        <v>46238</v>
      </c>
      <c r="F321" t="inlineStr">
        <is>
          <t>VÄSTRA GÖTALANDS LÄN</t>
        </is>
      </c>
      <c r="G321" t="inlineStr">
        <is>
          <t>BORÅS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46238</v>
      </c>
      <c r="F322" t="inlineStr">
        <is>
          <t>VÄSTRA GÖTALANDS LÄN</t>
        </is>
      </c>
      <c r="G322" t="inlineStr">
        <is>
          <t>BORÅS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46238</v>
      </c>
      <c r="F323" t="inlineStr">
        <is>
          <t>VÄSTRA GÖTALANDS LÄN</t>
        </is>
      </c>
      <c r="G323" t="inlineStr">
        <is>
          <t>BORÅS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46238</v>
      </c>
      <c r="F324" t="inlineStr">
        <is>
          <t>VÄSTRA GÖTALANDS LÄN</t>
        </is>
      </c>
      <c r="G324" t="inlineStr">
        <is>
          <t>BORÅS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46238</v>
      </c>
      <c r="F325" t="inlineStr">
        <is>
          <t>VÄSTRA GÖTALANDS LÄN</t>
        </is>
      </c>
      <c r="G325" t="inlineStr">
        <is>
          <t>BORÅS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45855</v>
      </c>
      <c r="E326" s="1" t="n">
        <v>46238</v>
      </c>
      <c r="F326" t="inlineStr">
        <is>
          <t>VÄSTRA GÖTALANDS LÄN</t>
        </is>
      </c>
      <c r="G326" t="inlineStr">
        <is>
          <t>BORÅS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27334-2024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45472</v>
      </c>
      <c r="E327" s="1" t="n">
        <v>46238</v>
      </c>
      <c r="F327" t="inlineStr">
        <is>
          <t>VÄSTRA GÖTALANDS LÄN</t>
        </is>
      </c>
      <c r="G327" t="inlineStr">
        <is>
          <t>BORÅS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46238</v>
      </c>
      <c r="F328" t="inlineStr">
        <is>
          <t>VÄSTRA GÖTALANDS LÄN</t>
        </is>
      </c>
      <c r="G328" t="inlineStr">
        <is>
          <t>BORÅS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17025-2024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45412</v>
      </c>
      <c r="E329" s="1" t="n">
        <v>46238</v>
      </c>
      <c r="F329" t="inlineStr">
        <is>
          <t>VÄSTRA GÖTALANDS LÄN</t>
        </is>
      </c>
      <c r="G329" t="inlineStr">
        <is>
          <t>BORÅS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45357</v>
      </c>
      <c r="E330" s="1" t="n">
        <v>46238</v>
      </c>
      <c r="F330" t="inlineStr">
        <is>
          <t>VÄSTRA GÖTALANDS LÄN</t>
        </is>
      </c>
      <c r="G330" t="inlineStr">
        <is>
          <t>BORÅS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45982</v>
      </c>
      <c r="E331" s="1" t="n">
        <v>46238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Kommuner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46238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46238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58304-2025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45982</v>
      </c>
      <c r="E334" s="1" t="n">
        <v>46238</v>
      </c>
      <c r="F334" t="inlineStr">
        <is>
          <t>VÄSTRA GÖTALANDS LÄN</t>
        </is>
      </c>
      <c r="G334" t="inlineStr">
        <is>
          <t>BORÅS</t>
        </is>
      </c>
      <c r="H334" t="inlineStr">
        <is>
          <t>Kommuner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  <c r="X334">
        <f>HYPERLINK("https://klasma.github.io/Logging_1490/kartor/A 58304-2025 karta.png", "A 58304-2025")</f>
        <v/>
      </c>
      <c r="Y334">
        <f>HYPERLINK("https://klasma.github.io/Logging_1490/kartor_geotiff/A 58304-2025 georefererad karta.tif", "A 58304-2025")</f>
        <v/>
      </c>
      <c r="AA334">
        <f>HYPERLINK("https://klasma.github.io/Logging_1490/klagomål/A 58304-2025 FSC-klagomål.docx", "A 58304-2025")</f>
        <v/>
      </c>
      <c r="AB334">
        <f>HYPERLINK("https://klasma.github.io/Logging_1490/klagomålsmail/A 58304-2025 FSC-klagomål mail.docx", "A 58304-2025")</f>
        <v/>
      </c>
      <c r="AC334">
        <f>HYPERLINK("https://klasma.github.io/Logging_1490/tillsyn/A 58304-2025 tillsynsbegäran.docx", "A 58304-2025")</f>
        <v/>
      </c>
      <c r="AD334">
        <f>HYPERLINK("https://klasma.github.io/Logging_1490/tillsynsmail/A 58304-2025 tillsynsbegäran mail.docx", "A 58304-2025")</f>
        <v/>
      </c>
    </row>
    <row r="335" ht="15" customHeight="1">
      <c r="A335" t="inlineStr">
        <is>
          <t>A 6161-2023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44964</v>
      </c>
      <c r="E335" s="1" t="n">
        <v>46238</v>
      </c>
      <c r="F335" t="inlineStr">
        <is>
          <t>VÄSTRA GÖTALANDS LÄN</t>
        </is>
      </c>
      <c r="G335" t="inlineStr">
        <is>
          <t>BORÅS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46238</v>
      </c>
      <c r="F336" t="inlineStr">
        <is>
          <t>VÄSTRA GÖTALANDS LÄN</t>
        </is>
      </c>
      <c r="G336" t="inlineStr">
        <is>
          <t>BORÅS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20653-2026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46141</v>
      </c>
      <c r="E337" s="1" t="n">
        <v>46238</v>
      </c>
      <c r="F337" t="inlineStr">
        <is>
          <t>VÄSTRA GÖTALANDS LÄN</t>
        </is>
      </c>
      <c r="G337" t="inlineStr">
        <is>
          <t>BORÅS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45294</v>
      </c>
      <c r="E338" s="1" t="n">
        <v>46238</v>
      </c>
      <c r="F338" t="inlineStr">
        <is>
          <t>VÄSTRA GÖTALANDS LÄN</t>
        </is>
      </c>
      <c r="G338" t="inlineStr">
        <is>
          <t>BORÅS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59392-2025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46238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Kyrkan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45988</v>
      </c>
      <c r="E340" s="1" t="n">
        <v>46238</v>
      </c>
      <c r="F340" t="inlineStr">
        <is>
          <t>VÄSTRA GÖTALANDS LÄN</t>
        </is>
      </c>
      <c r="G340" t="inlineStr">
        <is>
          <t>BORÅS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46238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46238</v>
      </c>
      <c r="F342" t="inlineStr">
        <is>
          <t>VÄSTRA GÖTALANDS LÄN</t>
        </is>
      </c>
      <c r="G342" t="inlineStr">
        <is>
          <t>BORÅS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46238</v>
      </c>
      <c r="F343" t="inlineStr">
        <is>
          <t>VÄSTRA GÖTALANDS LÄN</t>
        </is>
      </c>
      <c r="G343" t="inlineStr">
        <is>
          <t>BORÅS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46238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46238</v>
      </c>
      <c r="F345" t="inlineStr">
        <is>
          <t>VÄSTRA GÖTALANDS LÄN</t>
        </is>
      </c>
      <c r="G345" t="inlineStr">
        <is>
          <t>BORÅS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46238</v>
      </c>
      <c r="F346" t="inlineStr">
        <is>
          <t>VÄSTRA GÖTALANDS LÄN</t>
        </is>
      </c>
      <c r="G346" t="inlineStr">
        <is>
          <t>BORÅS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52410-2023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45224</v>
      </c>
      <c r="E347" s="1" t="n">
        <v>46238</v>
      </c>
      <c r="F347" t="inlineStr">
        <is>
          <t>VÄSTRA GÖTALANDS LÄN</t>
        </is>
      </c>
      <c r="G347" t="inlineStr">
        <is>
          <t>BORÅS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46238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45996</v>
      </c>
      <c r="E349" s="1" t="n">
        <v>46238</v>
      </c>
      <c r="F349" t="inlineStr">
        <is>
          <t>VÄSTRA GÖTALANDS LÄN</t>
        </is>
      </c>
      <c r="G349" t="inlineStr">
        <is>
          <t>BORÅS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46238</v>
      </c>
      <c r="F350" t="inlineStr">
        <is>
          <t>VÄSTRA GÖTALANDS LÄN</t>
        </is>
      </c>
      <c r="G350" t="inlineStr">
        <is>
          <t>BORÅS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45629</v>
      </c>
      <c r="E351" s="1" t="n">
        <v>46238</v>
      </c>
      <c r="F351" t="inlineStr">
        <is>
          <t>VÄSTRA GÖTALANDS LÄN</t>
        </is>
      </c>
      <c r="G351" t="inlineStr">
        <is>
          <t>BORÅS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46238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46238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32234-2023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45119</v>
      </c>
      <c r="E354" s="1" t="n">
        <v>46238</v>
      </c>
      <c r="F354" t="inlineStr">
        <is>
          <t>VÄSTRA GÖTALANDS LÄN</t>
        </is>
      </c>
      <c r="G354" t="inlineStr">
        <is>
          <t>BORÅS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45176</v>
      </c>
      <c r="E355" s="1" t="n">
        <v>46238</v>
      </c>
      <c r="F355" t="inlineStr">
        <is>
          <t>VÄSTRA GÖTALANDS LÄN</t>
        </is>
      </c>
      <c r="G355" t="inlineStr">
        <is>
          <t>BORÅS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46238</v>
      </c>
      <c r="F356" t="inlineStr">
        <is>
          <t>VÄSTRA GÖTALANDS LÄN</t>
        </is>
      </c>
      <c r="G356" t="inlineStr">
        <is>
          <t>BORÅS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46238</v>
      </c>
      <c r="F357" t="inlineStr">
        <is>
          <t>VÄSTRA GÖTALANDS LÄN</t>
        </is>
      </c>
      <c r="G357" t="inlineStr">
        <is>
          <t>BORÅS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62850-2025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46238</v>
      </c>
      <c r="F358" t="inlineStr">
        <is>
          <t>VÄSTRA GÖTALANDS LÄN</t>
        </is>
      </c>
      <c r="G358" t="inlineStr">
        <is>
          <t>BORÅS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45308</v>
      </c>
      <c r="E359" s="1" t="n">
        <v>46238</v>
      </c>
      <c r="F359" t="inlineStr">
        <is>
          <t>VÄSTRA GÖTALANDS LÄN</t>
        </is>
      </c>
      <c r="G359" t="inlineStr">
        <is>
          <t>BORÅS</t>
        </is>
      </c>
      <c r="H359" t="inlineStr">
        <is>
          <t>Kommuner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46238</v>
      </c>
      <c r="F360" t="inlineStr">
        <is>
          <t>VÄSTRA GÖTALANDS LÄN</t>
        </is>
      </c>
      <c r="G360" t="inlineStr">
        <is>
          <t>BORÅS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45770</v>
      </c>
      <c r="E361" s="1" t="n">
        <v>46238</v>
      </c>
      <c r="F361" t="inlineStr">
        <is>
          <t>VÄSTRA GÖTALANDS LÄN</t>
        </is>
      </c>
      <c r="G361" t="inlineStr">
        <is>
          <t>BORÅS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46238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45715</v>
      </c>
      <c r="E363" s="1" t="n">
        <v>46238</v>
      </c>
      <c r="F363" t="inlineStr">
        <is>
          <t>VÄSTRA GÖTALANDS LÄN</t>
        </is>
      </c>
      <c r="G363" t="inlineStr">
        <is>
          <t>BORÅS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45688</v>
      </c>
      <c r="E364" s="1" t="n">
        <v>46238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45688</v>
      </c>
      <c r="E365" s="1" t="n">
        <v>46238</v>
      </c>
      <c r="F365" t="inlineStr">
        <is>
          <t>VÄSTRA GÖTALANDS LÄN</t>
        </is>
      </c>
      <c r="G365" t="inlineStr">
        <is>
          <t>BORÅS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46238</v>
      </c>
      <c r="F366" t="inlineStr">
        <is>
          <t>VÄSTRA GÖTALANDS LÄN</t>
        </is>
      </c>
      <c r="G366" t="inlineStr">
        <is>
          <t>BORÅS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46238</v>
      </c>
      <c r="F367" t="inlineStr">
        <is>
          <t>VÄSTRA GÖTALANDS LÄN</t>
        </is>
      </c>
      <c r="G367" t="inlineStr">
        <is>
          <t>BORÅS</t>
        </is>
      </c>
      <c r="I367" t="n">
        <v>12.8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46238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44941</v>
      </c>
      <c r="E369" s="1" t="n">
        <v>46238</v>
      </c>
      <c r="F369" t="inlineStr">
        <is>
          <t>VÄSTRA GÖTALANDS LÄN</t>
        </is>
      </c>
      <c r="G369" t="inlineStr">
        <is>
          <t>BORÅS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46238</v>
      </c>
      <c r="F370" t="inlineStr">
        <is>
          <t>VÄSTRA GÖTALANDS LÄN</t>
        </is>
      </c>
      <c r="G370" t="inlineStr">
        <is>
          <t>BORÅS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53930-2024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46238</v>
      </c>
      <c r="F371" t="inlineStr">
        <is>
          <t>VÄSTRA GÖTALANDS LÄN</t>
        </is>
      </c>
      <c r="G371" t="inlineStr">
        <is>
          <t>BORÅS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45870</v>
      </c>
      <c r="E372" s="1" t="n">
        <v>46238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45268</v>
      </c>
      <c r="E373" s="1" t="n">
        <v>46238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46238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46238</v>
      </c>
      <c r="F375" t="inlineStr">
        <is>
          <t>VÄSTRA GÖTALANDS LÄN</t>
        </is>
      </c>
      <c r="G375" t="inlineStr">
        <is>
          <t>BORÅS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46238</v>
      </c>
      <c r="F376" t="inlineStr">
        <is>
          <t>VÄSTRA GÖTALANDS LÄN</t>
        </is>
      </c>
      <c r="G376" t="inlineStr">
        <is>
          <t>BORÅS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57906-2022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46238</v>
      </c>
      <c r="F377" t="inlineStr">
        <is>
          <t>VÄSTRA GÖTALANDS LÄN</t>
        </is>
      </c>
      <c r="G377" t="inlineStr">
        <is>
          <t>BORÅS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46238</v>
      </c>
      <c r="F378" t="inlineStr">
        <is>
          <t>VÄSTRA GÖTALANDS LÄN</t>
        </is>
      </c>
      <c r="G378" t="inlineStr">
        <is>
          <t>BORÅS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46238</v>
      </c>
      <c r="F379" t="inlineStr">
        <is>
          <t>VÄSTRA GÖTALANDS LÄN</t>
        </is>
      </c>
      <c r="G379" t="inlineStr">
        <is>
          <t>BORÅS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46238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46238</v>
      </c>
      <c r="F381" t="inlineStr">
        <is>
          <t>VÄSTRA GÖTALANDS LÄN</t>
        </is>
      </c>
      <c r="G381" t="inlineStr">
        <is>
          <t>BORÅS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46238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46041</v>
      </c>
      <c r="E383" s="1" t="n">
        <v>46238</v>
      </c>
      <c r="F383" t="inlineStr">
        <is>
          <t>VÄSTRA GÖTALANDS LÄN</t>
        </is>
      </c>
      <c r="G383" t="inlineStr">
        <is>
          <t>BORÅS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46238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20279-2026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46136</v>
      </c>
      <c r="E385" s="1" t="n">
        <v>46238</v>
      </c>
      <c r="F385" t="inlineStr">
        <is>
          <t>VÄSTRA GÖTALANDS LÄN</t>
        </is>
      </c>
      <c r="G385" t="inlineStr">
        <is>
          <t>BORÅS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46238</v>
      </c>
      <c r="F386" t="inlineStr">
        <is>
          <t>VÄSTRA GÖTALANDS LÄN</t>
        </is>
      </c>
      <c r="G386" t="inlineStr">
        <is>
          <t>BORÅS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46238</v>
      </c>
      <c r="F387" t="inlineStr">
        <is>
          <t>VÄSTRA GÖTALANDS LÄN</t>
        </is>
      </c>
      <c r="G387" t="inlineStr">
        <is>
          <t>BORÅS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46238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45321</v>
      </c>
      <c r="E389" s="1" t="n">
        <v>46238</v>
      </c>
      <c r="F389" t="inlineStr">
        <is>
          <t>VÄSTRA GÖTALANDS LÄN</t>
        </is>
      </c>
      <c r="G389" t="inlineStr">
        <is>
          <t>BORÅS</t>
        </is>
      </c>
      <c r="H389" t="inlineStr">
        <is>
          <t>Kommuner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46238</v>
      </c>
      <c r="F390" t="inlineStr">
        <is>
          <t>VÄSTRA GÖTALANDS LÄN</t>
        </is>
      </c>
      <c r="G390" t="inlineStr">
        <is>
          <t>BORÅS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45935</v>
      </c>
      <c r="E391" s="1" t="n">
        <v>46238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46238</v>
      </c>
      <c r="F392" t="inlineStr">
        <is>
          <t>VÄSTRA GÖTALANDS LÄN</t>
        </is>
      </c>
      <c r="G392" t="inlineStr">
        <is>
          <t>BORÅS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21168-2022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44704</v>
      </c>
      <c r="E393" s="1" t="n">
        <v>46238</v>
      </c>
      <c r="F393" t="inlineStr">
        <is>
          <t>VÄSTRA GÖTALANDS LÄN</t>
        </is>
      </c>
      <c r="G393" t="inlineStr">
        <is>
          <t>BORÅS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46238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46238</v>
      </c>
      <c r="F395" t="inlineStr">
        <is>
          <t>VÄSTRA GÖTALANDS LÄN</t>
        </is>
      </c>
      <c r="G395" t="inlineStr">
        <is>
          <t>BORÅS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46238</v>
      </c>
      <c r="F396" t="inlineStr">
        <is>
          <t>VÄSTRA GÖTALANDS LÄN</t>
        </is>
      </c>
      <c r="G396" t="inlineStr">
        <is>
          <t>BORÅS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46238</v>
      </c>
      <c r="F397" t="inlineStr">
        <is>
          <t>VÄSTRA GÖTALANDS LÄN</t>
        </is>
      </c>
      <c r="G397" t="inlineStr">
        <is>
          <t>BORÅS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44652</v>
      </c>
      <c r="E398" s="1" t="n">
        <v>46238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46238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46238</v>
      </c>
      <c r="F400" t="inlineStr">
        <is>
          <t>VÄSTRA GÖTALANDS LÄN</t>
        </is>
      </c>
      <c r="G400" t="inlineStr">
        <is>
          <t>BORÅS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45204</v>
      </c>
      <c r="E401" s="1" t="n">
        <v>46238</v>
      </c>
      <c r="F401" t="inlineStr">
        <is>
          <t>VÄSTRA GÖTALANDS LÄN</t>
        </is>
      </c>
      <c r="G401" t="inlineStr">
        <is>
          <t>BORÅS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45772</v>
      </c>
      <c r="E402" s="1" t="n">
        <v>46238</v>
      </c>
      <c r="F402" t="inlineStr">
        <is>
          <t>VÄSTRA GÖTALANDS LÄN</t>
        </is>
      </c>
      <c r="G402" t="inlineStr">
        <is>
          <t>BORÅS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46238</v>
      </c>
      <c r="F403" t="inlineStr">
        <is>
          <t>VÄSTRA GÖTALANDS LÄN</t>
        </is>
      </c>
      <c r="G403" t="inlineStr">
        <is>
          <t>BORÅS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46238</v>
      </c>
      <c r="F404" t="inlineStr">
        <is>
          <t>VÄSTRA GÖTALANDS LÄN</t>
        </is>
      </c>
      <c r="G404" t="inlineStr">
        <is>
          <t>BORÅS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46238</v>
      </c>
      <c r="F405" t="inlineStr">
        <is>
          <t>VÄSTRA GÖTALANDS LÄN</t>
        </is>
      </c>
      <c r="G405" t="inlineStr">
        <is>
          <t>BORÅS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45050</v>
      </c>
      <c r="E406" s="1" t="n">
        <v>46238</v>
      </c>
      <c r="F406" t="inlineStr">
        <is>
          <t>VÄSTRA GÖTALANDS LÄN</t>
        </is>
      </c>
      <c r="G406" t="inlineStr">
        <is>
          <t>BORÅS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46238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44155-2022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44839</v>
      </c>
      <c r="E408" s="1" t="n">
        <v>46238</v>
      </c>
      <c r="F408" t="inlineStr">
        <is>
          <t>VÄSTRA GÖTALANDS LÄN</t>
        </is>
      </c>
      <c r="G408" t="inlineStr">
        <is>
          <t>BORÅS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32483-2023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46238</v>
      </c>
      <c r="F409" t="inlineStr">
        <is>
          <t>VÄSTRA GÖTALANDS LÄN</t>
        </is>
      </c>
      <c r="G409" t="inlineStr">
        <is>
          <t>BORÅS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44959</v>
      </c>
      <c r="E410" s="1" t="n">
        <v>46238</v>
      </c>
      <c r="F410" t="inlineStr">
        <is>
          <t>VÄSTRA GÖTALANDS LÄN</t>
        </is>
      </c>
      <c r="G410" t="inlineStr">
        <is>
          <t>BORÅS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46238</v>
      </c>
      <c r="F411" t="inlineStr">
        <is>
          <t>VÄSTRA GÖTALANDS LÄN</t>
        </is>
      </c>
      <c r="G411" t="inlineStr">
        <is>
          <t>BORÅS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5964-2023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44964</v>
      </c>
      <c r="E412" s="1" t="n">
        <v>46238</v>
      </c>
      <c r="F412" t="inlineStr">
        <is>
          <t>VÄSTRA GÖTALANDS LÄN</t>
        </is>
      </c>
      <c r="G412" t="inlineStr">
        <is>
          <t>BORÅS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46238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22371-2026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46238</v>
      </c>
      <c r="F414" t="inlineStr">
        <is>
          <t>VÄSTRA GÖTALANDS LÄN</t>
        </is>
      </c>
      <c r="G414" t="inlineStr">
        <is>
          <t>BORÅS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12584-2022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44639</v>
      </c>
      <c r="E415" s="1" t="n">
        <v>46238</v>
      </c>
      <c r="F415" t="inlineStr">
        <is>
          <t>VÄSTRA GÖTALANDS LÄN</t>
        </is>
      </c>
      <c r="G415" t="inlineStr">
        <is>
          <t>BORÅS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45212</v>
      </c>
      <c r="E416" s="1" t="n">
        <v>46238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46238</v>
      </c>
      <c r="F417" t="inlineStr">
        <is>
          <t>VÄSTRA GÖTALANDS LÄN</t>
        </is>
      </c>
      <c r="G417" t="inlineStr">
        <is>
          <t>BORÅS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36781-2024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46238</v>
      </c>
      <c r="F418" t="inlineStr">
        <is>
          <t>VÄSTRA GÖTALANDS LÄN</t>
        </is>
      </c>
      <c r="G418" t="inlineStr">
        <is>
          <t>BORÅS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46238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46238</v>
      </c>
      <c r="F420" t="inlineStr">
        <is>
          <t>VÄSTRA GÖTALANDS LÄN</t>
        </is>
      </c>
      <c r="G420" t="inlineStr">
        <is>
          <t>BORÅS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46238</v>
      </c>
      <c r="F421" t="inlineStr">
        <is>
          <t>VÄSTRA GÖTALANDS LÄN</t>
        </is>
      </c>
      <c r="G421" t="inlineStr">
        <is>
          <t>BORÅS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46238</v>
      </c>
      <c r="F422" t="inlineStr">
        <is>
          <t>VÄSTRA GÖTALANDS LÄN</t>
        </is>
      </c>
      <c r="G422" t="inlineStr">
        <is>
          <t>BORÅS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46238</v>
      </c>
      <c r="F423" t="inlineStr">
        <is>
          <t>VÄSTRA GÖTALANDS LÄN</t>
        </is>
      </c>
      <c r="G423" t="inlineStr">
        <is>
          <t>BORÅS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45817</v>
      </c>
      <c r="E424" s="1" t="n">
        <v>46238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46238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46238</v>
      </c>
      <c r="F426" t="inlineStr">
        <is>
          <t>VÄSTRA GÖTALANDS LÄN</t>
        </is>
      </c>
      <c r="G426" t="inlineStr">
        <is>
          <t>BORÅS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46238</v>
      </c>
      <c r="F427" t="inlineStr">
        <is>
          <t>VÄSTRA GÖTALANDS LÄN</t>
        </is>
      </c>
      <c r="G427" t="inlineStr">
        <is>
          <t>BORÅS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46238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45015</v>
      </c>
      <c r="E429" s="1" t="n">
        <v>46238</v>
      </c>
      <c r="F429" t="inlineStr">
        <is>
          <t>VÄSTRA GÖTALANDS LÄN</t>
        </is>
      </c>
      <c r="G429" t="inlineStr">
        <is>
          <t>BORÅS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72566-2021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44546</v>
      </c>
      <c r="E430" s="1" t="n">
        <v>46238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46238</v>
      </c>
      <c r="F431" t="inlineStr">
        <is>
          <t>VÄSTRA GÖTALANDS LÄN</t>
        </is>
      </c>
      <c r="G431" t="inlineStr">
        <is>
          <t>BORÅS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46238</v>
      </c>
      <c r="F432" t="inlineStr">
        <is>
          <t>VÄSTRA GÖTALANDS LÄN</t>
        </is>
      </c>
      <c r="G432" t="inlineStr">
        <is>
          <t>BORÅS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46238</v>
      </c>
      <c r="F433" t="inlineStr">
        <is>
          <t>VÄSTRA GÖTALANDS LÄN</t>
        </is>
      </c>
      <c r="G433" t="inlineStr">
        <is>
          <t>BORÅS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46238</v>
      </c>
      <c r="F434" t="inlineStr">
        <is>
          <t>VÄSTRA GÖTALANDS LÄN</t>
        </is>
      </c>
      <c r="G434" t="inlineStr">
        <is>
          <t>BORÅS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46238</v>
      </c>
      <c r="F435" t="inlineStr">
        <is>
          <t>VÄSTRA GÖTALANDS LÄN</t>
        </is>
      </c>
      <c r="G435" t="inlineStr">
        <is>
          <t>BORÅS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46238</v>
      </c>
      <c r="F436" t="inlineStr">
        <is>
          <t>VÄSTRA GÖTALANDS LÄN</t>
        </is>
      </c>
      <c r="G436" t="inlineStr">
        <is>
          <t>BORÅS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46238</v>
      </c>
      <c r="F437" t="inlineStr">
        <is>
          <t>VÄSTRA GÖTALANDS LÄN</t>
        </is>
      </c>
      <c r="G437" t="inlineStr">
        <is>
          <t>BORÅS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12635-2026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46091</v>
      </c>
      <c r="E438" s="1" t="n">
        <v>46238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6203-2024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45337</v>
      </c>
      <c r="E439" s="1" t="n">
        <v>46238</v>
      </c>
      <c r="F439" t="inlineStr">
        <is>
          <t>VÄSTRA GÖTALANDS LÄN</t>
        </is>
      </c>
      <c r="G439" t="inlineStr">
        <is>
          <t>BORÅS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18937-2023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45044</v>
      </c>
      <c r="E440" s="1" t="n">
        <v>46238</v>
      </c>
      <c r="F440" t="inlineStr">
        <is>
          <t>VÄSTRA GÖTALANDS LÄN</t>
        </is>
      </c>
      <c r="G440" t="inlineStr">
        <is>
          <t>BORÅS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46453-2024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45582</v>
      </c>
      <c r="E441" s="1" t="n">
        <v>46238</v>
      </c>
      <c r="F441" t="inlineStr">
        <is>
          <t>VÄSTRA GÖTALANDS LÄN</t>
        </is>
      </c>
      <c r="G441" t="inlineStr">
        <is>
          <t>BORÅS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46238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46238</v>
      </c>
      <c r="F443" t="inlineStr">
        <is>
          <t>VÄSTRA GÖTALANDS LÄN</t>
        </is>
      </c>
      <c r="G443" t="inlineStr">
        <is>
          <t>BORÅS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50382-2022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44866</v>
      </c>
      <c r="E444" s="1" t="n">
        <v>46238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54875-2022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46238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46099</v>
      </c>
      <c r="E446" s="1" t="n">
        <v>46238</v>
      </c>
      <c r="F446" t="inlineStr">
        <is>
          <t>VÄSTRA GÖTALANDS LÄN</t>
        </is>
      </c>
      <c r="G446" t="inlineStr">
        <is>
          <t>BORÅS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46238</v>
      </c>
      <c r="F447" t="inlineStr">
        <is>
          <t>VÄSTRA GÖTALANDS LÄN</t>
        </is>
      </c>
      <c r="G447" t="inlineStr">
        <is>
          <t>BORÅS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44506-2023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45189</v>
      </c>
      <c r="E448" s="1" t="n">
        <v>46238</v>
      </c>
      <c r="F448" t="inlineStr">
        <is>
          <t>VÄSTRA GÖTALANDS LÄN</t>
        </is>
      </c>
      <c r="G448" t="inlineStr">
        <is>
          <t>BORÅS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46238</v>
      </c>
      <c r="F449" t="inlineStr">
        <is>
          <t>VÄSTRA GÖTALANDS LÄN</t>
        </is>
      </c>
      <c r="G449" t="inlineStr">
        <is>
          <t>BORÅS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54878-2022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46238</v>
      </c>
      <c r="F450" t="inlineStr">
        <is>
          <t>VÄSTRA GÖTALANDS LÄN</t>
        </is>
      </c>
      <c r="G450" t="inlineStr">
        <is>
          <t>BORÅS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47616-2022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44854</v>
      </c>
      <c r="E451" s="1" t="n">
        <v>46238</v>
      </c>
      <c r="F451" t="inlineStr">
        <is>
          <t>VÄSTRA GÖTALANDS LÄN</t>
        </is>
      </c>
      <c r="G451" t="inlineStr">
        <is>
          <t>BORÅS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46238</v>
      </c>
      <c r="F452" t="inlineStr">
        <is>
          <t>VÄSTRA GÖTALANDS LÄN</t>
        </is>
      </c>
      <c r="G452" t="inlineStr">
        <is>
          <t>BORÅS</t>
        </is>
      </c>
      <c r="I452" t="n">
        <v>8.6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29626-2026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46238</v>
      </c>
      <c r="F453" t="inlineStr">
        <is>
          <t>VÄSTRA GÖTALANDS LÄN</t>
        </is>
      </c>
      <c r="G453" t="inlineStr">
        <is>
          <t>BORÅS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46238</v>
      </c>
      <c r="F454" t="inlineStr">
        <is>
          <t>VÄSTRA GÖTALANDS LÄN</t>
        </is>
      </c>
      <c r="G454" t="inlineStr">
        <is>
          <t>BORÅS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46238</v>
      </c>
      <c r="F455" t="inlineStr">
        <is>
          <t>VÄSTRA GÖTALANDS LÄN</t>
        </is>
      </c>
      <c r="G455" t="inlineStr">
        <is>
          <t>BORÅS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41048-2022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44825</v>
      </c>
      <c r="E456" s="1" t="n">
        <v>46238</v>
      </c>
      <c r="F456" t="inlineStr">
        <is>
          <t>VÄSTRA GÖTALANDS LÄN</t>
        </is>
      </c>
      <c r="G456" t="inlineStr">
        <is>
          <t>BORÅS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48504-2024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46238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15193-2026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46105</v>
      </c>
      <c r="E458" s="1" t="n">
        <v>46238</v>
      </c>
      <c r="F458" t="inlineStr">
        <is>
          <t>VÄSTRA GÖTALANDS LÄN</t>
        </is>
      </c>
      <c r="G458" t="inlineStr">
        <is>
          <t>BORÅS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38970-2024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45548</v>
      </c>
      <c r="E459" s="1" t="n">
        <v>46238</v>
      </c>
      <c r="F459" t="inlineStr">
        <is>
          <t>VÄSTRA GÖTALANDS LÄN</t>
        </is>
      </c>
      <c r="G459" t="inlineStr">
        <is>
          <t>BORÅS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46238</v>
      </c>
      <c r="F460" t="inlineStr">
        <is>
          <t>VÄSTRA GÖTALANDS LÄN</t>
        </is>
      </c>
      <c r="G460" t="inlineStr">
        <is>
          <t>BORÅS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29628-2026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46238</v>
      </c>
      <c r="F461" t="inlineStr">
        <is>
          <t>VÄSTRA GÖTALANDS LÄN</t>
        </is>
      </c>
      <c r="G461" t="inlineStr">
        <is>
          <t>BORÅS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45483</v>
      </c>
      <c r="E462" s="1" t="n">
        <v>46238</v>
      </c>
      <c r="F462" t="inlineStr">
        <is>
          <t>VÄSTRA GÖTALANDS LÄN</t>
        </is>
      </c>
      <c r="G462" t="inlineStr">
        <is>
          <t>BORÅS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45483</v>
      </c>
      <c r="E463" s="1" t="n">
        <v>46238</v>
      </c>
      <c r="F463" t="inlineStr">
        <is>
          <t>VÄSTRA GÖTALANDS LÄN</t>
        </is>
      </c>
      <c r="G463" t="inlineStr">
        <is>
          <t>BORÅS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46238</v>
      </c>
      <c r="F464" t="inlineStr">
        <is>
          <t>VÄSTRA GÖTALANDS LÄN</t>
        </is>
      </c>
      <c r="G464" t="inlineStr">
        <is>
          <t>BORÅS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46238</v>
      </c>
      <c r="F465" t="inlineStr">
        <is>
          <t>VÄSTRA GÖTALANDS LÄN</t>
        </is>
      </c>
      <c r="G465" t="inlineStr">
        <is>
          <t>BORÅS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46238</v>
      </c>
      <c r="F466" t="inlineStr">
        <is>
          <t>VÄSTRA GÖTALANDS LÄN</t>
        </is>
      </c>
      <c r="G466" t="inlineStr">
        <is>
          <t>BORÅS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45756</v>
      </c>
      <c r="E467" s="1" t="n">
        <v>46238</v>
      </c>
      <c r="F467" t="inlineStr">
        <is>
          <t>VÄSTRA GÖTALANDS LÄN</t>
        </is>
      </c>
      <c r="G467" t="inlineStr">
        <is>
          <t>BORÅS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45440</v>
      </c>
      <c r="E468" s="1" t="n">
        <v>46238</v>
      </c>
      <c r="F468" t="inlineStr">
        <is>
          <t>VÄSTRA GÖTALANDS LÄN</t>
        </is>
      </c>
      <c r="G468" t="inlineStr">
        <is>
          <t>BORÅS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45670</v>
      </c>
      <c r="E469" s="1" t="n">
        <v>46238</v>
      </c>
      <c r="F469" t="inlineStr">
        <is>
          <t>VÄSTRA GÖTALANDS LÄN</t>
        </is>
      </c>
      <c r="G469" t="inlineStr">
        <is>
          <t>BORÅS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45058</v>
      </c>
      <c r="E470" s="1" t="n">
        <v>46238</v>
      </c>
      <c r="F470" t="inlineStr">
        <is>
          <t>VÄSTRA GÖTALANDS LÄN</t>
        </is>
      </c>
      <c r="G470" t="inlineStr">
        <is>
          <t>BORÅS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46238</v>
      </c>
      <c r="F471" t="inlineStr">
        <is>
          <t>VÄSTRA GÖTALANDS LÄN</t>
        </is>
      </c>
      <c r="G471" t="inlineStr">
        <is>
          <t>BORÅS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50605-2022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44866</v>
      </c>
      <c r="E472" s="1" t="n">
        <v>46238</v>
      </c>
      <c r="F472" t="inlineStr">
        <is>
          <t>VÄSTRA GÖTALANDS LÄN</t>
        </is>
      </c>
      <c r="G472" t="inlineStr">
        <is>
          <t>BORÅS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46238</v>
      </c>
      <c r="F473" t="inlineStr">
        <is>
          <t>VÄSTRA GÖTALANDS LÄN</t>
        </is>
      </c>
      <c r="G473" t="inlineStr">
        <is>
          <t>BORÅS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45240</v>
      </c>
      <c r="E474" s="1" t="n">
        <v>46238</v>
      </c>
      <c r="F474" t="inlineStr">
        <is>
          <t>VÄSTRA GÖTALANDS LÄN</t>
        </is>
      </c>
      <c r="G474" t="inlineStr">
        <is>
          <t>BORÅS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46238</v>
      </c>
      <c r="F475" t="inlineStr">
        <is>
          <t>VÄSTRA GÖTALANDS LÄN</t>
        </is>
      </c>
      <c r="G475" t="inlineStr">
        <is>
          <t>BORÅS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46382-2023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45197</v>
      </c>
      <c r="E476" s="1" t="n">
        <v>46238</v>
      </c>
      <c r="F476" t="inlineStr">
        <is>
          <t>VÄSTRA GÖTALANDS LÄN</t>
        </is>
      </c>
      <c r="G476" t="inlineStr">
        <is>
          <t>BORÅS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45186</v>
      </c>
      <c r="E477" s="1" t="n">
        <v>46238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46238</v>
      </c>
      <c r="F478" t="inlineStr">
        <is>
          <t>VÄSTRA GÖTALANDS LÄN</t>
        </is>
      </c>
      <c r="G478" t="inlineStr">
        <is>
          <t>BORÅS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28410-2024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45477</v>
      </c>
      <c r="E479" s="1" t="n">
        <v>46238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45119</v>
      </c>
      <c r="E480" s="1" t="n">
        <v>46238</v>
      </c>
      <c r="F480" t="inlineStr">
        <is>
          <t>VÄSTRA GÖTALANDS LÄN</t>
        </is>
      </c>
      <c r="G480" t="inlineStr">
        <is>
          <t>BORÅS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44771</v>
      </c>
      <c r="E481" s="1" t="n">
        <v>46238</v>
      </c>
      <c r="F481" t="inlineStr">
        <is>
          <t>VÄSTRA GÖTALANDS LÄN</t>
        </is>
      </c>
      <c r="G481" t="inlineStr">
        <is>
          <t>BORÅS</t>
        </is>
      </c>
      <c r="H481" t="inlineStr">
        <is>
          <t>Kyrkan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46216</v>
      </c>
      <c r="E482" s="1" t="n">
        <v>46238</v>
      </c>
      <c r="F482" t="inlineStr">
        <is>
          <t>VÄSTRA GÖTALANDS LÄN</t>
        </is>
      </c>
      <c r="G482" t="inlineStr">
        <is>
          <t>BORÅS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46217</v>
      </c>
      <c r="E483" s="1" t="n">
        <v>46238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46238</v>
      </c>
      <c r="F484" t="inlineStr">
        <is>
          <t>VÄSTRA GÖTALANDS LÄN</t>
        </is>
      </c>
      <c r="G484" t="inlineStr">
        <is>
          <t>BORÅS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44782-2025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45917</v>
      </c>
      <c r="E485" s="1" t="n">
        <v>46238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46238</v>
      </c>
      <c r="F486" t="inlineStr">
        <is>
          <t>VÄSTRA GÖTALANDS LÄN</t>
        </is>
      </c>
      <c r="G486" t="inlineStr">
        <is>
          <t>BORÅS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34195-2025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45845</v>
      </c>
      <c r="E487" s="1" t="n">
        <v>46238</v>
      </c>
      <c r="F487" t="inlineStr">
        <is>
          <t>VÄSTRA GÖTALANDS LÄN</t>
        </is>
      </c>
      <c r="G487" t="inlineStr">
        <is>
          <t>BORÅS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44875</v>
      </c>
      <c r="E488" s="1" t="n">
        <v>46238</v>
      </c>
      <c r="F488" t="inlineStr">
        <is>
          <t>VÄSTRA GÖTALANDS LÄN</t>
        </is>
      </c>
      <c r="G488" t="inlineStr">
        <is>
          <t>BORÅS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45126</v>
      </c>
      <c r="E489" s="1" t="n">
        <v>46238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58000-2024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45631</v>
      </c>
      <c r="E490" s="1" t="n">
        <v>46238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45321</v>
      </c>
      <c r="E491" s="1" t="n">
        <v>46238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Kommuner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46238</v>
      </c>
      <c r="F492" t="inlineStr">
        <is>
          <t>VÄSTRA GÖTALANDS LÄN</t>
        </is>
      </c>
      <c r="G492" t="inlineStr">
        <is>
          <t>BORÅS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46238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25238-2026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46175</v>
      </c>
      <c r="E494" s="1" t="n">
        <v>46238</v>
      </c>
      <c r="F494" t="inlineStr">
        <is>
          <t>VÄSTRA GÖTALANDS LÄN</t>
        </is>
      </c>
      <c r="G494" t="inlineStr">
        <is>
          <t>BORÅS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11903-2023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46238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45289</v>
      </c>
      <c r="E496" s="1" t="n">
        <v>46238</v>
      </c>
      <c r="F496" t="inlineStr">
        <is>
          <t>VÄSTRA GÖTALANDS LÄN</t>
        </is>
      </c>
      <c r="G496" t="inlineStr">
        <is>
          <t>BORÅS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46238</v>
      </c>
      <c r="F497" t="inlineStr">
        <is>
          <t>VÄSTRA GÖTALANDS LÄN</t>
        </is>
      </c>
      <c r="G497" t="inlineStr">
        <is>
          <t>BORÅS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45769</v>
      </c>
      <c r="E498" s="1" t="n">
        <v>46238</v>
      </c>
      <c r="F498" t="inlineStr">
        <is>
          <t>VÄSTRA GÖTALANDS LÄN</t>
        </is>
      </c>
      <c r="G498" t="inlineStr">
        <is>
          <t>BORÅS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46238</v>
      </c>
      <c r="F499" t="inlineStr">
        <is>
          <t>VÄSTRA GÖTALANDS LÄN</t>
        </is>
      </c>
      <c r="G499" t="inlineStr">
        <is>
          <t>BORÅS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46238</v>
      </c>
      <c r="F500" t="inlineStr">
        <is>
          <t>VÄSTRA GÖTALANDS LÄN</t>
        </is>
      </c>
      <c r="G500" t="inlineStr">
        <is>
          <t>BORÅS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46224</v>
      </c>
      <c r="E501" s="1" t="n">
        <v>46238</v>
      </c>
      <c r="F501" t="inlineStr">
        <is>
          <t>VÄSTRA GÖTALANDS LÄN</t>
        </is>
      </c>
      <c r="G501" t="inlineStr">
        <is>
          <t>BORÅS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46238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Kommuner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45609-2024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45579</v>
      </c>
      <c r="E503" s="1" t="n">
        <v>46238</v>
      </c>
      <c r="F503" t="inlineStr">
        <is>
          <t>VÄSTRA GÖTALANDS LÄN</t>
        </is>
      </c>
      <c r="G503" t="inlineStr">
        <is>
          <t>BORÅS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46238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Kyrkan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46238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46238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Kyrkan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46238</v>
      </c>
      <c r="F507" t="inlineStr">
        <is>
          <t>VÄSTRA GÖTALANDS LÄN</t>
        </is>
      </c>
      <c r="G507" t="inlineStr">
        <is>
          <t>BORÅS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44564</v>
      </c>
      <c r="E508" s="1" t="n">
        <v>46238</v>
      </c>
      <c r="F508" t="inlineStr">
        <is>
          <t>VÄSTRA GÖTALANDS LÄN</t>
        </is>
      </c>
      <c r="G508" t="inlineStr">
        <is>
          <t>BORÅS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46238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21333-2023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46238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46238</v>
      </c>
      <c r="F511" t="inlineStr">
        <is>
          <t>VÄSTRA GÖTALANDS LÄN</t>
        </is>
      </c>
      <c r="G511" t="inlineStr">
        <is>
          <t>BORÅS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46238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53125-2024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46238</v>
      </c>
      <c r="F513" t="inlineStr">
        <is>
          <t>VÄSTRA GÖTALANDS LÄN</t>
        </is>
      </c>
      <c r="G513" t="inlineStr">
        <is>
          <t>BORÅS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46238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45670</v>
      </c>
      <c r="E515" s="1" t="n">
        <v>46238</v>
      </c>
      <c r="F515" t="inlineStr">
        <is>
          <t>VÄSTRA GÖTALANDS LÄN</t>
        </is>
      </c>
      <c r="G515" t="inlineStr">
        <is>
          <t>BORÅS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46538-2021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44445</v>
      </c>
      <c r="E516" s="1" t="n">
        <v>46238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46238</v>
      </c>
      <c r="F517" t="inlineStr">
        <is>
          <t>VÄSTRA GÖTALANDS LÄN</t>
        </is>
      </c>
      <c r="G517" t="inlineStr">
        <is>
          <t>BORÅS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46238</v>
      </c>
      <c r="F518" t="inlineStr">
        <is>
          <t>VÄSTRA GÖTALANDS LÄN</t>
        </is>
      </c>
      <c r="G518" t="inlineStr">
        <is>
          <t>BORÅS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45294</v>
      </c>
      <c r="E519" s="1" t="n">
        <v>46238</v>
      </c>
      <c r="F519" t="inlineStr">
        <is>
          <t>VÄSTRA GÖTALANDS LÄN</t>
        </is>
      </c>
      <c r="G519" t="inlineStr">
        <is>
          <t>BORÅS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46238</v>
      </c>
      <c r="F520" t="inlineStr">
        <is>
          <t>VÄSTRA GÖTALANDS LÄN</t>
        </is>
      </c>
      <c r="G520" t="inlineStr">
        <is>
          <t>BORÅS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45364</v>
      </c>
      <c r="E521" s="1" t="n">
        <v>46238</v>
      </c>
      <c r="F521" t="inlineStr">
        <is>
          <t>VÄSTRA GÖTALANDS LÄN</t>
        </is>
      </c>
      <c r="G521" t="inlineStr">
        <is>
          <t>BORÅS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45308</v>
      </c>
      <c r="E522" s="1" t="n">
        <v>46238</v>
      </c>
      <c r="F522" t="inlineStr">
        <is>
          <t>VÄSTRA GÖTALANDS LÄN</t>
        </is>
      </c>
      <c r="G522" t="inlineStr">
        <is>
          <t>BORÅS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45671</v>
      </c>
      <c r="E523" s="1" t="n">
        <v>46238</v>
      </c>
      <c r="F523" t="inlineStr">
        <is>
          <t>VÄSTRA GÖTALANDS LÄN</t>
        </is>
      </c>
      <c r="G523" t="inlineStr">
        <is>
          <t>BORÅS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44577</v>
      </c>
      <c r="E524" s="1" t="n">
        <v>46238</v>
      </c>
      <c r="F524" t="inlineStr">
        <is>
          <t>VÄSTRA GÖTALANDS LÄN</t>
        </is>
      </c>
      <c r="G524" t="inlineStr">
        <is>
          <t>BORÅS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27335-2024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45472</v>
      </c>
      <c r="E525" s="1" t="n">
        <v>46238</v>
      </c>
      <c r="F525" t="inlineStr">
        <is>
          <t>VÄSTRA GÖTALANDS LÄN</t>
        </is>
      </c>
      <c r="G525" t="inlineStr">
        <is>
          <t>BORÅS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58895-2024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45636</v>
      </c>
      <c r="E526" s="1" t="n">
        <v>46238</v>
      </c>
      <c r="F526" t="inlineStr">
        <is>
          <t>VÄSTRA GÖTALANDS LÄN</t>
        </is>
      </c>
      <c r="G526" t="inlineStr">
        <is>
          <t>BORÅS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46238</v>
      </c>
      <c r="F527" t="inlineStr">
        <is>
          <t>VÄSTRA GÖTALANDS LÄN</t>
        </is>
      </c>
      <c r="G527" t="inlineStr">
        <is>
          <t>BORÅS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46238</v>
      </c>
      <c r="F528" t="inlineStr">
        <is>
          <t>VÄSTRA GÖTALANDS LÄN</t>
        </is>
      </c>
      <c r="G528" t="inlineStr">
        <is>
          <t>BORÅS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46238</v>
      </c>
      <c r="F529" t="inlineStr">
        <is>
          <t>VÄSTRA GÖTALANDS LÄN</t>
        </is>
      </c>
      <c r="G529" t="inlineStr">
        <is>
          <t>BORÅS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62532-2022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44916</v>
      </c>
      <c r="E530" s="1" t="n">
        <v>46238</v>
      </c>
      <c r="F530" t="inlineStr">
        <is>
          <t>VÄSTRA GÖTALANDS LÄN</t>
        </is>
      </c>
      <c r="G530" t="inlineStr">
        <is>
          <t>BORÅS</t>
        </is>
      </c>
      <c r="I530" t="n">
        <v>9.800000000000001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46238</v>
      </c>
      <c r="F531" t="inlineStr">
        <is>
          <t>VÄSTRA GÖTALANDS LÄN</t>
        </is>
      </c>
      <c r="G531" t="inlineStr">
        <is>
          <t>BORÅS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45120</v>
      </c>
      <c r="E532" s="1" t="n">
        <v>46238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58483-2024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46238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44837</v>
      </c>
      <c r="E534" s="1" t="n">
        <v>46238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46238</v>
      </c>
      <c r="F535" t="inlineStr">
        <is>
          <t>VÄSTRA GÖTALANDS LÄN</t>
        </is>
      </c>
      <c r="G535" t="inlineStr">
        <is>
          <t>BORÅS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28171-2022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44746</v>
      </c>
      <c r="E536" s="1" t="n">
        <v>46238</v>
      </c>
      <c r="F536" t="inlineStr">
        <is>
          <t>VÄSTRA GÖTALANDS LÄN</t>
        </is>
      </c>
      <c r="G536" t="inlineStr">
        <is>
          <t>BORÅS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46238</v>
      </c>
      <c r="F537" t="inlineStr">
        <is>
          <t>VÄSTRA GÖTALANDS LÄN</t>
        </is>
      </c>
      <c r="G537" t="inlineStr">
        <is>
          <t>BORÅS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45516</v>
      </c>
      <c r="E538" s="1" t="n">
        <v>46238</v>
      </c>
      <c r="F538" t="inlineStr">
        <is>
          <t>VÄSTRA GÖTALANDS LÄN</t>
        </is>
      </c>
      <c r="G538" t="inlineStr">
        <is>
          <t>BORÅS</t>
        </is>
      </c>
      <c r="I538" t="n">
        <v>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46238</v>
      </c>
      <c r="F539" t="inlineStr">
        <is>
          <t>VÄSTRA GÖTALANDS LÄN</t>
        </is>
      </c>
      <c r="G539" t="inlineStr">
        <is>
          <t>BORÅS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49191-2021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46238</v>
      </c>
      <c r="F540" t="inlineStr">
        <is>
          <t>VÄSTRA GÖTALANDS LÄN</t>
        </is>
      </c>
      <c r="G540" t="inlineStr">
        <is>
          <t>BORÅS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11153-2023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46238</v>
      </c>
      <c r="F541" t="inlineStr">
        <is>
          <t>VÄSTRA GÖTALANDS LÄN</t>
        </is>
      </c>
      <c r="G541" t="inlineStr">
        <is>
          <t>BORÅS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63178-2023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45273</v>
      </c>
      <c r="E542" s="1" t="n">
        <v>46238</v>
      </c>
      <c r="F542" t="inlineStr">
        <is>
          <t>VÄSTRA GÖTALANDS LÄN</t>
        </is>
      </c>
      <c r="G542" t="inlineStr">
        <is>
          <t>BORÅS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46238</v>
      </c>
      <c r="F543" t="inlineStr">
        <is>
          <t>VÄSTRA GÖTALANDS LÄN</t>
        </is>
      </c>
      <c r="G543" t="inlineStr">
        <is>
          <t>BORÅS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45421</v>
      </c>
      <c r="E544" s="1" t="n">
        <v>46238</v>
      </c>
      <c r="F544" t="inlineStr">
        <is>
          <t>VÄSTRA GÖTALANDS LÄN</t>
        </is>
      </c>
      <c r="G544" t="inlineStr">
        <is>
          <t>BORÅS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46238</v>
      </c>
      <c r="F545" t="inlineStr">
        <is>
          <t>VÄSTRA GÖTALANDS LÄN</t>
        </is>
      </c>
      <c r="G545" t="inlineStr">
        <is>
          <t>BORÅS</t>
        </is>
      </c>
      <c r="I545" t="n">
        <v>11.7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46238</v>
      </c>
      <c r="F546" t="inlineStr">
        <is>
          <t>VÄSTRA GÖTALANDS LÄN</t>
        </is>
      </c>
      <c r="G546" t="inlineStr">
        <is>
          <t>BORÅS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44748</v>
      </c>
      <c r="E547" s="1" t="n">
        <v>46238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45302</v>
      </c>
      <c r="E548" s="1" t="n">
        <v>46238</v>
      </c>
      <c r="F548" t="inlineStr">
        <is>
          <t>VÄSTRA GÖTALANDS LÄN</t>
        </is>
      </c>
      <c r="G548" t="inlineStr">
        <is>
          <t>BORÅS</t>
        </is>
      </c>
      <c r="H548" t="inlineStr">
        <is>
          <t>Sveaskog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46238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50359-2023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45216</v>
      </c>
      <c r="E550" s="1" t="n">
        <v>46238</v>
      </c>
      <c r="F550" t="inlineStr">
        <is>
          <t>VÄSTRA GÖTALANDS LÄN</t>
        </is>
      </c>
      <c r="G550" t="inlineStr">
        <is>
          <t>BORÅS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45321</v>
      </c>
      <c r="E551" s="1" t="n">
        <v>46238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Kommuner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60931-2022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44914</v>
      </c>
      <c r="E552" s="1" t="n">
        <v>46238</v>
      </c>
      <c r="F552" t="inlineStr">
        <is>
          <t>VÄSTRA GÖTALANDS LÄN</t>
        </is>
      </c>
      <c r="G552" t="inlineStr">
        <is>
          <t>BORÅS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45168</v>
      </c>
      <c r="E553" s="1" t="n">
        <v>46238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46238</v>
      </c>
      <c r="F554" t="inlineStr">
        <is>
          <t>VÄSTRA GÖTALANDS LÄN</t>
        </is>
      </c>
      <c r="G554" t="inlineStr">
        <is>
          <t>BORÅS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46238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48508-2024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46238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47624-2021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44448</v>
      </c>
      <c r="E557" s="1" t="n">
        <v>46238</v>
      </c>
      <c r="F557" t="inlineStr">
        <is>
          <t>VÄSTRA GÖTALANDS LÄN</t>
        </is>
      </c>
      <c r="G557" t="inlineStr">
        <is>
          <t>BORÅS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45582</v>
      </c>
      <c r="E558" s="1" t="n">
        <v>46238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45776</v>
      </c>
      <c r="E559" s="1" t="n">
        <v>46238</v>
      </c>
      <c r="F559" t="inlineStr">
        <is>
          <t>VÄSTRA GÖTALANDS LÄN</t>
        </is>
      </c>
      <c r="G559" t="inlineStr">
        <is>
          <t>BORÅS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45783</v>
      </c>
      <c r="E560" s="1" t="n">
        <v>46238</v>
      </c>
      <c r="F560" t="inlineStr">
        <is>
          <t>VÄSTRA GÖTALANDS LÄN</t>
        </is>
      </c>
      <c r="G560" t="inlineStr">
        <is>
          <t>BORÅS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46238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46238</v>
      </c>
      <c r="F562" t="inlineStr">
        <is>
          <t>VÄSTRA GÖTALANDS LÄN</t>
        </is>
      </c>
      <c r="G562" t="inlineStr">
        <is>
          <t>BORÅS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46238</v>
      </c>
      <c r="F563" t="inlineStr">
        <is>
          <t>VÄSTRA GÖTALANDS LÄN</t>
        </is>
      </c>
      <c r="G563" t="inlineStr">
        <is>
          <t>BORÅS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47358-2024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45587</v>
      </c>
      <c r="E564" s="1" t="n">
        <v>46238</v>
      </c>
      <c r="F564" t="inlineStr">
        <is>
          <t>VÄSTRA GÖTALANDS LÄN</t>
        </is>
      </c>
      <c r="G564" t="inlineStr">
        <is>
          <t>BORÅS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49004-2023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46238</v>
      </c>
      <c r="F565" t="inlineStr">
        <is>
          <t>VÄSTRA GÖTALANDS LÄN</t>
        </is>
      </c>
      <c r="G565" t="inlineStr">
        <is>
          <t>BORÅS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46238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46238</v>
      </c>
      <c r="F567" t="inlineStr">
        <is>
          <t>VÄSTRA GÖTALANDS LÄN</t>
        </is>
      </c>
      <c r="G567" t="inlineStr">
        <is>
          <t>BORÅS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45596</v>
      </c>
      <c r="E568" s="1" t="n">
        <v>46238</v>
      </c>
      <c r="F568" t="inlineStr">
        <is>
          <t>VÄSTRA GÖTALANDS LÄN</t>
        </is>
      </c>
      <c r="G568" t="inlineStr">
        <is>
          <t>BORÅS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46238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46238</v>
      </c>
      <c r="F570" t="inlineStr">
        <is>
          <t>VÄSTRA GÖTALANDS LÄN</t>
        </is>
      </c>
      <c r="G570" t="inlineStr">
        <is>
          <t>BORÅS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34984-2023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45142</v>
      </c>
      <c r="E571" s="1" t="n">
        <v>46238</v>
      </c>
      <c r="F571" t="inlineStr">
        <is>
          <t>VÄSTRA GÖTALANDS LÄN</t>
        </is>
      </c>
      <c r="G571" t="inlineStr">
        <is>
          <t>BORÅS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45726</v>
      </c>
      <c r="E572" s="1" t="n">
        <v>46238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45792</v>
      </c>
      <c r="E573" s="1" t="n">
        <v>46238</v>
      </c>
      <c r="F573" t="inlineStr">
        <is>
          <t>VÄSTRA GÖTALANDS LÄN</t>
        </is>
      </c>
      <c r="G573" t="inlineStr">
        <is>
          <t>BORÅS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25103-2025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45798</v>
      </c>
      <c r="E574" s="1" t="n">
        <v>46238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Kommuner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46238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25338-2025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46238</v>
      </c>
      <c r="F576" t="inlineStr">
        <is>
          <t>VÄSTRA GÖTALANDS LÄN</t>
        </is>
      </c>
      <c r="G576" t="inlineStr">
        <is>
          <t>BORÅS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46238</v>
      </c>
      <c r="F577" t="inlineStr">
        <is>
          <t>VÄSTRA GÖTALANDS LÄN</t>
        </is>
      </c>
      <c r="G577" t="inlineStr">
        <is>
          <t>BORÅS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46238</v>
      </c>
      <c r="F578" t="inlineStr">
        <is>
          <t>VÄSTRA GÖTALANDS LÄN</t>
        </is>
      </c>
      <c r="G578" t="inlineStr">
        <is>
          <t>BORÅS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45274</v>
      </c>
      <c r="E579" s="1" t="n">
        <v>46238</v>
      </c>
      <c r="F579" t="inlineStr">
        <is>
          <t>VÄSTRA GÖTALANDS LÄN</t>
        </is>
      </c>
      <c r="G579" t="inlineStr">
        <is>
          <t>BORÅS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27356-2025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46238</v>
      </c>
      <c r="F580" t="inlineStr">
        <is>
          <t>VÄSTRA GÖTALANDS LÄN</t>
        </is>
      </c>
      <c r="G580" t="inlineStr">
        <is>
          <t>BORÅS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14777-2022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44656</v>
      </c>
      <c r="E581" s="1" t="n">
        <v>46238</v>
      </c>
      <c r="F581" t="inlineStr">
        <is>
          <t>VÄSTRA GÖTALANDS LÄN</t>
        </is>
      </c>
      <c r="G581" t="inlineStr">
        <is>
          <t>BORÅS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46238</v>
      </c>
      <c r="F582" t="inlineStr">
        <is>
          <t>VÄSTRA GÖTALANDS LÄN</t>
        </is>
      </c>
      <c r="G582" t="inlineStr">
        <is>
          <t>BORÅS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45812</v>
      </c>
      <c r="E583" s="1" t="n">
        <v>46238</v>
      </c>
      <c r="F583" t="inlineStr">
        <is>
          <t>VÄSTRA GÖTALANDS LÄN</t>
        </is>
      </c>
      <c r="G583" t="inlineStr">
        <is>
          <t>BORÅS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27370-2025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45812</v>
      </c>
      <c r="E584" s="1" t="n">
        <v>46238</v>
      </c>
      <c r="F584" t="inlineStr">
        <is>
          <t>VÄSTRA GÖTALANDS LÄN</t>
        </is>
      </c>
      <c r="G584" t="inlineStr">
        <is>
          <t>BORÅS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46420-2024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45582</v>
      </c>
      <c r="E585" s="1" t="n">
        <v>46238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46238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46238</v>
      </c>
      <c r="F587" t="inlineStr">
        <is>
          <t>VÄSTRA GÖTALANDS LÄN</t>
        </is>
      </c>
      <c r="G587" t="inlineStr">
        <is>
          <t>BORÅS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13436-2025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45735</v>
      </c>
      <c r="E588" s="1" t="n">
        <v>46238</v>
      </c>
      <c r="F588" t="inlineStr">
        <is>
          <t>VÄSTRA GÖTALANDS LÄN</t>
        </is>
      </c>
      <c r="G588" t="inlineStr">
        <is>
          <t>BORÅS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45819</v>
      </c>
      <c r="E589" s="1" t="n">
        <v>46238</v>
      </c>
      <c r="F589" t="inlineStr">
        <is>
          <t>VÄSTRA GÖTALANDS LÄN</t>
        </is>
      </c>
      <c r="G589" t="inlineStr">
        <is>
          <t>BORÅS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46238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29126-2025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46238</v>
      </c>
      <c r="F591" t="inlineStr">
        <is>
          <t>VÄSTRA GÖTALANDS LÄN</t>
        </is>
      </c>
      <c r="G591" t="inlineStr">
        <is>
          <t>BORÅS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27339-2024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45472</v>
      </c>
      <c r="E592" s="1" t="n">
        <v>46238</v>
      </c>
      <c r="F592" t="inlineStr">
        <is>
          <t>VÄSTRA GÖTALANDS LÄN</t>
        </is>
      </c>
      <c r="G592" t="inlineStr">
        <is>
          <t>BORÅS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45823</v>
      </c>
      <c r="E593" s="1" t="n">
        <v>46238</v>
      </c>
      <c r="F593" t="inlineStr">
        <is>
          <t>VÄSTRA GÖTALANDS LÄN</t>
        </is>
      </c>
      <c r="G593" t="inlineStr">
        <is>
          <t>BORÅS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46238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46238</v>
      </c>
      <c r="F595" t="inlineStr">
        <is>
          <t>VÄSTRA GÖTALANDS LÄN</t>
        </is>
      </c>
      <c r="G595" t="inlineStr">
        <is>
          <t>BORÅS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46238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46238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10291-2025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45720</v>
      </c>
      <c r="E598" s="1" t="n">
        <v>46238</v>
      </c>
      <c r="F598" t="inlineStr">
        <is>
          <t>VÄSTRA GÖTALANDS LÄN</t>
        </is>
      </c>
      <c r="G598" t="inlineStr">
        <is>
          <t>BORÅS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46238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30312-2025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45827</v>
      </c>
      <c r="E600" s="1" t="n">
        <v>46238</v>
      </c>
      <c r="F600" t="inlineStr">
        <is>
          <t>VÄSTRA GÖTALANDS LÄN</t>
        </is>
      </c>
      <c r="G600" t="inlineStr">
        <is>
          <t>BORÅS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46238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45832</v>
      </c>
      <c r="E602" s="1" t="n">
        <v>46238</v>
      </c>
      <c r="F602" t="inlineStr">
        <is>
          <t>VÄSTRA GÖTALANDS LÄN</t>
        </is>
      </c>
      <c r="G602" t="inlineStr">
        <is>
          <t>BORÅS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45839</v>
      </c>
      <c r="E603" s="1" t="n">
        <v>46238</v>
      </c>
      <c r="F603" t="inlineStr">
        <is>
          <t>VÄSTRA GÖTALANDS LÄN</t>
        </is>
      </c>
      <c r="G603" t="inlineStr">
        <is>
          <t>BORÅS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46238</v>
      </c>
      <c r="F604" t="inlineStr">
        <is>
          <t>VÄSTRA GÖTALANDS LÄN</t>
        </is>
      </c>
      <c r="G604" t="inlineStr">
        <is>
          <t>BORÅS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45836</v>
      </c>
      <c r="E605" s="1" t="n">
        <v>46238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45836</v>
      </c>
      <c r="E606" s="1" t="n">
        <v>46238</v>
      </c>
      <c r="F606" t="inlineStr">
        <is>
          <t>VÄSTRA GÖTALANDS LÄN</t>
        </is>
      </c>
      <c r="G606" t="inlineStr">
        <is>
          <t>BORÅS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46238</v>
      </c>
      <c r="F607" t="inlineStr">
        <is>
          <t>VÄSTRA GÖTALANDS LÄN</t>
        </is>
      </c>
      <c r="G607" t="inlineStr">
        <is>
          <t>BORÅS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13955-2024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46238</v>
      </c>
      <c r="F608" t="inlineStr">
        <is>
          <t>VÄSTRA GÖTALANDS LÄN</t>
        </is>
      </c>
      <c r="G608" t="inlineStr">
        <is>
          <t>BORÅS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34415-2025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45846</v>
      </c>
      <c r="E609" s="1" t="n">
        <v>46238</v>
      </c>
      <c r="F609" t="inlineStr">
        <is>
          <t>VÄSTRA GÖTALANDS LÄN</t>
        </is>
      </c>
      <c r="G609" t="inlineStr">
        <is>
          <t>BORÅS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45848</v>
      </c>
      <c r="E610" s="1" t="n">
        <v>46238</v>
      </c>
      <c r="F610" t="inlineStr">
        <is>
          <t>VÄSTRA GÖTALANDS LÄN</t>
        </is>
      </c>
      <c r="G610" t="inlineStr">
        <is>
          <t>BORÅS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13954-2024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46238</v>
      </c>
      <c r="F611" t="inlineStr">
        <is>
          <t>VÄSTRA GÖTALANDS LÄN</t>
        </is>
      </c>
      <c r="G611" t="inlineStr">
        <is>
          <t>BORÅS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7249-2021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44467</v>
      </c>
      <c r="E612" s="1" t="n">
        <v>46238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46238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46238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46238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46238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7239-2021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44466</v>
      </c>
      <c r="E617" s="1" t="n">
        <v>46238</v>
      </c>
      <c r="F617" t="inlineStr">
        <is>
          <t>VÄSTRA GÖTALANDS LÄN</t>
        </is>
      </c>
      <c r="G617" t="inlineStr">
        <is>
          <t>BORÅS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46238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46238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46238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46238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46238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46238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46238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46238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46238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46238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46238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46238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46238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46238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46238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46238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46238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46238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46238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46238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46238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46238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2026-08-04T01:52:38Z</dcterms:created>
  <dcterms:modified xmlns:dcterms="http://purl.org/dc/terms/" xmlns:xsi="http://www.w3.org/2001/XMLSchema-instance" xsi:type="dcterms:W3CDTF">2026-08-04T01:52:39Z</dcterms:modified>
</cp:coreProperties>
</file>