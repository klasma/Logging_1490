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45639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45639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45639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45639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45639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45639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3706-2024</t>
        </is>
      </c>
      <c r="B14" s="1" t="n">
        <v>45321</v>
      </c>
      <c r="C14" s="1" t="n">
        <v>45639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8.699999999999999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HYPERLINK("https://klasma.github.io/Logging_1490/artfynd/A 3706-2024 artfynd.xlsx", "A 3706-2024")</f>
        <v/>
      </c>
      <c r="T14">
        <f>HYPERLINK("https://klasma.github.io/Logging_1490/kartor/A 3706-2024 karta.png", "A 3706-2024")</f>
        <v/>
      </c>
      <c r="V14">
        <f>HYPERLINK("https://klasma.github.io/Logging_1490/klagomål/A 3706-2024 FSC-klagomål.docx", "A 3706-2024")</f>
        <v/>
      </c>
      <c r="W14">
        <f>HYPERLINK("https://klasma.github.io/Logging_1490/klagomålsmail/A 3706-2024 FSC-klagomål mail.docx", "A 3706-2024")</f>
        <v/>
      </c>
      <c r="X14">
        <f>HYPERLINK("https://klasma.github.io/Logging_1490/tillsyn/A 3706-2024 tillsynsbegäran.docx", "A 3706-2024")</f>
        <v/>
      </c>
      <c r="Y14">
        <f>HYPERLINK("https://klasma.github.io/Logging_1490/tillsynsmail/A 3706-2024 tillsynsbegäran mail.docx", "A 3706-2024")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45639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28682-2024</t>
        </is>
      </c>
      <c r="B16" s="1" t="n">
        <v>45478</v>
      </c>
      <c r="C16" s="1" t="n">
        <v>45639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51423-2024</t>
        </is>
      </c>
      <c r="B17" s="1" t="n">
        <v>45604</v>
      </c>
      <c r="C17" s="1" t="n">
        <v>45639</v>
      </c>
      <c r="D17" t="inlineStr">
        <is>
          <t>VÄSTRA GÖTALANDS LÄN</t>
        </is>
      </c>
      <c r="E17" t="inlineStr">
        <is>
          <t>BORÅS</t>
        </is>
      </c>
      <c r="G17" t="n">
        <v>3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Nattviol</t>
        </is>
      </c>
      <c r="S17">
        <f>HYPERLINK("https://klasma.github.io/Logging_1490/artfynd/A 51423-2024 artfynd.xlsx", "A 51423-2024")</f>
        <v/>
      </c>
      <c r="T17">
        <f>HYPERLINK("https://klasma.github.io/Logging_1490/kartor/A 51423-2024 karta.png", "A 51423-2024")</f>
        <v/>
      </c>
      <c r="U17">
        <f>HYPERLINK("https://klasma.github.io/Logging_1490/knärot/A 51423-2024 karta knärot.png", "A 51423-2024")</f>
        <v/>
      </c>
      <c r="V17">
        <f>HYPERLINK("https://klasma.github.io/Logging_1490/klagomål/A 51423-2024 FSC-klagomål.docx", "A 51423-2024")</f>
        <v/>
      </c>
      <c r="W17">
        <f>HYPERLINK("https://klasma.github.io/Logging_1490/klagomålsmail/A 51423-2024 FSC-klagomål mail.docx", "A 51423-2024")</f>
        <v/>
      </c>
      <c r="X17">
        <f>HYPERLINK("https://klasma.github.io/Logging_1490/tillsyn/A 51423-2024 tillsynsbegäran.docx", "A 51423-2024")</f>
        <v/>
      </c>
      <c r="Y17">
        <f>HYPERLINK("https://klasma.github.io/Logging_1490/tillsynsmail/A 51423-2024 tillsynsbegäran mail.docx", "A 51423-2024")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45639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45639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45639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45639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45639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45639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45639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45639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45639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45639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45639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45639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45639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45639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45639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45639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45639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45639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45639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45639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45639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45639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45639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45639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45639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45639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45639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45639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45639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45639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45639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45639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45639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45639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45639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45639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45639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45639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45639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45639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45639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45639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45639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45639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45639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45639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45639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45639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45639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45639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45639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45639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45639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45639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45639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45639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45639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45639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45639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45639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45639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45639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45639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45639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45639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45639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45639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45639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45639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45639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45639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45639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45639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45639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45639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45639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45639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45639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45639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45639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45639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45639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45639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45639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45639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45639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45639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45639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45639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45639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45639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45639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45639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45639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45639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45639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45639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45639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45639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45639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45639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45639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45639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45639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45639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45639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45639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45639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45639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45639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45639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45639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45639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45639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45639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45639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45639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45639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45639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45639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45639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45639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45639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45639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45639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45639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45639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45639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45639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45639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45639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45639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45639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45639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45639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45639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45639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45639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45639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45639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45639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45639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45639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45639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45639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45639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45639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45639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45639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45639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45639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45639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45639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45639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45639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45639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45639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45639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45639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45639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45639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45639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45639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45639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45639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45639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45639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45639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45639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45639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45639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45639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45639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45639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45639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45639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45639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45639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45639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45639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45639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45639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45639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45639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45639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45639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45639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45639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45639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45639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45639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45639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45639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45639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45639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45639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45639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45639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45639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45639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45639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45639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45639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45639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45639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45639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45639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45639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45639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45639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45639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45639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45639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45639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45639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45639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45639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45639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45639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45639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45639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45639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45639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45639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45639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45639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45639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45639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45639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45639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45639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45639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45639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45639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45639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45639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45639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45639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45639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45639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45639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45639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45639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45639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45639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45639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45639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45639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45639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45639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45639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45639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45639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45639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45639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45639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45639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45639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45639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45639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45639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45639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45639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45639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45639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45639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45639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45639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45639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45639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45639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45639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45639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45639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45639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45639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45639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45639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45639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45639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45639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45639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45639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45639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45639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45639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45639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45639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45639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45639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45639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45639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45639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45639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45639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45639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45639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45639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45639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45639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45639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45639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45639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45639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45639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45639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45639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45639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45639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45639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45639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45639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45639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45639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45639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45639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45639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45639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45639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45639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45639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45639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45639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45639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45639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45639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45639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45639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45639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45639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45639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45639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45639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45639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45639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45639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45639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45639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45639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45639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45639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45639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45639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45639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45639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45639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45639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45639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45639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45639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45639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45639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45639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45639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45639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45639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45639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45639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45639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45639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45639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45639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45639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45639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45639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45639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45639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45639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45639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45639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45639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45639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45639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45639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45639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45639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45639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45639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45639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45639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45639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45639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45639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45639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45639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45639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45639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45639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45639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45639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45639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45639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45639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45639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45639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45639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45639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45639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45639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45639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45639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45639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45639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45639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45639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45639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45639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45639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45639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45639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45639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45639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45639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45639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45639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45639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45639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45639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45639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45639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45639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45639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45639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45639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45639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45639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45639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45639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45639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45639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45639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45639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45639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45639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45639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45639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45639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45639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45639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45639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45639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45639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45639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45639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45639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45639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45639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45639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45639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45639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45639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45639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45639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45639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45639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45639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45639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45639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45639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45639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45639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45639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45639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45639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45639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45639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45639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45639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45639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45639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45639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45639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45639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45639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45639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45639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45639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45639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45639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45639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45639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45639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45639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45639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45639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45639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45639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45639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45639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45639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45639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45639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45639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45639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45639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45639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45639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45639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45639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45639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45639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45639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45639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45639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45639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45639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45639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45639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45639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45639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45639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45639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45639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45639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45639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45639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45639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45639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45639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45639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45639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45639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45639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45639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45639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45639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45639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45639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45639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45639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45639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45639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45639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45639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45639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45639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45639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45639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45639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45639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45639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45639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45639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45639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45639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45639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45639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45639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45639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45639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45639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45639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45639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45639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45639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45639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45639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45639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45639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45639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45639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45639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45639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45639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45639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45639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45639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45639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45639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45639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45639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45639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45639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45639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45639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45639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45639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45639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45639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45639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45639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45639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45639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45639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45639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45639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45639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45639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45639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45639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45639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45639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45639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45639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45639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45639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45639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45639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45639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45639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45639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45639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45639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45639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45639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45639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45639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45639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45639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45639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45639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45639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45639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45639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45639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45639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45639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45639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45639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45639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45639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45639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45639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45639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45639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45639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45639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45639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45639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45639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45639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45639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45639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45639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45639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45639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45639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45639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45639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45639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45639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45639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45639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45639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45639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45639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45639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45639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45639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45639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45639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45639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45639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45639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45639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45639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45639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45639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45639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45639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45639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45639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45639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45639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45639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45639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45639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45639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45639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45639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45639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45639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45639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45639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45639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45639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45639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45639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45639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45639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45639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45639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45639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45639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45639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45639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45639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45639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45639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45639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45639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45639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45639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45639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45639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45639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45639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45639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45639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45639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45639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45639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45639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45639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45639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45639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45639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45639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45639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45639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45639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45639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45639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45639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45639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45639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45639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45639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45639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45639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45639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45639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45639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45639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45639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45639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45639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45639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45639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45639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45639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45639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45639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45639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45639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45639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45639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45639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45639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45639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45639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45639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45639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45639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45639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45639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45639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45639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45639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45639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45639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45639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45639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45639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45639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45639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45639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45639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45639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45639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45639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45639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45639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45639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45639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45639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45639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45639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45639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45639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45639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45639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45639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45639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45639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45639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45639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45639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45639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45639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45639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45639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45639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45639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45639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45639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45639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45639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45639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45639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45639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45639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45639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45639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45639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45639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45639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45639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45639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45639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45639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45639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45639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45639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45639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45639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45639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45639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45639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45639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45639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45639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45639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45639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45639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45639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45639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45639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45639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45639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45639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45639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45639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45639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45639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45639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45639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45639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45639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45639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45639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45639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45639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45639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45639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45639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45639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45639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45639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45639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45639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45639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45639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45639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45639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45639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45639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45639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45639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53063-2024</t>
        </is>
      </c>
      <c r="B906" s="1" t="n">
        <v>45611</v>
      </c>
      <c r="C906" s="1" t="n">
        <v>45639</v>
      </c>
      <c r="D906" t="inlineStr">
        <is>
          <t>VÄSTRA GÖTALANDS LÄN</t>
        </is>
      </c>
      <c r="E906" t="inlineStr">
        <is>
          <t>BORÅS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53079-2024</t>
        </is>
      </c>
      <c r="B907" s="1" t="n">
        <v>45611</v>
      </c>
      <c r="C907" s="1" t="n">
        <v>45639</v>
      </c>
      <c r="D907" t="inlineStr">
        <is>
          <t>VÄSTRA GÖTALANDS LÄN</t>
        </is>
      </c>
      <c r="E907" t="inlineStr">
        <is>
          <t>BORÅS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45639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45639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45639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45639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45639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45639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45639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54800-2024</t>
        </is>
      </c>
      <c r="B915" s="1" t="n">
        <v>45618</v>
      </c>
      <c r="C915" s="1" t="n">
        <v>45639</v>
      </c>
      <c r="D915" t="inlineStr">
        <is>
          <t>VÄSTRA GÖTALANDS LÄN</t>
        </is>
      </c>
      <c r="E915" t="inlineStr">
        <is>
          <t>BORÅS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45639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45639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45639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45639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45639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55718-2024</t>
        </is>
      </c>
      <c r="B921" s="1" t="n">
        <v>45622</v>
      </c>
      <c r="C921" s="1" t="n">
        <v>45639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55544-2024</t>
        </is>
      </c>
      <c r="B922" s="1" t="n">
        <v>45622</v>
      </c>
      <c r="C922" s="1" t="n">
        <v>45639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45639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45639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45639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45639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45639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45639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45639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45639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45639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57439-2024</t>
        </is>
      </c>
      <c r="B932" s="1" t="n">
        <v>45629</v>
      </c>
      <c r="C932" s="1" t="n">
        <v>45639</v>
      </c>
      <c r="D932" t="inlineStr">
        <is>
          <t>VÄSTRA GÖTALANDS LÄN</t>
        </is>
      </c>
      <c r="E932" t="inlineStr">
        <is>
          <t>BORÅS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45639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45639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45639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45639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45639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45639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45639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45639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45639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45639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45639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45639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59463-2024</t>
        </is>
      </c>
      <c r="B945" s="1" t="n">
        <v>45638</v>
      </c>
      <c r="C945" s="1" t="n">
        <v>45639</v>
      </c>
      <c r="D945" t="inlineStr">
        <is>
          <t>VÄSTRA GÖTALANDS LÄN</t>
        </is>
      </c>
      <c r="E945" t="inlineStr">
        <is>
          <t>BORÅS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59512-2024</t>
        </is>
      </c>
      <c r="B946" s="1" t="n">
        <v>45638</v>
      </c>
      <c r="C946" s="1" t="n">
        <v>45639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2024-12-13T15:20:46Z</dcterms:created>
  <dcterms:modified xmlns:dcterms="http://purl.org/dc/terms/" xmlns:xsi="http://www.w3.org/2001/XMLSchema-instance" xsi:type="dcterms:W3CDTF">2024-12-13T15:20:47Z</dcterms:modified>
</cp:coreProperties>
</file>