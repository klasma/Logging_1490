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46229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46229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46229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51411-2024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45604</v>
      </c>
      <c r="E8" s="1" t="n">
        <v>46229</v>
      </c>
      <c r="F8" t="inlineStr">
        <is>
          <t>VÄSTRA GÖTALANDS LÄN</t>
        </is>
      </c>
      <c r="G8" t="inlineStr">
        <is>
          <t>BORÅS</t>
        </is>
      </c>
      <c r="I8" t="n">
        <v>11.8</v>
      </c>
      <c r="J8" t="n">
        <v>4</v>
      </c>
      <c r="K8" t="n">
        <v>1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8</v>
      </c>
      <c r="U8" t="n">
        <v>6</v>
      </c>
      <c r="V8" s="2" t="inlineStr">
        <is>
          <t>Ask
Järnsparv
Sädesärla
Guldlockmossa
Spillkråka
Kråka</t>
        </is>
      </c>
      <c r="W8">
        <f>HYPERLINK("https://klasma.github.io/Logging_1490/artfynd/A 51411-2024 artfynd.xlsx", "A 51411-2024")</f>
        <v/>
      </c>
      <c r="X8">
        <f>HYPERLINK("https://klasma.github.io/Logging_1490/kartor/A 51411-2024 karta.png", "A 51411-2024")</f>
        <v/>
      </c>
      <c r="Y8">
        <f>HYPERLINK("https://klasma.github.io/Logging_1490/kartor_geotiff/A 51411-2024 georefererad karta.tif", "A 51411-2024")</f>
        <v/>
      </c>
      <c r="AA8">
        <f>HYPERLINK("https://klasma.github.io/Logging_1490/klagomål/A 51411-2024 FSC-klagomål.docx", "A 51411-2024")</f>
        <v/>
      </c>
      <c r="AB8">
        <f>HYPERLINK("https://klasma.github.io/Logging_1490/klagomålsmail/A 51411-2024 FSC-klagomål mail.docx", "A 51411-2024")</f>
        <v/>
      </c>
      <c r="AC8">
        <f>HYPERLINK("https://klasma.github.io/Logging_1490/tillsyn/A 51411-2024 tillsynsbegäran.docx", "A 51411-2024")</f>
        <v/>
      </c>
      <c r="AD8">
        <f>HYPERLINK("https://klasma.github.io/Logging_1490/tillsynsmail/A 51411-2024 tillsynsbegäran mail.docx", "A 51411-2024")</f>
        <v/>
      </c>
      <c r="AE8">
        <f>HYPERLINK("https://klasma.github.io/Logging_1490/fåglar/A 51411-2024 prioriterade fågelarter.docx", "A 51411-2024")</f>
        <v/>
      </c>
    </row>
    <row r="9" ht="15" customHeight="1">
      <c r="A9" t="inlineStr">
        <is>
          <t>A 43837-2023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46229</v>
      </c>
      <c r="F9" t="inlineStr">
        <is>
          <t>VÄSTRA GÖTALANDS LÄN</t>
        </is>
      </c>
      <c r="G9" t="inlineStr">
        <is>
          <t>BORÅS</t>
        </is>
      </c>
      <c r="I9" t="n">
        <v>0.5</v>
      </c>
      <c r="J9" t="n">
        <v>0</v>
      </c>
      <c r="K9" t="n">
        <v>1</v>
      </c>
      <c r="L9" t="n">
        <v>2</v>
      </c>
      <c r="M9" t="n">
        <v>1</v>
      </c>
      <c r="N9" t="n">
        <v>2</v>
      </c>
      <c r="O9" t="n">
        <v>0</v>
      </c>
      <c r="P9" t="n">
        <v>0</v>
      </c>
      <c r="Q9" t="n">
        <v>5</v>
      </c>
      <c r="R9" t="n">
        <v>3</v>
      </c>
      <c r="S9" t="n">
        <v>6</v>
      </c>
      <c r="T9" t="n">
        <v>6</v>
      </c>
      <c r="U9" t="n">
        <v>0</v>
      </c>
      <c r="V9" s="2" t="inlineStr">
        <is>
          <t>Brödtaggsvamp
Sammetstaggsvamp
Grangråticka
Dofttaggsvamp
Dropptaggsvamp
Svavelriska</t>
        </is>
      </c>
      <c r="W9">
        <f>HYPERLINK("https://klasma.github.io/Logging_1490/artfynd/A 43837-2023 artfynd.xlsx", "A 43837-2023")</f>
        <v/>
      </c>
      <c r="X9">
        <f>HYPERLINK("https://klasma.github.io/Logging_1490/kartor/A 43837-2023 karta.png", "A 43837-2023")</f>
        <v/>
      </c>
      <c r="Y9">
        <f>HYPERLINK("https://klasma.github.io/Logging_1490/kartor_geotiff/A 43837-2023 georefererad karta.tif", "A 43837-2023")</f>
        <v/>
      </c>
      <c r="AA9">
        <f>HYPERLINK("https://klasma.github.io/Logging_1490/klagomål/A 43837-2023 FSC-klagomål.docx", "A 43837-2023")</f>
        <v/>
      </c>
      <c r="AB9">
        <f>HYPERLINK("https://klasma.github.io/Logging_1490/klagomålsmail/A 43837-2023 FSC-klagomål mail.docx", "A 43837-2023")</f>
        <v/>
      </c>
      <c r="AC9">
        <f>HYPERLINK("https://klasma.github.io/Logging_1490/tillsyn/A 43837-2023 tillsynsbegäran.docx", "A 43837-2023")</f>
        <v/>
      </c>
      <c r="AD9">
        <f>HYPERLINK("https://klasma.github.io/Logging_1490/tillsynsmail/A 43837-2023 tillsynsbegäran mail.docx", "A 43837-2023")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46229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46229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Mattlummer
Spillkråka
Tjäder
Lopplummer (aggregat)
Revlummer</t>
        </is>
      </c>
      <c r="W11">
        <f>HYPERLINK("https://klasma.github.io/Logging_1490/artfynd/A 3474-2026 artfynd.xlsx", "A 3474-2026")</f>
        <v/>
      </c>
      <c r="X11">
        <f>HYPERLINK("https://klasma.github.io/Logging_1490/kartor/A 3474-2026 karta.png", "A 3474-2026")</f>
        <v/>
      </c>
      <c r="Y11">
        <f>HYPERLINK("https://klasma.github.io/Logging_1490/kartor_geotiff/A 3474-2026 georefererad karta.tif", "A 3474-2026")</f>
        <v/>
      </c>
      <c r="AA11">
        <f>HYPERLINK("https://klasma.github.io/Logging_1490/klagomål/A 3474-2026 FSC-klagomål.docx", "A 3474-2026")</f>
        <v/>
      </c>
      <c r="AB11">
        <f>HYPERLINK("https://klasma.github.io/Logging_1490/klagomålsmail/A 3474-2026 FSC-klagomål mail.docx", "A 3474-2026")</f>
        <v/>
      </c>
      <c r="AC11">
        <f>HYPERLINK("https://klasma.github.io/Logging_1490/tillsyn/A 3474-2026 tillsynsbegäran.docx", "A 3474-2026")</f>
        <v/>
      </c>
      <c r="AD11">
        <f>HYPERLINK("https://klasma.github.io/Logging_1490/tillsynsmail/A 3474-2026 tillsynsbegäran mail.docx", "A 3474-2026")</f>
        <v/>
      </c>
      <c r="AE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46229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Ask
Grynig filtlav
Lunglav
Fällmossa
Guldlockmossa</t>
        </is>
      </c>
      <c r="W12">
        <f>HYPERLINK("https://klasma.github.io/Logging_1490/artfynd/S 1257-2022 artfynd.xlsx", "S 1257-2022")</f>
        <v/>
      </c>
      <c r="X12">
        <f>HYPERLINK("https://klasma.github.io/Logging_1490/kartor/S 1257-2022 karta.png", "S 1257-2022")</f>
        <v/>
      </c>
      <c r="Y12">
        <f>HYPERLINK("https://klasma.github.io/Logging_1490/kartor_geotiff/S 1257-2022 georefererad karta.tif", "S 1257-2022")</f>
        <v/>
      </c>
      <c r="AA12">
        <f>HYPERLINK("https://klasma.github.io/Logging_1490/klagomål/S 1257-2022 FSC-klagomål.docx", "S 1257-2022")</f>
        <v/>
      </c>
      <c r="AB12">
        <f>HYPERLINK("https://klasma.github.io/Logging_1490/klagomålsmail/S 1257-2022 FSC-klagomål mail.docx", "S 1257-2022")</f>
        <v/>
      </c>
      <c r="AC12">
        <f>HYPERLINK("https://klasma.github.io/Logging_1490/tillsyn/S 1257-2022 tillsynsbegäran.docx", "S 1257-2022")</f>
        <v/>
      </c>
      <c r="AD12">
        <f>HYPERLINK("https://klasma.github.io/Logging_1490/tillsynsmail/S 1257-2022 tillsynsbegäran mail.docx", "S 1257-2022")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46229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46229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46229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A 14222-2024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45393</v>
      </c>
      <c r="E16" s="1" t="n">
        <v>46229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Sveaskog</t>
        </is>
      </c>
      <c r="I16" t="n">
        <v>20.3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Talltita
Mattlummer
Tjäder
Tofsmes</t>
        </is>
      </c>
      <c r="W16">
        <f>HYPERLINK("https://klasma.github.io/Logging_1490/artfynd/A 14222-2024 artfynd.xlsx", "A 14222-2024")</f>
        <v/>
      </c>
      <c r="X16">
        <f>HYPERLINK("https://klasma.github.io/Logging_1490/kartor/A 14222-2024 karta.png", "A 14222-2024")</f>
        <v/>
      </c>
      <c r="Y16">
        <f>HYPERLINK("https://klasma.github.io/Logging_1490/kartor_geotiff/A 14222-2024 georefererad karta.tif", "A 14222-2024")</f>
        <v/>
      </c>
      <c r="AA16">
        <f>HYPERLINK("https://klasma.github.io/Logging_1490/klagomål/A 14222-2024 FSC-klagomål.docx", "A 14222-2024")</f>
        <v/>
      </c>
      <c r="AB16">
        <f>HYPERLINK("https://klasma.github.io/Logging_1490/klagomålsmail/A 14222-2024 FSC-klagomål mail.docx", "A 14222-2024")</f>
        <v/>
      </c>
      <c r="AC16">
        <f>HYPERLINK("https://klasma.github.io/Logging_1490/tillsyn/A 14222-2024 tillsynsbegäran.docx", "A 14222-2024")</f>
        <v/>
      </c>
      <c r="AD16">
        <f>HYPERLINK("https://klasma.github.io/Logging_1490/tillsynsmail/A 14222-2024 tillsynsbegäran mail.docx", "A 14222-2024")</f>
        <v/>
      </c>
      <c r="AE16">
        <f>HYPERLINK("https://klasma.github.io/Logging_1490/fåglar/A 14222-2024 prioriterade fågelarter.docx", "A 14222-2024")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46229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3</v>
      </c>
      <c r="V17" s="2" t="inlineStr">
        <is>
          <t>Talltita
Gröngöling
Kungsfågel
Kopparödla</t>
        </is>
      </c>
      <c r="W17">
        <f>HYPERLINK("https://klasma.github.io/Logging_1490/artfynd/S 6338-2022 artfynd.xlsx", "S 6338-2022")</f>
        <v/>
      </c>
      <c r="X17">
        <f>HYPERLINK("https://klasma.github.io/Logging_1490/kartor/S 6338-2022 karta.png", "S 6338-2022")</f>
        <v/>
      </c>
      <c r="Y17">
        <f>HYPERLINK("https://klasma.github.io/Logging_1490/kartor_geotiff/S 6338-2022 georefererad karta.tif", "S 6338-2022")</f>
        <v/>
      </c>
      <c r="AA17">
        <f>HYPERLINK("https://klasma.github.io/Logging_1490/klagomål/S 6338-2022 FSC-klagomål.docx", "S 6338-2022")</f>
        <v/>
      </c>
      <c r="AB17">
        <f>HYPERLINK("https://klasma.github.io/Logging_1490/klagomålsmail/S 6338-2022 FSC-klagomål mail.docx", "S 6338-2022")</f>
        <v/>
      </c>
      <c r="AC17">
        <f>HYPERLINK("https://klasma.github.io/Logging_1490/tillsyn/S 6338-2022 tillsynsbegäran.docx", "S 6338-2022")</f>
        <v/>
      </c>
      <c r="AD17">
        <f>HYPERLINK("https://klasma.github.io/Logging_1490/tillsynsmail/S 6338-2022 tillsynsbegäran mail.docx", "S 6338-2022")</f>
        <v/>
      </c>
      <c r="AE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46229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Nordfladdermus
Dvärgpipistrell
Vattenfladdermus</t>
        </is>
      </c>
      <c r="W18">
        <f>HYPERLINK("https://klasma.github.io/Logging_1490/artfynd/A 23630-2022 artfynd.xlsx", "A 23630-2022")</f>
        <v/>
      </c>
      <c r="X18">
        <f>HYPERLINK("https://klasma.github.io/Logging_1490/kartor/A 23630-2022 karta.png", "A 23630-2022")</f>
        <v/>
      </c>
      <c r="Y18">
        <f>HYPERLINK("https://klasma.github.io/Logging_1490/kartor_geotiff/A 23630-2022 georefererad karta.tif", "A 23630-2022")</f>
        <v/>
      </c>
      <c r="AA18">
        <f>HYPERLINK("https://klasma.github.io/Logging_1490/klagomål/A 23630-2022 FSC-klagomål.docx", "A 23630-2022")</f>
        <v/>
      </c>
      <c r="AB18">
        <f>HYPERLINK("https://klasma.github.io/Logging_1490/klagomålsmail/A 23630-2022 FSC-klagomål mail.docx", "A 23630-2022")</f>
        <v/>
      </c>
      <c r="AC18">
        <f>HYPERLINK("https://klasma.github.io/Logging_1490/tillsyn/A 23630-2022 tillsynsbegäran.docx", "A 23630-2022")</f>
        <v/>
      </c>
      <c r="AD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46229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Mindre hackspett
Åkergroda
Vanlig groda</t>
        </is>
      </c>
      <c r="W19">
        <f>HYPERLINK("https://klasma.github.io/Logging_1490/artfynd/A 47306-2021 artfynd.xlsx", "A 47306-2021")</f>
        <v/>
      </c>
      <c r="X19">
        <f>HYPERLINK("https://klasma.github.io/Logging_1490/kartor/A 47306-2021 karta.png", "A 47306-2021")</f>
        <v/>
      </c>
      <c r="Y19">
        <f>HYPERLINK("https://klasma.github.io/Logging_1490/kartor_geotiff/A 47306-2021 georefererad karta.tif", "A 47306-2021")</f>
        <v/>
      </c>
      <c r="AA19">
        <f>HYPERLINK("https://klasma.github.io/Logging_1490/klagomål/A 47306-2021 FSC-klagomål.docx", "A 47306-2021")</f>
        <v/>
      </c>
      <c r="AB19">
        <f>HYPERLINK("https://klasma.github.io/Logging_1490/klagomålsmail/A 47306-2021 FSC-klagomål mail.docx", "A 47306-2021")</f>
        <v/>
      </c>
      <c r="AC19">
        <f>HYPERLINK("https://klasma.github.io/Logging_1490/tillsyn/A 47306-2021 tillsynsbegäran.docx", "A 47306-2021")</f>
        <v/>
      </c>
      <c r="AD19">
        <f>HYPERLINK("https://klasma.github.io/Logging_1490/tillsynsmail/A 47306-2021 tillsynsbegäran mail.docx", "A 47306-2021")</f>
        <v/>
      </c>
      <c r="AE19">
        <f>HYPERLINK("https://klasma.github.io/Logging_1490/fåglar/A 47306-2021 prioriterade fågelarter.docx", "A 47306-2021")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46229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46229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46229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46229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46229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46229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46229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46229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63618-2023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46229</v>
      </c>
      <c r="F28" t="inlineStr">
        <is>
          <t>VÄSTRA GÖTALANDS LÄN</t>
        </is>
      </c>
      <c r="G28" t="inlineStr">
        <is>
          <t>BORÅS</t>
        </is>
      </c>
      <c r="I28" t="n">
        <v>5.3</v>
      </c>
      <c r="J28" t="n">
        <v>3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Sädesärla
Svartvit flugsnappare</t>
        </is>
      </c>
      <c r="W28">
        <f>HYPERLINK("https://klasma.github.io/Logging_1490/artfynd/A 63618-2023 artfynd.xlsx", "A 63618-2023")</f>
        <v/>
      </c>
      <c r="X28">
        <f>HYPERLINK("https://klasma.github.io/Logging_1490/kartor/A 63618-2023 karta.png", "A 63618-2023")</f>
        <v/>
      </c>
      <c r="Y28">
        <f>HYPERLINK("https://klasma.github.io/Logging_1490/kartor_geotiff/A 63618-2023 georefererad karta.tif", "A 63618-2023")</f>
        <v/>
      </c>
      <c r="AA28">
        <f>HYPERLINK("https://klasma.github.io/Logging_1490/klagomål/A 63618-2023 FSC-klagomål.docx", "A 63618-2023")</f>
        <v/>
      </c>
      <c r="AB28">
        <f>HYPERLINK("https://klasma.github.io/Logging_1490/klagomålsmail/A 63618-2023 FSC-klagomål mail.docx", "A 63618-2023")</f>
        <v/>
      </c>
      <c r="AC28">
        <f>HYPERLINK("https://klasma.github.io/Logging_1490/tillsyn/A 63618-2023 tillsynsbegäran.docx", "A 63618-2023")</f>
        <v/>
      </c>
      <c r="AD28">
        <f>HYPERLINK("https://klasma.github.io/Logging_1490/tillsynsmail/A 63618-2023 tillsynsbegäran mail.docx", "A 63618-2023")</f>
        <v/>
      </c>
      <c r="AE28">
        <f>HYPERLINK("https://klasma.github.io/Logging_1490/fåglar/A 63618-2023 prioriterade fågelarter.docx", "A 63618-2023")</f>
        <v/>
      </c>
    </row>
    <row r="29" ht="15" customHeight="1">
      <c r="A29" t="inlineStr">
        <is>
          <t>A 72582-2021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46229</v>
      </c>
      <c r="F29" t="inlineStr">
        <is>
          <t>VÄSTRA GÖTALANDS LÄN</t>
        </is>
      </c>
      <c r="G29" t="inlineStr">
        <is>
          <t>BORÅS</t>
        </is>
      </c>
      <c r="I29" t="n">
        <v>3</v>
      </c>
      <c r="J29" t="n">
        <v>0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Igelkott
Jungfrulin
Svinrot</t>
        </is>
      </c>
      <c r="W29">
        <f>HYPERLINK("https://klasma.github.io/Logging_1490/artfynd/A 72582-2021 artfynd.xlsx", "A 72582-2021")</f>
        <v/>
      </c>
      <c r="X29">
        <f>HYPERLINK("https://klasma.github.io/Logging_1490/kartor/A 72582-2021 karta.png", "A 72582-2021")</f>
        <v/>
      </c>
      <c r="Y29">
        <f>HYPERLINK("https://klasma.github.io/Logging_1490/kartor_geotiff/A 72582-2021 georefererad karta.tif", "A 72582-2021")</f>
        <v/>
      </c>
      <c r="AA29">
        <f>HYPERLINK("https://klasma.github.io/Logging_1490/klagomål/A 72582-2021 FSC-klagomål.docx", "A 72582-2021")</f>
        <v/>
      </c>
      <c r="AB29">
        <f>HYPERLINK("https://klasma.github.io/Logging_1490/klagomålsmail/A 72582-2021 FSC-klagomål mail.docx", "A 72582-2021")</f>
        <v/>
      </c>
      <c r="AC29">
        <f>HYPERLINK("https://klasma.github.io/Logging_1490/tillsyn/A 72582-2021 tillsynsbegäran.docx", "A 72582-2021")</f>
        <v/>
      </c>
      <c r="AD29">
        <f>HYPERLINK("https://klasma.github.io/Logging_1490/tillsynsmail/A 72582-2021 tillsynsbegäran mail.docx", "A 72582-2021")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46229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t="n">
        <v>1</v>
      </c>
      <c r="V30" s="2" t="inlineStr">
        <is>
          <t>Talltita
Spillkråka
Revlummer</t>
        </is>
      </c>
      <c r="W30">
        <f>HYPERLINK("https://klasma.github.io/Logging_1490/artfynd/A 57442-2024 artfynd.xlsx", "A 57442-2024")</f>
        <v/>
      </c>
      <c r="X30">
        <f>HYPERLINK("https://klasma.github.io/Logging_1490/kartor/A 57442-2024 karta.png", "A 57442-2024")</f>
        <v/>
      </c>
      <c r="Y30">
        <f>HYPERLINK("https://klasma.github.io/Logging_1490/kartor_geotiff/A 57442-2024 georefererad karta.tif", "A 57442-2024")</f>
        <v/>
      </c>
      <c r="AA30">
        <f>HYPERLINK("https://klasma.github.io/Logging_1490/klagomål/A 57442-2024 FSC-klagomål.docx", "A 57442-2024")</f>
        <v/>
      </c>
      <c r="AB30">
        <f>HYPERLINK("https://klasma.github.io/Logging_1490/klagomålsmail/A 57442-2024 FSC-klagomål mail.docx", "A 57442-2024")</f>
        <v/>
      </c>
      <c r="AC30">
        <f>HYPERLINK("https://klasma.github.io/Logging_1490/tillsyn/A 57442-2024 tillsynsbegäran.docx", "A 57442-2024")</f>
        <v/>
      </c>
      <c r="AD30">
        <f>HYPERLINK("https://klasma.github.io/Logging_1490/tillsynsmail/A 57442-2024 tillsynsbegäran mail.docx", "A 57442-2024")</f>
        <v/>
      </c>
      <c r="AE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46229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46229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29231-2022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46229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Spillkråka
Revlummer</t>
        </is>
      </c>
      <c r="W33">
        <f>HYPERLINK("https://klasma.github.io/Logging_1490/artfynd/A 29231-2022 artfynd.xlsx", "A 29231-2022")</f>
        <v/>
      </c>
      <c r="X33">
        <f>HYPERLINK("https://klasma.github.io/Logging_1490/kartor/A 29231-2022 karta.png", "A 29231-2022")</f>
        <v/>
      </c>
      <c r="Y33">
        <f>HYPERLINK("https://klasma.github.io/Logging_1490/kartor_geotiff/A 29231-2022 georefererad karta.tif", "A 29231-2022")</f>
        <v/>
      </c>
      <c r="AA33">
        <f>HYPERLINK("https://klasma.github.io/Logging_1490/klagomål/A 29231-2022 FSC-klagomål.docx", "A 29231-2022")</f>
        <v/>
      </c>
      <c r="AB33">
        <f>HYPERLINK("https://klasma.github.io/Logging_1490/klagomålsmail/A 29231-2022 FSC-klagomål mail.docx", "A 29231-2022")</f>
        <v/>
      </c>
      <c r="AC33">
        <f>HYPERLINK("https://klasma.github.io/Logging_1490/tillsyn/A 29231-2022 tillsynsbegäran.docx", "A 29231-2022")</f>
        <v/>
      </c>
      <c r="AD33">
        <f>HYPERLINK("https://klasma.github.io/Logging_1490/tillsynsmail/A 29231-2022 tillsynsbegäran mail.docx", "A 29231-2022")</f>
        <v/>
      </c>
      <c r="AE33">
        <f>HYPERLINK("https://klasma.github.io/Logging_1490/fåglar/A 29231-2022 prioriterade fågelarter.docx", "A 29231-2022")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46229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46229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46229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46229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46229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46229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46229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46229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46229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46229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1</v>
      </c>
      <c r="V43" s="2" t="inlineStr">
        <is>
          <t>Skogsalm
Knärot</t>
        </is>
      </c>
      <c r="W43">
        <f>HYPERLINK("https://klasma.github.io/Logging_1490/artfynd/A 55712-2021 artfynd.xlsx", "A 55712-2021")</f>
        <v/>
      </c>
      <c r="X43">
        <f>HYPERLINK("https://klasma.github.io/Logging_1490/kartor/A 55712-2021 karta.png", "A 55712-2021")</f>
        <v/>
      </c>
      <c r="Y43">
        <f>HYPERLINK("https://klasma.github.io/Logging_1490/kartor_geotiff/A 55712-2021 georefererad karta.tif", "A 55712-2021")</f>
        <v/>
      </c>
      <c r="Z43">
        <f>HYPERLINK("https://klasma.github.io/Logging_1490/knärot/A 55712-2021 karta knärot.png", "A 55712-2021")</f>
        <v/>
      </c>
      <c r="AA43">
        <f>HYPERLINK("https://klasma.github.io/Logging_1490/klagomål/A 55712-2021 FSC-klagomål.docx", "A 55712-2021")</f>
        <v/>
      </c>
      <c r="AB43">
        <f>HYPERLINK("https://klasma.github.io/Logging_1490/klagomålsmail/A 55712-2021 FSC-klagomål mail.docx", "A 55712-2021")</f>
        <v/>
      </c>
      <c r="AC43">
        <f>HYPERLINK("https://klasma.github.io/Logging_1490/tillsyn/A 55712-2021 tillsynsbegäran.docx", "A 55712-2021")</f>
        <v/>
      </c>
      <c r="AD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46229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46229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46229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46229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46229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Svavelriska
Nattskärra</t>
        </is>
      </c>
      <c r="W48">
        <f>HYPERLINK("https://klasma.github.io/Logging_1490/artfynd/A 34341-2025 artfynd.xlsx", "A 34341-2025")</f>
        <v/>
      </c>
      <c r="X48">
        <f>HYPERLINK("https://klasma.github.io/Logging_1490/kartor/A 34341-2025 karta.png", "A 34341-2025")</f>
        <v/>
      </c>
      <c r="Y48">
        <f>HYPERLINK("https://klasma.github.io/Logging_1490/kartor_geotiff/A 34341-2025 georefererad karta.tif", "A 34341-2025")</f>
        <v/>
      </c>
      <c r="AA48">
        <f>HYPERLINK("https://klasma.github.io/Logging_1490/klagomål/A 34341-2025 FSC-klagomål.docx", "A 34341-2025")</f>
        <v/>
      </c>
      <c r="AB48">
        <f>HYPERLINK("https://klasma.github.io/Logging_1490/klagomålsmail/A 34341-2025 FSC-klagomål mail.docx", "A 34341-2025")</f>
        <v/>
      </c>
      <c r="AC48">
        <f>HYPERLINK("https://klasma.github.io/Logging_1490/tillsyn/A 34341-2025 tillsynsbegäran.docx", "A 34341-2025")</f>
        <v/>
      </c>
      <c r="AD48">
        <f>HYPERLINK("https://klasma.github.io/Logging_1490/tillsynsmail/A 34341-2025 tillsynsbegäran mail.docx", "A 34341-2025")</f>
        <v/>
      </c>
      <c r="AE48">
        <f>HYPERLINK("https://klasma.github.io/Logging_1490/fåglar/A 34341-2025 prioriterade fågelarter.docx", "A 34341-2025")</f>
        <v/>
      </c>
    </row>
    <row r="49" ht="15" customHeight="1">
      <c r="A49" t="inlineStr">
        <is>
          <t>A 36260-2025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46229</v>
      </c>
      <c r="F49" t="inlineStr">
        <is>
          <t>VÄSTRA GÖTALANDS LÄN</t>
        </is>
      </c>
      <c r="G49" t="inlineStr">
        <is>
          <t>BORÅS</t>
        </is>
      </c>
      <c r="I49" t="n">
        <v>0.8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Fällmossa
Guldlockmossa</t>
        </is>
      </c>
      <c r="W49">
        <f>HYPERLINK("https://klasma.github.io/Logging_1490/artfynd/A 36260-2025 artfynd.xlsx", "A 36260-2025")</f>
        <v/>
      </c>
      <c r="X49">
        <f>HYPERLINK("https://klasma.github.io/Logging_1490/kartor/A 36260-2025 karta.png", "A 36260-2025")</f>
        <v/>
      </c>
      <c r="Y49">
        <f>HYPERLINK("https://klasma.github.io/Logging_1490/kartor_geotiff/A 36260-2025 georefererad karta.tif", "A 36260-2025")</f>
        <v/>
      </c>
      <c r="AA49">
        <f>HYPERLINK("https://klasma.github.io/Logging_1490/klagomål/A 36260-2025 FSC-klagomål.docx", "A 36260-2025")</f>
        <v/>
      </c>
      <c r="AB49">
        <f>HYPERLINK("https://klasma.github.io/Logging_1490/klagomålsmail/A 36260-2025 FSC-klagomål mail.docx", "A 36260-2025")</f>
        <v/>
      </c>
      <c r="AC49">
        <f>HYPERLINK("https://klasma.github.io/Logging_1490/tillsyn/A 36260-2025 tillsynsbegäran.docx", "A 36260-2025")</f>
        <v/>
      </c>
      <c r="AD49">
        <f>HYPERLINK("https://klasma.github.io/Logging_1490/tillsynsmail/A 36260-2025 tillsynsbegäran mail.docx", "A 36260-2025")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46229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Spillkråka
Kungsfågel</t>
        </is>
      </c>
      <c r="W50">
        <f>HYPERLINK("https://klasma.github.io/Logging_1490/artfynd/S 6335-2022 artfynd.xlsx", "S 6335-2022")</f>
        <v/>
      </c>
      <c r="X50">
        <f>HYPERLINK("https://klasma.github.io/Logging_1490/kartor/S 6335-2022 karta.png", "S 6335-2022")</f>
        <v/>
      </c>
      <c r="Y50">
        <f>HYPERLINK("https://klasma.github.io/Logging_1490/kartor_geotiff/S 6335-2022 georefererad karta.tif", "S 6335-2022")</f>
        <v/>
      </c>
      <c r="AA50">
        <f>HYPERLINK("https://klasma.github.io/Logging_1490/klagomål/S 6335-2022 FSC-klagomål.docx", "S 6335-2022")</f>
        <v/>
      </c>
      <c r="AB50">
        <f>HYPERLINK("https://klasma.github.io/Logging_1490/klagomålsmail/S 6335-2022 FSC-klagomål mail.docx", "S 6335-2022")</f>
        <v/>
      </c>
      <c r="AC50">
        <f>HYPERLINK("https://klasma.github.io/Logging_1490/tillsyn/S 6335-2022 tillsynsbegäran.docx", "S 6335-2022")</f>
        <v/>
      </c>
      <c r="AD50">
        <f>HYPERLINK("https://klasma.github.io/Logging_1490/tillsynsmail/S 6335-2022 tillsynsbegäran mail.docx", "S 6335-2022")</f>
        <v/>
      </c>
      <c r="AE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46229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Spillkråka
Revlummer</t>
        </is>
      </c>
      <c r="W51">
        <f>HYPERLINK("https://klasma.github.io/Logging_1490/artfynd/S 531-2024 artfynd.xlsx", "S 531-2024")</f>
        <v/>
      </c>
      <c r="X51">
        <f>HYPERLINK("https://klasma.github.io/Logging_1490/kartor/S 531-2024 karta.png", "S 531-2024")</f>
        <v/>
      </c>
      <c r="Y51">
        <f>HYPERLINK("https://klasma.github.io/Logging_1490/kartor_geotiff/S 531-2024 georefererad karta.tif", "S 531-2024")</f>
        <v/>
      </c>
      <c r="AA51">
        <f>HYPERLINK("https://klasma.github.io/Logging_1490/klagomål/S 531-2024 FSC-klagomål.docx", "S 531-2024")</f>
        <v/>
      </c>
      <c r="AB51">
        <f>HYPERLINK("https://klasma.github.io/Logging_1490/klagomålsmail/S 531-2024 FSC-klagomål mail.docx", "S 531-2024")</f>
        <v/>
      </c>
      <c r="AC51">
        <f>HYPERLINK("https://klasma.github.io/Logging_1490/tillsyn/S 531-2024 tillsynsbegäran.docx", "S 531-2024")</f>
        <v/>
      </c>
      <c r="AD51">
        <f>HYPERLINK("https://klasma.github.io/Logging_1490/tillsynsmail/S 531-2024 tillsynsbegäran mail.docx", "S 531-2024")</f>
        <v/>
      </c>
      <c r="AE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46229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Grynig filtlav
Bårdlav</t>
        </is>
      </c>
      <c r="W52">
        <f>HYPERLINK("https://klasma.github.io/Logging_1490/artfynd/S 5249-2022 artfynd.xlsx", "S 5249-2022")</f>
        <v/>
      </c>
      <c r="X52">
        <f>HYPERLINK("https://klasma.github.io/Logging_1490/kartor/S 5249-2022 karta.png", "S 5249-2022")</f>
        <v/>
      </c>
      <c r="Y52">
        <f>HYPERLINK("https://klasma.github.io/Logging_1490/kartor_geotiff/S 5249-2022 georefererad karta.tif", "S 5249-2022")</f>
        <v/>
      </c>
      <c r="AA52">
        <f>HYPERLINK("https://klasma.github.io/Logging_1490/klagomål/S 5249-2022 FSC-klagomål.docx", "S 5249-2022")</f>
        <v/>
      </c>
      <c r="AB52">
        <f>HYPERLINK("https://klasma.github.io/Logging_1490/klagomålsmail/S 5249-2022 FSC-klagomål mail.docx", "S 5249-2022")</f>
        <v/>
      </c>
      <c r="AC52">
        <f>HYPERLINK("https://klasma.github.io/Logging_1490/tillsyn/S 5249-2022 tillsynsbegäran.docx", "S 5249-2022")</f>
        <v/>
      </c>
      <c r="AD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46229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Guldlockmossa</t>
        </is>
      </c>
      <c r="W53">
        <f>HYPERLINK("https://klasma.github.io/Logging_1490/artfynd/S 2232-2025 artfynd.xlsx", "S 2232-2025")</f>
        <v/>
      </c>
      <c r="X53">
        <f>HYPERLINK("https://klasma.github.io/Logging_1490/kartor/S 2232-2025 karta.png", "S 2232-2025")</f>
        <v/>
      </c>
      <c r="Y53">
        <f>HYPERLINK("https://klasma.github.io/Logging_1490/kartor_geotiff/S 2232-2025 georefererad karta.tif", "S 2232-2025")</f>
        <v/>
      </c>
      <c r="AA53">
        <f>HYPERLINK("https://klasma.github.io/Logging_1490/klagomål/S 2232-2025 FSC-klagomål.docx", "S 2232-2025")</f>
        <v/>
      </c>
      <c r="AB53">
        <f>HYPERLINK("https://klasma.github.io/Logging_1490/klagomålsmail/S 2232-2025 FSC-klagomål mail.docx", "S 2232-2025")</f>
        <v/>
      </c>
      <c r="AC53">
        <f>HYPERLINK("https://klasma.github.io/Logging_1490/tillsyn/S 2232-2025 tillsynsbegäran.docx", "S 2232-2025")</f>
        <v/>
      </c>
      <c r="AD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46229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46229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31980-2024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46229</v>
      </c>
      <c r="F56" t="inlineStr">
        <is>
          <t>VÄSTRA GÖTALANDS LÄN</t>
        </is>
      </c>
      <c r="G56" t="inlineStr">
        <is>
          <t>BORÅS</t>
        </is>
      </c>
      <c r="I56" t="n">
        <v>2.8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HYPERLINK("https://klasma.github.io/Logging_1490/artfynd/A 31980-2024 artfynd.xlsx", "A 31980-2024")</f>
        <v/>
      </c>
      <c r="X56">
        <f>HYPERLINK("https://klasma.github.io/Logging_1490/kartor/A 31980-2024 karta.png", "A 31980-2024")</f>
        <v/>
      </c>
      <c r="Y56">
        <f>HYPERLINK("https://klasma.github.io/Logging_1490/kartor_geotiff/A 31980-2024 georefererad karta.tif", "A 31980-2024")</f>
        <v/>
      </c>
      <c r="AA56">
        <f>HYPERLINK("https://klasma.github.io/Logging_1490/klagomål/A 31980-2024 FSC-klagomål.docx", "A 31980-2024")</f>
        <v/>
      </c>
      <c r="AB56">
        <f>HYPERLINK("https://klasma.github.io/Logging_1490/klagomålsmail/A 31980-2024 FSC-klagomål mail.docx", "A 31980-2024")</f>
        <v/>
      </c>
      <c r="AC56">
        <f>HYPERLINK("https://klasma.github.io/Logging_1490/tillsyn/A 31980-2024 tillsynsbegäran.docx", "A 31980-2024")</f>
        <v/>
      </c>
      <c r="AD56">
        <f>HYPERLINK("https://klasma.github.io/Logging_1490/tillsynsmail/A 31980-2024 tillsynsbegäran mail.docx", "A 31980-2024")</f>
        <v/>
      </c>
    </row>
    <row r="57" ht="15" customHeight="1">
      <c r="A57" t="inlineStr">
        <is>
          <t>A 1922-2025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46229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Kyrkan</t>
        </is>
      </c>
      <c r="I57" t="n">
        <v>5.9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Kungsfågel</t>
        </is>
      </c>
      <c r="W57">
        <f>HYPERLINK("https://klasma.github.io/Logging_1490/artfynd/A 1922-2025 artfynd.xlsx", "A 1922-2025")</f>
        <v/>
      </c>
      <c r="X57">
        <f>HYPERLINK("https://klasma.github.io/Logging_1490/kartor/A 1922-2025 karta.png", "A 1922-2025")</f>
        <v/>
      </c>
      <c r="Y57">
        <f>HYPERLINK("https://klasma.github.io/Logging_1490/kartor_geotiff/A 1922-2025 georefererad karta.tif", "A 1922-2025")</f>
        <v/>
      </c>
      <c r="AA57">
        <f>HYPERLINK("https://klasma.github.io/Logging_1490/klagomål/A 1922-2025 FSC-klagomål.docx", "A 1922-2025")</f>
        <v/>
      </c>
      <c r="AB57">
        <f>HYPERLINK("https://klasma.github.io/Logging_1490/klagomålsmail/A 1922-2025 FSC-klagomål mail.docx", "A 1922-2025")</f>
        <v/>
      </c>
      <c r="AC57">
        <f>HYPERLINK("https://klasma.github.io/Logging_1490/tillsyn/A 1922-2025 tillsynsbegäran.docx", "A 1922-2025")</f>
        <v/>
      </c>
      <c r="AD57">
        <f>HYPERLINK("https://klasma.github.io/Logging_1490/tillsynsmail/A 1922-2025 tillsynsbegäran mail.docx", "A 1922-2025")</f>
        <v/>
      </c>
    </row>
    <row r="58" ht="15" customHeight="1">
      <c r="A58" t="inlineStr">
        <is>
          <t>A 62162-2023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46229</v>
      </c>
      <c r="F58" t="inlineStr">
        <is>
          <t>VÄSTRA GÖTALANDS LÄN</t>
        </is>
      </c>
      <c r="G58" t="inlineStr">
        <is>
          <t>BORÅS</t>
        </is>
      </c>
      <c r="I58" t="n">
        <v>2.2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62162-2023 artfynd.xlsx", "A 62162-2023")</f>
        <v/>
      </c>
      <c r="X58">
        <f>HYPERLINK("https://klasma.github.io/Logging_1490/kartor/A 62162-2023 karta.png", "A 62162-2023")</f>
        <v/>
      </c>
      <c r="Y58">
        <f>HYPERLINK("https://klasma.github.io/Logging_1490/kartor_geotiff/A 62162-2023 georefererad karta.tif", "A 62162-2023")</f>
        <v/>
      </c>
      <c r="AA58">
        <f>HYPERLINK("https://klasma.github.io/Logging_1490/klagomål/A 62162-2023 FSC-klagomål.docx", "A 62162-2023")</f>
        <v/>
      </c>
      <c r="AB58">
        <f>HYPERLINK("https://klasma.github.io/Logging_1490/klagomålsmail/A 62162-2023 FSC-klagomål mail.docx", "A 62162-2023")</f>
        <v/>
      </c>
      <c r="AC58">
        <f>HYPERLINK("https://klasma.github.io/Logging_1490/tillsyn/A 62162-2023 tillsynsbegäran.docx", "A 62162-2023")</f>
        <v/>
      </c>
      <c r="AD58">
        <f>HYPERLINK("https://klasma.github.io/Logging_1490/tillsynsmail/A 62162-2023 tillsynsbegäran mail.docx", "A 62162-2023")</f>
        <v/>
      </c>
      <c r="AE58">
        <f>HYPERLINK("https://klasma.github.io/Logging_1490/fåglar/A 62162-2023 prioriterade fågelarter.docx", "A 62162-2023")</f>
        <v/>
      </c>
    </row>
    <row r="59" ht="15" customHeight="1">
      <c r="A59" t="inlineStr">
        <is>
          <t>A 3760-2024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46229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6.8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Kråka</t>
        </is>
      </c>
      <c r="W59">
        <f>HYPERLINK("https://klasma.github.io/Logging_1490/artfynd/A 3760-2024 artfynd.xlsx", "A 3760-2024")</f>
        <v/>
      </c>
      <c r="X59">
        <f>HYPERLINK("https://klasma.github.io/Logging_1490/kartor/A 3760-2024 karta.png", "A 3760-2024")</f>
        <v/>
      </c>
      <c r="Y59">
        <f>HYPERLINK("https://klasma.github.io/Logging_1490/kartor_geotiff/A 3760-2024 georefererad karta.tif", "A 3760-2024")</f>
        <v/>
      </c>
      <c r="AA59">
        <f>HYPERLINK("https://klasma.github.io/Logging_1490/klagomål/A 3760-2024 FSC-klagomål.docx", "A 3760-2024")</f>
        <v/>
      </c>
      <c r="AB59">
        <f>HYPERLINK("https://klasma.github.io/Logging_1490/klagomålsmail/A 3760-2024 FSC-klagomål mail.docx", "A 3760-2024")</f>
        <v/>
      </c>
      <c r="AC59">
        <f>HYPERLINK("https://klasma.github.io/Logging_1490/tillsyn/A 3760-2024 tillsynsbegäran.docx", "A 3760-2024")</f>
        <v/>
      </c>
      <c r="AD59">
        <f>HYPERLINK("https://klasma.github.io/Logging_1490/tillsynsmail/A 3760-2024 tillsynsbegäran mail.docx", "A 3760-2024")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46229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46229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46229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46229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HYPERLINK("https://klasma.github.io/Logging_1490/artfynd/A 27342-2022 artfynd.xlsx", "A 27342-2022")</f>
        <v/>
      </c>
      <c r="X63">
        <f>HYPERLINK("https://klasma.github.io/Logging_1490/kartor/A 27342-2022 karta.png", "A 27342-2022")</f>
        <v/>
      </c>
      <c r="Y63">
        <f>HYPERLINK("https://klasma.github.io/Logging_1490/kartor_geotiff/A 27342-2022 georefererad karta.tif", "A 27342-2022")</f>
        <v/>
      </c>
      <c r="AA63">
        <f>HYPERLINK("https://klasma.github.io/Logging_1490/klagomål/A 27342-2022 FSC-klagomål.docx", "A 27342-2022")</f>
        <v/>
      </c>
      <c r="AB63">
        <f>HYPERLINK("https://klasma.github.io/Logging_1490/klagomålsmail/A 27342-2022 FSC-klagomål mail.docx", "A 27342-2022")</f>
        <v/>
      </c>
      <c r="AC63">
        <f>HYPERLINK("https://klasma.github.io/Logging_1490/tillsyn/A 27342-2022 tillsynsbegäran.docx", "A 27342-2022")</f>
        <v/>
      </c>
      <c r="AD63">
        <f>HYPERLINK("https://klasma.github.io/Logging_1490/tillsynsmail/A 27342-2022 tillsynsbegäran mail.docx", "A 27342-2022")</f>
        <v/>
      </c>
      <c r="AE63">
        <f>HYPERLINK("https://klasma.github.io/Logging_1490/fåglar/A 27342-2022 prioriterade fågelarter.docx", "A 27342-2022")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46229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46229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46229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46229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46229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46229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46229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46229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46229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46229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46229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23756-2025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46229</v>
      </c>
      <c r="F75" t="inlineStr">
        <is>
          <t>VÄSTRA GÖTALANDS LÄN</t>
        </is>
      </c>
      <c r="G75" t="inlineStr">
        <is>
          <t>BORÅS</t>
        </is>
      </c>
      <c r="I75" t="n">
        <v>1.9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HYPERLINK("https://klasma.github.io/Logging_1490/artfynd/A 23756-2025 artfynd.xlsx", "A 23756-2025")</f>
        <v/>
      </c>
      <c r="X75">
        <f>HYPERLINK("https://klasma.github.io/Logging_1490/kartor/A 23756-2025 karta.png", "A 23756-2025")</f>
        <v/>
      </c>
      <c r="Y75">
        <f>HYPERLINK("https://klasma.github.io/Logging_1490/kartor_geotiff/A 23756-2025 georefererad karta.tif", "A 23756-2025")</f>
        <v/>
      </c>
      <c r="AA75">
        <f>HYPERLINK("https://klasma.github.io/Logging_1490/klagomål/A 23756-2025 FSC-klagomål.docx", "A 23756-2025")</f>
        <v/>
      </c>
      <c r="AB75">
        <f>HYPERLINK("https://klasma.github.io/Logging_1490/klagomålsmail/A 23756-2025 FSC-klagomål mail.docx", "A 23756-2025")</f>
        <v/>
      </c>
      <c r="AC75">
        <f>HYPERLINK("https://klasma.github.io/Logging_1490/tillsyn/A 23756-2025 tillsynsbegäran.docx", "A 23756-2025")</f>
        <v/>
      </c>
      <c r="AD75">
        <f>HYPERLINK("https://klasma.github.io/Logging_1490/tillsynsmail/A 23756-2025 tillsynsbegäran mail.docx", "A 23756-2025")</f>
        <v/>
      </c>
      <c r="AE75">
        <f>HYPERLINK("https://klasma.github.io/Logging_1490/fåglar/A 23756-2025 prioriterade fågelarter.docx", "A 23756-2025")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46229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A 29911-2025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46229</v>
      </c>
      <c r="F77" t="inlineStr">
        <is>
          <t>VÄSTRA GÖTALANDS LÄN</t>
        </is>
      </c>
      <c r="G77" t="inlineStr">
        <is>
          <t>BORÅS</t>
        </is>
      </c>
      <c r="I77" t="n">
        <v>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Lönnlav</t>
        </is>
      </c>
      <c r="W77">
        <f>HYPERLINK("https://klasma.github.io/Logging_1490/artfynd/A 29911-2025 artfynd.xlsx", "A 29911-2025")</f>
        <v/>
      </c>
      <c r="X77">
        <f>HYPERLINK("https://klasma.github.io/Logging_1490/kartor/A 29911-2025 karta.png", "A 29911-2025")</f>
        <v/>
      </c>
      <c r="Y77">
        <f>HYPERLINK("https://klasma.github.io/Logging_1490/kartor_geotiff/A 29911-2025 georefererad karta.tif", "A 29911-2025")</f>
        <v/>
      </c>
      <c r="AA77">
        <f>HYPERLINK("https://klasma.github.io/Logging_1490/klagomål/A 29911-2025 FSC-klagomål.docx", "A 29911-2025")</f>
        <v/>
      </c>
      <c r="AB77">
        <f>HYPERLINK("https://klasma.github.io/Logging_1490/klagomålsmail/A 29911-2025 FSC-klagomål mail.docx", "A 29911-2025")</f>
        <v/>
      </c>
      <c r="AC77">
        <f>HYPERLINK("https://klasma.github.io/Logging_1490/tillsyn/A 29911-2025 tillsynsbegäran.docx", "A 29911-2025")</f>
        <v/>
      </c>
      <c r="AD77">
        <f>HYPERLINK("https://klasma.github.io/Logging_1490/tillsynsmail/A 29911-2025 tillsynsbegäran mail.docx", "A 29911-2025")</f>
        <v/>
      </c>
    </row>
    <row r="78" ht="15" customHeight="1">
      <c r="A78" t="inlineStr">
        <is>
          <t>A 33724-2025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46229</v>
      </c>
      <c r="F78" t="inlineStr">
        <is>
          <t>VÄSTRA GÖTALANDS LÄN</t>
        </is>
      </c>
      <c r="G78" t="inlineStr">
        <is>
          <t>BORÅS</t>
        </is>
      </c>
      <c r="I78" t="n">
        <v>0.7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HYPERLINK("https://klasma.github.io/Logging_1490/artfynd/A 33724-2025 artfynd.xlsx", "A 33724-2025")</f>
        <v/>
      </c>
      <c r="X78">
        <f>HYPERLINK("https://klasma.github.io/Logging_1490/kartor/A 33724-2025 karta.png", "A 33724-2025")</f>
        <v/>
      </c>
      <c r="Y78">
        <f>HYPERLINK("https://klasma.github.io/Logging_1490/kartor_geotiff/A 33724-2025 georefererad karta.tif", "A 33724-2025")</f>
        <v/>
      </c>
      <c r="AA78">
        <f>HYPERLINK("https://klasma.github.io/Logging_1490/klagomål/A 33724-2025 FSC-klagomål.docx", "A 33724-2025")</f>
        <v/>
      </c>
      <c r="AB78">
        <f>HYPERLINK("https://klasma.github.io/Logging_1490/klagomålsmail/A 33724-2025 FSC-klagomål mail.docx", "A 33724-2025")</f>
        <v/>
      </c>
      <c r="AC78">
        <f>HYPERLINK("https://klasma.github.io/Logging_1490/tillsyn/A 33724-2025 tillsynsbegäran.docx", "A 33724-2025")</f>
        <v/>
      </c>
      <c r="AD78">
        <f>HYPERLINK("https://klasma.github.io/Logging_1490/tillsynsmail/A 33724-2025 tillsynsbegäran mail.docx", "A 33724-2025")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46229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46229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46229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46229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46229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46229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46229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46229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46229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46229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46229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46229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46229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46229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46229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46229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46229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46229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46229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46229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46229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46229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46229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46229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46229</v>
      </c>
      <c r="F103" t="inlineStr">
        <is>
          <t>VÄSTRA GÖTALANDS LÄN</t>
        </is>
      </c>
      <c r="G103" t="inlineStr">
        <is>
          <t>BORÅS</t>
        </is>
      </c>
      <c r="H103" t="inlineStr">
        <is>
          <t>Kommuner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64223-2021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44510</v>
      </c>
      <c r="E104" s="1" t="n">
        <v>46229</v>
      </c>
      <c r="F104" t="inlineStr">
        <is>
          <t>VÄSTRA GÖTALANDS LÄN</t>
        </is>
      </c>
      <c r="G104" t="inlineStr">
        <is>
          <t>BORÅS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46229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46229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46229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46229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46229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46229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46229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46229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46229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46229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46229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46229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46229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46229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46229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44845</v>
      </c>
      <c r="E120" s="1" t="n">
        <v>46229</v>
      </c>
      <c r="F120" t="inlineStr">
        <is>
          <t>VÄSTRA GÖTALANDS LÄN</t>
        </is>
      </c>
      <c r="G120" t="inlineStr">
        <is>
          <t>BORÅS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46229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46229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46229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46229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46229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46229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46229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46229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46229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46229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46229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46229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46229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46229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46229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46229</v>
      </c>
      <c r="F136" t="inlineStr">
        <is>
          <t>VÄSTRA GÖTALANDS LÄN</t>
        </is>
      </c>
      <c r="G136" t="inlineStr">
        <is>
          <t>BORÅS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44609</v>
      </c>
      <c r="E137" s="1" t="n">
        <v>46229</v>
      </c>
      <c r="F137" t="inlineStr">
        <is>
          <t>VÄSTRA GÖTALANDS LÄN</t>
        </is>
      </c>
      <c r="G137" t="inlineStr">
        <is>
          <t>BORÅS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46229</v>
      </c>
      <c r="F138" t="inlineStr">
        <is>
          <t>VÄSTRA GÖTALANDS LÄN</t>
        </is>
      </c>
      <c r="G138" t="inlineStr">
        <is>
          <t>BORÅS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46229</v>
      </c>
      <c r="F139" t="inlineStr">
        <is>
          <t>VÄSTRA GÖTALANDS LÄN</t>
        </is>
      </c>
      <c r="G139" t="inlineStr">
        <is>
          <t>BORÅS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46229</v>
      </c>
      <c r="F140" t="inlineStr">
        <is>
          <t>VÄSTRA GÖTALANDS LÄN</t>
        </is>
      </c>
      <c r="G140" t="inlineStr">
        <is>
          <t>BORÅS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46229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46229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46229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46229</v>
      </c>
      <c r="F144" t="inlineStr">
        <is>
          <t>VÄSTRA GÖTALANDS LÄN</t>
        </is>
      </c>
      <c r="G144" t="inlineStr">
        <is>
          <t>BORÅS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45050</v>
      </c>
      <c r="E145" s="1" t="n">
        <v>46229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46229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46229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46229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44489</v>
      </c>
      <c r="E149" s="1" t="n">
        <v>46229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44489</v>
      </c>
      <c r="E150" s="1" t="n">
        <v>46229</v>
      </c>
      <c r="F150" t="inlineStr">
        <is>
          <t>VÄSTRA GÖTALANDS LÄN</t>
        </is>
      </c>
      <c r="G150" t="inlineStr">
        <is>
          <t>BORÅS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46229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46229</v>
      </c>
      <c r="F152" t="inlineStr">
        <is>
          <t>VÄSTRA GÖTALANDS LÄN</t>
        </is>
      </c>
      <c r="G152" t="inlineStr">
        <is>
          <t>BORÅS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8182-2024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46229</v>
      </c>
      <c r="F153" t="inlineStr">
        <is>
          <t>VÄSTRA GÖTALANDS LÄN</t>
        </is>
      </c>
      <c r="G153" t="inlineStr">
        <is>
          <t>BORÅS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24860-2022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44728</v>
      </c>
      <c r="E154" s="1" t="n">
        <v>46229</v>
      </c>
      <c r="F154" t="inlineStr">
        <is>
          <t>VÄSTRA GÖTALANDS LÄN</t>
        </is>
      </c>
      <c r="G154" t="inlineStr">
        <is>
          <t>BORÅS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46229</v>
      </c>
      <c r="F155" t="inlineStr">
        <is>
          <t>VÄSTRA GÖTALANDS LÄN</t>
        </is>
      </c>
      <c r="G155" t="inlineStr">
        <is>
          <t>BORÅS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45510</v>
      </c>
      <c r="E156" s="1" t="n">
        <v>46229</v>
      </c>
      <c r="F156" t="inlineStr">
        <is>
          <t>VÄSTRA GÖTALANDS LÄN</t>
        </is>
      </c>
      <c r="G156" t="inlineStr">
        <is>
          <t>BORÅS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46229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46229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46229</v>
      </c>
      <c r="F159" t="inlineStr">
        <is>
          <t>VÄSTRA GÖTALANDS LÄN</t>
        </is>
      </c>
      <c r="G159" t="inlineStr">
        <is>
          <t>BORÅS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65064-2021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44515</v>
      </c>
      <c r="E160" s="1" t="n">
        <v>46229</v>
      </c>
      <c r="F160" t="inlineStr">
        <is>
          <t>VÄSTRA GÖTALANDS LÄN</t>
        </is>
      </c>
      <c r="G160" t="inlineStr">
        <is>
          <t>BORÅS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46229</v>
      </c>
      <c r="F161" t="inlineStr">
        <is>
          <t>VÄSTRA GÖTALANDS LÄN</t>
        </is>
      </c>
      <c r="G161" t="inlineStr">
        <is>
          <t>BORÅS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46229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46229</v>
      </c>
      <c r="F163" t="inlineStr">
        <is>
          <t>VÄSTRA GÖTALANDS LÄN</t>
        </is>
      </c>
      <c r="G163" t="inlineStr">
        <is>
          <t>BORÅS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46229</v>
      </c>
      <c r="F164" t="inlineStr">
        <is>
          <t>VÄSTRA GÖTALANDS LÄN</t>
        </is>
      </c>
      <c r="G164" t="inlineStr">
        <is>
          <t>BORÅS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46229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46229</v>
      </c>
      <c r="F166" t="inlineStr">
        <is>
          <t>VÄSTRA GÖTALANDS LÄN</t>
        </is>
      </c>
      <c r="G166" t="inlineStr">
        <is>
          <t>BORÅS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46229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46229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46229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46229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45462</v>
      </c>
      <c r="E171" s="1" t="n">
        <v>46229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46229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46229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46229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46229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46229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46229</v>
      </c>
      <c r="F177" t="inlineStr">
        <is>
          <t>VÄSTRA GÖTALANDS LÄN</t>
        </is>
      </c>
      <c r="G177" t="inlineStr">
        <is>
          <t>BORÅS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46229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46229</v>
      </c>
      <c r="F179" t="inlineStr">
        <is>
          <t>VÄSTRA GÖTALANDS LÄN</t>
        </is>
      </c>
      <c r="G179" t="inlineStr">
        <is>
          <t>BORÅS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46229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46229</v>
      </c>
      <c r="F181" t="inlineStr">
        <is>
          <t>VÄSTRA GÖTALANDS LÄN</t>
        </is>
      </c>
      <c r="G181" t="inlineStr">
        <is>
          <t>BORÅS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45294</v>
      </c>
      <c r="E182" s="1" t="n">
        <v>46229</v>
      </c>
      <c r="F182" t="inlineStr">
        <is>
          <t>VÄSTRA GÖTALANDS LÄN</t>
        </is>
      </c>
      <c r="G182" t="inlineStr">
        <is>
          <t>BORÅS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40611-2021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44420</v>
      </c>
      <c r="E183" s="1" t="n">
        <v>46229</v>
      </c>
      <c r="F183" t="inlineStr">
        <is>
          <t>VÄSTRA GÖTALANDS LÄN</t>
        </is>
      </c>
      <c r="G183" t="inlineStr">
        <is>
          <t>BORÅS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45406</v>
      </c>
      <c r="E184" s="1" t="n">
        <v>46229</v>
      </c>
      <c r="F184" t="inlineStr">
        <is>
          <t>VÄSTRA GÖTALANDS LÄN</t>
        </is>
      </c>
      <c r="G184" t="inlineStr">
        <is>
          <t>BORÅS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45225</v>
      </c>
      <c r="E185" s="1" t="n">
        <v>46229</v>
      </c>
      <c r="F185" t="inlineStr">
        <is>
          <t>VÄSTRA GÖTALANDS LÄN</t>
        </is>
      </c>
      <c r="G185" t="inlineStr">
        <is>
          <t>BORÅS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44639</v>
      </c>
      <c r="E186" s="1" t="n">
        <v>46229</v>
      </c>
      <c r="F186" t="inlineStr">
        <is>
          <t>VÄSTRA GÖTALANDS LÄN</t>
        </is>
      </c>
      <c r="G186" t="inlineStr">
        <is>
          <t>BORÅS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46229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46229</v>
      </c>
      <c r="F188" t="inlineStr">
        <is>
          <t>VÄSTRA GÖTALANDS LÄN</t>
        </is>
      </c>
      <c r="G188" t="inlineStr">
        <is>
          <t>BORÅS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46229</v>
      </c>
      <c r="F189" t="inlineStr">
        <is>
          <t>VÄSTRA GÖTALANDS LÄN</t>
        </is>
      </c>
      <c r="G189" t="inlineStr">
        <is>
          <t>BORÅS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46229</v>
      </c>
      <c r="F190" t="inlineStr">
        <is>
          <t>VÄSTRA GÖTALANDS LÄN</t>
        </is>
      </c>
      <c r="G190" t="inlineStr">
        <is>
          <t>BORÅS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46229</v>
      </c>
      <c r="F191" t="inlineStr">
        <is>
          <t>VÄSTRA GÖTALANDS LÄN</t>
        </is>
      </c>
      <c r="G191" t="inlineStr">
        <is>
          <t>BORÅS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46229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45126</v>
      </c>
      <c r="E193" s="1" t="n">
        <v>46229</v>
      </c>
      <c r="F193" t="inlineStr">
        <is>
          <t>VÄSTRA GÖTALANDS LÄN</t>
        </is>
      </c>
      <c r="G193" t="inlineStr">
        <is>
          <t>BORÅS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46229</v>
      </c>
      <c r="F194" t="inlineStr">
        <is>
          <t>VÄSTRA GÖTALANDS LÄN</t>
        </is>
      </c>
      <c r="G194" t="inlineStr">
        <is>
          <t>BORÅS</t>
        </is>
      </c>
      <c r="H194" t="inlineStr">
        <is>
          <t>Kommuner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46229</v>
      </c>
      <c r="F195" t="inlineStr">
        <is>
          <t>VÄSTRA GÖTALANDS LÄN</t>
        </is>
      </c>
      <c r="G195" t="inlineStr">
        <is>
          <t>BORÅS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46229</v>
      </c>
      <c r="F196" t="inlineStr">
        <is>
          <t>VÄSTRA GÖTALANDS LÄN</t>
        </is>
      </c>
      <c r="G196" t="inlineStr">
        <is>
          <t>BORÅS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46229</v>
      </c>
      <c r="F197" t="inlineStr">
        <is>
          <t>VÄSTRA GÖTALANDS LÄN</t>
        </is>
      </c>
      <c r="G197" t="inlineStr">
        <is>
          <t>BORÅS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45233</v>
      </c>
      <c r="E198" s="1" t="n">
        <v>46229</v>
      </c>
      <c r="F198" t="inlineStr">
        <is>
          <t>VÄSTRA GÖTALANDS LÄN</t>
        </is>
      </c>
      <c r="G198" t="inlineStr">
        <is>
          <t>BORÅS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46229</v>
      </c>
      <c r="F199" t="inlineStr">
        <is>
          <t>VÄSTRA GÖTALANDS LÄN</t>
        </is>
      </c>
      <c r="G199" t="inlineStr">
        <is>
          <t>BORÅS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46229</v>
      </c>
      <c r="F200" t="inlineStr">
        <is>
          <t>VÄSTRA GÖTALANDS LÄN</t>
        </is>
      </c>
      <c r="G200" t="inlineStr">
        <is>
          <t>BORÅS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45120</v>
      </c>
      <c r="E201" s="1" t="n">
        <v>46229</v>
      </c>
      <c r="F201" t="inlineStr">
        <is>
          <t>VÄSTRA GÖTALANDS LÄN</t>
        </is>
      </c>
      <c r="G201" t="inlineStr">
        <is>
          <t>BORÅS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45120</v>
      </c>
      <c r="E202" s="1" t="n">
        <v>46229</v>
      </c>
      <c r="F202" t="inlineStr">
        <is>
          <t>VÄSTRA GÖTALANDS LÄN</t>
        </is>
      </c>
      <c r="G202" t="inlineStr">
        <is>
          <t>BORÅS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32482-2023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45120</v>
      </c>
      <c r="E203" s="1" t="n">
        <v>46229</v>
      </c>
      <c r="F203" t="inlineStr">
        <is>
          <t>VÄSTRA GÖTALANDS LÄN</t>
        </is>
      </c>
      <c r="G203" t="inlineStr">
        <is>
          <t>BORÅS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46229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45316</v>
      </c>
      <c r="E205" s="1" t="n">
        <v>46229</v>
      </c>
      <c r="F205" t="inlineStr">
        <is>
          <t>VÄSTRA GÖTALANDS LÄN</t>
        </is>
      </c>
      <c r="G205" t="inlineStr">
        <is>
          <t>BORÅS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46229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46229</v>
      </c>
      <c r="F207" t="inlineStr">
        <is>
          <t>VÄSTRA GÖTALANDS LÄN</t>
        </is>
      </c>
      <c r="G207" t="inlineStr">
        <is>
          <t>BORÅS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46229</v>
      </c>
      <c r="F208" t="inlineStr">
        <is>
          <t>VÄSTRA GÖTALANDS LÄN</t>
        </is>
      </c>
      <c r="G208" t="inlineStr">
        <is>
          <t>BORÅS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46229</v>
      </c>
      <c r="F209" t="inlineStr">
        <is>
          <t>VÄSTRA GÖTALANDS LÄN</t>
        </is>
      </c>
      <c r="G209" t="inlineStr">
        <is>
          <t>BORÅS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45525</v>
      </c>
      <c r="E210" s="1" t="n">
        <v>46229</v>
      </c>
      <c r="F210" t="inlineStr">
        <is>
          <t>VÄSTRA GÖTALANDS LÄN</t>
        </is>
      </c>
      <c r="G210" t="inlineStr">
        <is>
          <t>BORÅS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46229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45120</v>
      </c>
      <c r="E212" s="1" t="n">
        <v>46229</v>
      </c>
      <c r="F212" t="inlineStr">
        <is>
          <t>VÄSTRA GÖTALANDS LÄN</t>
        </is>
      </c>
      <c r="G212" t="inlineStr">
        <is>
          <t>BORÅS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45120</v>
      </c>
      <c r="E213" s="1" t="n">
        <v>46229</v>
      </c>
      <c r="F213" t="inlineStr">
        <is>
          <t>VÄSTRA GÖTALANDS LÄN</t>
        </is>
      </c>
      <c r="G213" t="inlineStr">
        <is>
          <t>BORÅS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46229</v>
      </c>
      <c r="F214" t="inlineStr">
        <is>
          <t>VÄSTRA GÖTALANDS LÄN</t>
        </is>
      </c>
      <c r="G214" t="inlineStr">
        <is>
          <t>BORÅS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46229</v>
      </c>
      <c r="F215" t="inlineStr">
        <is>
          <t>VÄSTRA GÖTALANDS LÄN</t>
        </is>
      </c>
      <c r="G215" t="inlineStr">
        <is>
          <t>BORÅS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46229</v>
      </c>
      <c r="F216" t="inlineStr">
        <is>
          <t>VÄSTRA GÖTALANDS LÄN</t>
        </is>
      </c>
      <c r="G216" t="inlineStr">
        <is>
          <t>BORÅS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46229</v>
      </c>
      <c r="F217" t="inlineStr">
        <is>
          <t>VÄSTRA GÖTALANDS LÄN</t>
        </is>
      </c>
      <c r="G217" t="inlineStr">
        <is>
          <t>BORÅS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46229</v>
      </c>
      <c r="F218" t="inlineStr">
        <is>
          <t>VÄSTRA GÖTALANDS LÄN</t>
        </is>
      </c>
      <c r="G218" t="inlineStr">
        <is>
          <t>BORÅS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46229</v>
      </c>
      <c r="F219" t="inlineStr">
        <is>
          <t>VÄSTRA GÖTALANDS LÄN</t>
        </is>
      </c>
      <c r="G219" t="inlineStr">
        <is>
          <t>BORÅS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46229</v>
      </c>
      <c r="F220" t="inlineStr">
        <is>
          <t>VÄSTRA GÖTALANDS LÄN</t>
        </is>
      </c>
      <c r="G220" t="inlineStr">
        <is>
          <t>BORÅS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45612</v>
      </c>
      <c r="E221" s="1" t="n">
        <v>46229</v>
      </c>
      <c r="F221" t="inlineStr">
        <is>
          <t>VÄSTRA GÖTALANDS LÄN</t>
        </is>
      </c>
      <c r="G221" t="inlineStr">
        <is>
          <t>BORÅS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46229</v>
      </c>
      <c r="F222" t="inlineStr">
        <is>
          <t>VÄSTRA GÖTALANDS LÄN</t>
        </is>
      </c>
      <c r="G222" t="inlineStr">
        <is>
          <t>BORÅS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46229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46229</v>
      </c>
      <c r="F224" t="inlineStr">
        <is>
          <t>VÄSTRA GÖTALANDS LÄN</t>
        </is>
      </c>
      <c r="G224" t="inlineStr">
        <is>
          <t>BORÅS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46229</v>
      </c>
      <c r="F225" t="inlineStr">
        <is>
          <t>VÄSTRA GÖTALANDS LÄN</t>
        </is>
      </c>
      <c r="G225" t="inlineStr">
        <is>
          <t>BORÅS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44844</v>
      </c>
      <c r="E226" s="1" t="n">
        <v>46229</v>
      </c>
      <c r="F226" t="inlineStr">
        <is>
          <t>VÄSTRA GÖTALANDS LÄN</t>
        </is>
      </c>
      <c r="G226" t="inlineStr">
        <is>
          <t>BORÅS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46229</v>
      </c>
      <c r="F227" t="inlineStr">
        <is>
          <t>VÄSTRA GÖTALANDS LÄN</t>
        </is>
      </c>
      <c r="G227" t="inlineStr">
        <is>
          <t>BORÅS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46229</v>
      </c>
      <c r="F228" t="inlineStr">
        <is>
          <t>VÄSTRA GÖTALANDS LÄN</t>
        </is>
      </c>
      <c r="G228" t="inlineStr">
        <is>
          <t>BORÅS</t>
        </is>
      </c>
      <c r="I228" t="n">
        <v>19.4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46229</v>
      </c>
      <c r="F229" t="inlineStr">
        <is>
          <t>VÄSTRA GÖTALANDS LÄN</t>
        </is>
      </c>
      <c r="G229" t="inlineStr">
        <is>
          <t>BORÅS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46229</v>
      </c>
      <c r="F230" t="inlineStr">
        <is>
          <t>VÄSTRA GÖTALANDS LÄN</t>
        </is>
      </c>
      <c r="G230" t="inlineStr">
        <is>
          <t>BORÅS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46229</v>
      </c>
      <c r="F231" t="inlineStr">
        <is>
          <t>VÄSTRA GÖTALANDS LÄN</t>
        </is>
      </c>
      <c r="G231" t="inlineStr">
        <is>
          <t>BORÅS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70988-2021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44538</v>
      </c>
      <c r="E232" s="1" t="n">
        <v>46229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46229</v>
      </c>
      <c r="F233" t="inlineStr">
        <is>
          <t>VÄSTRA GÖTALANDS LÄN</t>
        </is>
      </c>
      <c r="G233" t="inlineStr">
        <is>
          <t>BORÅS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46229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46229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46229</v>
      </c>
      <c r="F236" t="inlineStr">
        <is>
          <t>VÄSTRA GÖTALANDS LÄN</t>
        </is>
      </c>
      <c r="G236" t="inlineStr">
        <is>
          <t>BORÅS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46229</v>
      </c>
      <c r="F237" t="inlineStr">
        <is>
          <t>VÄSTRA GÖTALANDS LÄN</t>
        </is>
      </c>
      <c r="G237" t="inlineStr">
        <is>
          <t>BORÅS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46229</v>
      </c>
      <c r="F238" t="inlineStr">
        <is>
          <t>VÄSTRA GÖTALANDS LÄN</t>
        </is>
      </c>
      <c r="G238" t="inlineStr">
        <is>
          <t>BORÅS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45863</v>
      </c>
      <c r="E239" s="1" t="n">
        <v>46229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46229</v>
      </c>
      <c r="F240" t="inlineStr">
        <is>
          <t>VÄSTRA GÖTALANDS LÄN</t>
        </is>
      </c>
      <c r="G240" t="inlineStr">
        <is>
          <t>BORÅS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46229</v>
      </c>
      <c r="F241" t="inlineStr">
        <is>
          <t>VÄSTRA GÖTALANDS LÄN</t>
        </is>
      </c>
      <c r="G241" t="inlineStr">
        <is>
          <t>BORÅS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45870</v>
      </c>
      <c r="E242" s="1" t="n">
        <v>46229</v>
      </c>
      <c r="F242" t="inlineStr">
        <is>
          <t>VÄSTRA GÖTALANDS LÄN</t>
        </is>
      </c>
      <c r="G242" t="inlineStr">
        <is>
          <t>BORÅS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46229</v>
      </c>
      <c r="F243" t="inlineStr">
        <is>
          <t>VÄSTRA GÖTALANDS LÄN</t>
        </is>
      </c>
      <c r="G243" t="inlineStr">
        <is>
          <t>BORÅS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31940-2024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45510</v>
      </c>
      <c r="E244" s="1" t="n">
        <v>46229</v>
      </c>
      <c r="F244" t="inlineStr">
        <is>
          <t>VÄSTRA GÖTALANDS LÄN</t>
        </is>
      </c>
      <c r="G244" t="inlineStr">
        <is>
          <t>BORÅS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45453</v>
      </c>
      <c r="E245" s="1" t="n">
        <v>46229</v>
      </c>
      <c r="F245" t="inlineStr">
        <is>
          <t>VÄSTRA GÖTALANDS LÄN</t>
        </is>
      </c>
      <c r="G245" t="inlineStr">
        <is>
          <t>BORÅS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45855</v>
      </c>
      <c r="E246" s="1" t="n">
        <v>46229</v>
      </c>
      <c r="F246" t="inlineStr">
        <is>
          <t>VÄSTRA GÖTALANDS LÄN</t>
        </is>
      </c>
      <c r="G246" t="inlineStr">
        <is>
          <t>BORÅS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44547</v>
      </c>
      <c r="E247" s="1" t="n">
        <v>46229</v>
      </c>
      <c r="F247" t="inlineStr">
        <is>
          <t>VÄSTRA GÖTALANDS LÄN</t>
        </is>
      </c>
      <c r="G247" t="inlineStr">
        <is>
          <t>BORÅS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21739-2026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46147</v>
      </c>
      <c r="E248" s="1" t="n">
        <v>46229</v>
      </c>
      <c r="F248" t="inlineStr">
        <is>
          <t>VÄSTRA GÖTALANDS LÄN</t>
        </is>
      </c>
      <c r="G248" t="inlineStr">
        <is>
          <t>BORÅS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46229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46229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11362-2022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44630</v>
      </c>
      <c r="E251" s="1" t="n">
        <v>46229</v>
      </c>
      <c r="F251" t="inlineStr">
        <is>
          <t>VÄSTRA GÖTALANDS LÄN</t>
        </is>
      </c>
      <c r="G251" t="inlineStr">
        <is>
          <t>BORÅS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46229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46229</v>
      </c>
      <c r="F253" t="inlineStr">
        <is>
          <t>VÄSTRA GÖTALANDS LÄN</t>
        </is>
      </c>
      <c r="G253" t="inlineStr">
        <is>
          <t>BORÅS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44644</v>
      </c>
      <c r="E254" s="1" t="n">
        <v>46229</v>
      </c>
      <c r="F254" t="inlineStr">
        <is>
          <t>VÄSTRA GÖTALANDS LÄN</t>
        </is>
      </c>
      <c r="G254" t="inlineStr">
        <is>
          <t>BORÅS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46229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44987</v>
      </c>
      <c r="E256" s="1" t="n">
        <v>46229</v>
      </c>
      <c r="F256" t="inlineStr">
        <is>
          <t>VÄSTRA GÖTALANDS LÄN</t>
        </is>
      </c>
      <c r="G256" t="inlineStr">
        <is>
          <t>BORÅS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46229</v>
      </c>
      <c r="F257" t="inlineStr">
        <is>
          <t>VÄSTRA GÖTALANDS LÄN</t>
        </is>
      </c>
      <c r="G257" t="inlineStr">
        <is>
          <t>BORÅS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46229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46229</v>
      </c>
      <c r="F259" t="inlineStr">
        <is>
          <t>VÄSTRA GÖTALANDS LÄN</t>
        </is>
      </c>
      <c r="G259" t="inlineStr">
        <is>
          <t>BORÅS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44656</v>
      </c>
      <c r="E260" s="1" t="n">
        <v>46229</v>
      </c>
      <c r="F260" t="inlineStr">
        <is>
          <t>VÄSTRA GÖTALANDS LÄN</t>
        </is>
      </c>
      <c r="G260" t="inlineStr">
        <is>
          <t>BORÅS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46229</v>
      </c>
      <c r="F261" t="inlineStr">
        <is>
          <t>VÄSTRA GÖTALANDS LÄN</t>
        </is>
      </c>
      <c r="G261" t="inlineStr">
        <is>
          <t>BORÅS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46229</v>
      </c>
      <c r="F262" t="inlineStr">
        <is>
          <t>VÄSTRA GÖTALANDS LÄN</t>
        </is>
      </c>
      <c r="G262" t="inlineStr">
        <is>
          <t>BORÅS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46229</v>
      </c>
      <c r="F263" t="inlineStr">
        <is>
          <t>VÄSTRA GÖTALANDS LÄN</t>
        </is>
      </c>
      <c r="G263" t="inlineStr">
        <is>
          <t>BORÅS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45202</v>
      </c>
      <c r="E264" s="1" t="n">
        <v>46229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46229</v>
      </c>
      <c r="F265" t="inlineStr">
        <is>
          <t>VÄSTRA GÖTALANDS LÄN</t>
        </is>
      </c>
      <c r="G265" t="inlineStr">
        <is>
          <t>BORÅS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46229</v>
      </c>
      <c r="F266" t="inlineStr">
        <is>
          <t>VÄSTRA GÖTALANDS LÄN</t>
        </is>
      </c>
      <c r="G266" t="inlineStr">
        <is>
          <t>BORÅS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24183-2024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45456</v>
      </c>
      <c r="E267" s="1" t="n">
        <v>46229</v>
      </c>
      <c r="F267" t="inlineStr">
        <is>
          <t>VÄSTRA GÖTALANDS LÄN</t>
        </is>
      </c>
      <c r="G267" t="inlineStr">
        <is>
          <t>BORÅS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60923-2022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44914</v>
      </c>
      <c r="E268" s="1" t="n">
        <v>46229</v>
      </c>
      <c r="F268" t="inlineStr">
        <is>
          <t>VÄSTRA GÖTALANDS LÄN</t>
        </is>
      </c>
      <c r="G268" t="inlineStr">
        <is>
          <t>BORÅS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46229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44571</v>
      </c>
      <c r="E270" s="1" t="n">
        <v>46229</v>
      </c>
      <c r="F270" t="inlineStr">
        <is>
          <t>VÄSTRA GÖTALANDS LÄN</t>
        </is>
      </c>
      <c r="G270" t="inlineStr">
        <is>
          <t>BORÅS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46229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46229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46229</v>
      </c>
      <c r="F273" t="inlineStr">
        <is>
          <t>VÄSTRA GÖTALANDS LÄN</t>
        </is>
      </c>
      <c r="G273" t="inlineStr">
        <is>
          <t>BORÅS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46229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46229</v>
      </c>
      <c r="F275" t="inlineStr">
        <is>
          <t>VÄSTRA GÖTALANDS LÄN</t>
        </is>
      </c>
      <c r="G275" t="inlineStr">
        <is>
          <t>BORÅS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45968</v>
      </c>
      <c r="E276" s="1" t="n">
        <v>46229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46229</v>
      </c>
      <c r="F277" t="inlineStr">
        <is>
          <t>VÄSTRA GÖTALANDS LÄN</t>
        </is>
      </c>
      <c r="G277" t="inlineStr">
        <is>
          <t>BORÅS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46229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46229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46229</v>
      </c>
      <c r="F280" t="inlineStr">
        <is>
          <t>VÄSTRA GÖTALANDS LÄN</t>
        </is>
      </c>
      <c r="G280" t="inlineStr">
        <is>
          <t>BORÅS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46229</v>
      </c>
      <c r="F281" t="inlineStr">
        <is>
          <t>VÄSTRA GÖTALANDS LÄN</t>
        </is>
      </c>
      <c r="G281" t="inlineStr">
        <is>
          <t>BORÅS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45953</v>
      </c>
      <c r="E282" s="1" t="n">
        <v>46229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46229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46229</v>
      </c>
      <c r="F284" t="inlineStr">
        <is>
          <t>VÄSTRA GÖTALANDS LÄN</t>
        </is>
      </c>
      <c r="G284" t="inlineStr">
        <is>
          <t>BORÅS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20653-2026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46141</v>
      </c>
      <c r="E285" s="1" t="n">
        <v>46229</v>
      </c>
      <c r="F285" t="inlineStr">
        <is>
          <t>VÄSTRA GÖTALANDS LÄN</t>
        </is>
      </c>
      <c r="G285" t="inlineStr">
        <is>
          <t>BORÅS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45294</v>
      </c>
      <c r="E286" s="1" t="n">
        <v>46229</v>
      </c>
      <c r="F286" t="inlineStr">
        <is>
          <t>VÄSTRA GÖTALANDS LÄN</t>
        </is>
      </c>
      <c r="G286" t="inlineStr">
        <is>
          <t>BORÅS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46229</v>
      </c>
      <c r="F287" t="inlineStr">
        <is>
          <t>VÄSTRA GÖTALANDS LÄN</t>
        </is>
      </c>
      <c r="G287" t="inlineStr">
        <is>
          <t>BORÅS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46229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46229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46229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46229</v>
      </c>
      <c r="F291" t="inlineStr">
        <is>
          <t>VÄSTRA GÖTALANDS LÄN</t>
        </is>
      </c>
      <c r="G291" t="inlineStr">
        <is>
          <t>BORÅS</t>
        </is>
      </c>
      <c r="H291" t="inlineStr">
        <is>
          <t>Kommuner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46229</v>
      </c>
      <c r="F292" t="inlineStr">
        <is>
          <t>VÄSTRA GÖTALANDS LÄN</t>
        </is>
      </c>
      <c r="G292" t="inlineStr">
        <is>
          <t>BORÅS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46229</v>
      </c>
      <c r="F293" t="inlineStr">
        <is>
          <t>VÄSTRA GÖTALANDS LÄN</t>
        </is>
      </c>
      <c r="G293" t="inlineStr">
        <is>
          <t>BORÅS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46229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45205</v>
      </c>
      <c r="E295" s="1" t="n">
        <v>46229</v>
      </c>
      <c r="F295" t="inlineStr">
        <is>
          <t>VÄSTRA GÖTALANDS LÄN</t>
        </is>
      </c>
      <c r="G295" t="inlineStr">
        <is>
          <t>BORÅS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45935</v>
      </c>
      <c r="E296" s="1" t="n">
        <v>46229</v>
      </c>
      <c r="F296" t="inlineStr">
        <is>
          <t>VÄSTRA GÖTALANDS LÄN</t>
        </is>
      </c>
      <c r="G296" t="inlineStr">
        <is>
          <t>BORÅS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45935</v>
      </c>
      <c r="E297" s="1" t="n">
        <v>46229</v>
      </c>
      <c r="F297" t="inlineStr">
        <is>
          <t>VÄSTRA GÖTALANDS LÄN</t>
        </is>
      </c>
      <c r="G297" t="inlineStr">
        <is>
          <t>BORÅS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46134-2023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46229</v>
      </c>
      <c r="F298" t="inlineStr">
        <is>
          <t>VÄSTRA GÖTALANDS LÄN</t>
        </is>
      </c>
      <c r="G298" t="inlineStr">
        <is>
          <t>BORÅS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46229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46229</v>
      </c>
      <c r="F300" t="inlineStr">
        <is>
          <t>VÄSTRA GÖTALANDS LÄN</t>
        </is>
      </c>
      <c r="G300" t="inlineStr">
        <is>
          <t>BORÅS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46229</v>
      </c>
      <c r="F301" t="inlineStr">
        <is>
          <t>VÄSTRA GÖTALANDS LÄN</t>
        </is>
      </c>
      <c r="G301" t="inlineStr">
        <is>
          <t>BORÅS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46229</v>
      </c>
      <c r="F302" t="inlineStr">
        <is>
          <t>VÄSTRA GÖTALANDS LÄN</t>
        </is>
      </c>
      <c r="G302" t="inlineStr">
        <is>
          <t>BORÅS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45870</v>
      </c>
      <c r="E303" s="1" t="n">
        <v>46229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46229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46229</v>
      </c>
      <c r="F305" t="inlineStr">
        <is>
          <t>VÄSTRA GÖTALANDS LÄN</t>
        </is>
      </c>
      <c r="G305" t="inlineStr">
        <is>
          <t>BORÅS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46229</v>
      </c>
      <c r="F306" t="inlineStr">
        <is>
          <t>VÄSTRA GÖTALANDS LÄN</t>
        </is>
      </c>
      <c r="G306" t="inlineStr">
        <is>
          <t>BORÅS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46229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46229</v>
      </c>
      <c r="F308" t="inlineStr">
        <is>
          <t>VÄSTRA GÖTALANDS LÄN</t>
        </is>
      </c>
      <c r="G308" t="inlineStr">
        <is>
          <t>BORÅS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46229</v>
      </c>
      <c r="F309" t="inlineStr">
        <is>
          <t>VÄSTRA GÖTALANDS LÄN</t>
        </is>
      </c>
      <c r="G309" t="inlineStr">
        <is>
          <t>BORÅS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46229</v>
      </c>
      <c r="F310" t="inlineStr">
        <is>
          <t>VÄSTRA GÖTALANDS LÄN</t>
        </is>
      </c>
      <c r="G310" t="inlineStr">
        <is>
          <t>BORÅS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46229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46229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46229</v>
      </c>
      <c r="F313" t="inlineStr">
        <is>
          <t>VÄSTRA GÖTALANDS LÄN</t>
        </is>
      </c>
      <c r="G313" t="inlineStr">
        <is>
          <t>BORÅS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46229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45053</v>
      </c>
      <c r="E315" s="1" t="n">
        <v>46229</v>
      </c>
      <c r="F315" t="inlineStr">
        <is>
          <t>VÄSTRA GÖTALANDS LÄN</t>
        </is>
      </c>
      <c r="G315" t="inlineStr">
        <is>
          <t>BORÅS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46229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44859</v>
      </c>
      <c r="E317" s="1" t="n">
        <v>46229</v>
      </c>
      <c r="F317" t="inlineStr">
        <is>
          <t>VÄSTRA GÖTALANDS LÄN</t>
        </is>
      </c>
      <c r="G317" t="inlineStr">
        <is>
          <t>BORÅS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46229</v>
      </c>
      <c r="F318" t="inlineStr">
        <is>
          <t>VÄSTRA GÖTALANDS LÄN</t>
        </is>
      </c>
      <c r="G318" t="inlineStr">
        <is>
          <t>BORÅS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20279-2026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46136</v>
      </c>
      <c r="E319" s="1" t="n">
        <v>46229</v>
      </c>
      <c r="F319" t="inlineStr">
        <is>
          <t>VÄSTRA GÖTALANDS LÄN</t>
        </is>
      </c>
      <c r="G319" t="inlineStr">
        <is>
          <t>BORÅS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46574-2022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44848</v>
      </c>
      <c r="E320" s="1" t="n">
        <v>46229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46229</v>
      </c>
      <c r="F321" t="inlineStr">
        <is>
          <t>VÄSTRA GÖTALANDS LÄN</t>
        </is>
      </c>
      <c r="G321" t="inlineStr">
        <is>
          <t>BORÅS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46229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53942-2025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45961</v>
      </c>
      <c r="E323" s="1" t="n">
        <v>46229</v>
      </c>
      <c r="F323" t="inlineStr">
        <is>
          <t>VÄSTRA GÖTALANDS LÄN</t>
        </is>
      </c>
      <c r="G323" t="inlineStr">
        <is>
          <t>BORÅS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46229</v>
      </c>
      <c r="F324" t="inlineStr">
        <is>
          <t>VÄSTRA GÖTALANDS LÄN</t>
        </is>
      </c>
      <c r="G324" t="inlineStr">
        <is>
          <t>BORÅS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46229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46229</v>
      </c>
      <c r="F326" t="inlineStr">
        <is>
          <t>VÄSTRA GÖTALANDS LÄN</t>
        </is>
      </c>
      <c r="G326" t="inlineStr">
        <is>
          <t>BORÅS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57365-2022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46229</v>
      </c>
      <c r="F327" t="inlineStr">
        <is>
          <t>VÄSTRA GÖTALANDS LÄN</t>
        </is>
      </c>
      <c r="G327" t="inlineStr">
        <is>
          <t>BORÅS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45935</v>
      </c>
      <c r="E328" s="1" t="n">
        <v>46229</v>
      </c>
      <c r="F328" t="inlineStr">
        <is>
          <t>VÄSTRA GÖTALANDS LÄN</t>
        </is>
      </c>
      <c r="G328" t="inlineStr">
        <is>
          <t>BORÅS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46229</v>
      </c>
      <c r="F329" t="inlineStr">
        <is>
          <t>VÄSTRA GÖTALANDS LÄN</t>
        </is>
      </c>
      <c r="G329" t="inlineStr">
        <is>
          <t>BORÅS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56376-2025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45974</v>
      </c>
      <c r="E330" s="1" t="n">
        <v>46229</v>
      </c>
      <c r="F330" t="inlineStr">
        <is>
          <t>VÄSTRA GÖTALANDS LÄN</t>
        </is>
      </c>
      <c r="G330" t="inlineStr">
        <is>
          <t>BORÅS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27334-2024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45472</v>
      </c>
      <c r="E331" s="1" t="n">
        <v>46229</v>
      </c>
      <c r="F331" t="inlineStr">
        <is>
          <t>VÄSTRA GÖTALANDS LÄN</t>
        </is>
      </c>
      <c r="G331" t="inlineStr">
        <is>
          <t>BORÅS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46229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46229</v>
      </c>
      <c r="F333" t="inlineStr">
        <is>
          <t>VÄSTRA GÖTALANDS LÄN</t>
        </is>
      </c>
      <c r="G333" t="inlineStr">
        <is>
          <t>BORÅS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45412</v>
      </c>
      <c r="E334" s="1" t="n">
        <v>46229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46229</v>
      </c>
      <c r="F335" t="inlineStr">
        <is>
          <t>VÄSTRA GÖTALANDS LÄN</t>
        </is>
      </c>
      <c r="G335" t="inlineStr">
        <is>
          <t>BORÅS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46229</v>
      </c>
      <c r="F336" t="inlineStr">
        <is>
          <t>VÄSTRA GÖTALANDS LÄN</t>
        </is>
      </c>
      <c r="G336" t="inlineStr">
        <is>
          <t>BORÅS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46229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46229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46229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46229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46229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45982</v>
      </c>
      <c r="E342" s="1" t="n">
        <v>46229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  <c r="X342">
        <f>HYPERLINK("https://klasma.github.io/Logging_1490/kartor/A 58304-2025 karta.png", "A 58304-2025")</f>
        <v/>
      </c>
      <c r="Y342">
        <f>HYPERLINK("https://klasma.github.io/Logging_1490/kartor_geotiff/A 58304-2025 georefererad karta.tif", "A 58304-2025")</f>
        <v/>
      </c>
      <c r="AA342">
        <f>HYPERLINK("https://klasma.github.io/Logging_1490/klagomål/A 58304-2025 FSC-klagomål.docx", "A 58304-2025")</f>
        <v/>
      </c>
      <c r="AB342">
        <f>HYPERLINK("https://klasma.github.io/Logging_1490/klagomålsmail/A 58304-2025 FSC-klagomål mail.docx", "A 58304-2025")</f>
        <v/>
      </c>
      <c r="AC342">
        <f>HYPERLINK("https://klasma.github.io/Logging_1490/tillsyn/A 58304-2025 tillsynsbegäran.docx", "A 58304-2025")</f>
        <v/>
      </c>
      <c r="AD342">
        <f>HYPERLINK("https://klasma.github.io/Logging_1490/tillsynsmail/A 58304-2025 tillsynsbegäran mail.docx", "A 58304-2025")</f>
        <v/>
      </c>
    </row>
    <row r="343" ht="15" customHeight="1">
      <c r="A343" t="inlineStr">
        <is>
          <t>A 38424-2024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46229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46229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52410-2023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45224</v>
      </c>
      <c r="E345" s="1" t="n">
        <v>46229</v>
      </c>
      <c r="F345" t="inlineStr">
        <is>
          <t>VÄSTRA GÖTALANDS LÄN</t>
        </is>
      </c>
      <c r="G345" t="inlineStr">
        <is>
          <t>BORÅS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59392-2025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46229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Kyrkan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46229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45762</v>
      </c>
      <c r="E348" s="1" t="n">
        <v>46229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46229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46229</v>
      </c>
      <c r="F350" t="inlineStr">
        <is>
          <t>VÄSTRA GÖTALANDS LÄN</t>
        </is>
      </c>
      <c r="G350" t="inlineStr">
        <is>
          <t>BORÅS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46229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46229</v>
      </c>
      <c r="F352" t="inlineStr">
        <is>
          <t>VÄSTRA GÖTALANDS LÄN</t>
        </is>
      </c>
      <c r="G352" t="inlineStr">
        <is>
          <t>BORÅS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16949-2026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46229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46229</v>
      </c>
      <c r="F354" t="inlineStr">
        <is>
          <t>VÄSTRA GÖTALANDS LÄN</t>
        </is>
      </c>
      <c r="G354" t="inlineStr">
        <is>
          <t>BORÅS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46229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46229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46229</v>
      </c>
      <c r="F357" t="inlineStr">
        <is>
          <t>VÄSTRA GÖTALANDS LÄN</t>
        </is>
      </c>
      <c r="G357" t="inlineStr">
        <is>
          <t>BORÅS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46229</v>
      </c>
      <c r="F358" t="inlineStr">
        <is>
          <t>VÄSTRA GÖTALANDS LÄN</t>
        </is>
      </c>
      <c r="G358" t="inlineStr">
        <is>
          <t>BORÅS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46229</v>
      </c>
      <c r="F359" t="inlineStr">
        <is>
          <t>VÄSTRA GÖTALANDS LÄN</t>
        </is>
      </c>
      <c r="G359" t="inlineStr">
        <is>
          <t>BORÅS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46229</v>
      </c>
      <c r="F360" t="inlineStr">
        <is>
          <t>VÄSTRA GÖTALANDS LÄN</t>
        </is>
      </c>
      <c r="G360" t="inlineStr">
        <is>
          <t>BORÅS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46229</v>
      </c>
      <c r="F361" t="inlineStr">
        <is>
          <t>VÄSTRA GÖTALANDS LÄN</t>
        </is>
      </c>
      <c r="G361" t="inlineStr">
        <is>
          <t>BORÅS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46229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45308</v>
      </c>
      <c r="E363" s="1" t="n">
        <v>46229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Kommuner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44958</v>
      </c>
      <c r="E364" s="1" t="n">
        <v>46229</v>
      </c>
      <c r="F364" t="inlineStr">
        <is>
          <t>VÄSTRA GÖTALANDS LÄN</t>
        </is>
      </c>
      <c r="G364" t="inlineStr">
        <is>
          <t>BORÅS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45770</v>
      </c>
      <c r="E365" s="1" t="n">
        <v>46229</v>
      </c>
      <c r="F365" t="inlineStr">
        <is>
          <t>VÄSTRA GÖTALANDS LÄN</t>
        </is>
      </c>
      <c r="G365" t="inlineStr">
        <is>
          <t>BORÅS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46229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46229</v>
      </c>
      <c r="F367" t="inlineStr">
        <is>
          <t>VÄSTRA GÖTALANDS LÄN</t>
        </is>
      </c>
      <c r="G367" t="inlineStr">
        <is>
          <t>BORÅS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44941</v>
      </c>
      <c r="E368" s="1" t="n">
        <v>46229</v>
      </c>
      <c r="F368" t="inlineStr">
        <is>
          <t>VÄSTRA GÖTALANDS LÄN</t>
        </is>
      </c>
      <c r="G368" t="inlineStr">
        <is>
          <t>BORÅS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46229</v>
      </c>
      <c r="F369" t="inlineStr">
        <is>
          <t>VÄSTRA GÖTALANDS LÄN</t>
        </is>
      </c>
      <c r="G369" t="inlineStr">
        <is>
          <t>BORÅS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62446-2023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45268</v>
      </c>
      <c r="E370" s="1" t="n">
        <v>46229</v>
      </c>
      <c r="F370" t="inlineStr">
        <is>
          <t>VÄSTRA GÖTALANDS LÄN</t>
        </is>
      </c>
      <c r="G370" t="inlineStr">
        <is>
          <t>BORÅS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46229</v>
      </c>
      <c r="F371" t="inlineStr">
        <is>
          <t>VÄSTRA GÖTALANDS LÄN</t>
        </is>
      </c>
      <c r="G371" t="inlineStr">
        <is>
          <t>BORÅS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46229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46229</v>
      </c>
      <c r="F373" t="inlineStr">
        <is>
          <t>VÄSTRA GÖTALANDS LÄN</t>
        </is>
      </c>
      <c r="G373" t="inlineStr">
        <is>
          <t>BORÅS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46229</v>
      </c>
      <c r="F374" t="inlineStr">
        <is>
          <t>VÄSTRA GÖTALANDS LÄN</t>
        </is>
      </c>
      <c r="G374" t="inlineStr">
        <is>
          <t>BORÅS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57906-2022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44900</v>
      </c>
      <c r="E375" s="1" t="n">
        <v>46229</v>
      </c>
      <c r="F375" t="inlineStr">
        <is>
          <t>VÄSTRA GÖTALANDS LÄN</t>
        </is>
      </c>
      <c r="G375" t="inlineStr">
        <is>
          <t>BORÅS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46229</v>
      </c>
      <c r="F376" t="inlineStr">
        <is>
          <t>VÄSTRA GÖTALANDS LÄN</t>
        </is>
      </c>
      <c r="G376" t="inlineStr">
        <is>
          <t>BORÅS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46229</v>
      </c>
      <c r="F377" t="inlineStr">
        <is>
          <t>VÄSTRA GÖTALANDS LÄN</t>
        </is>
      </c>
      <c r="G377" t="inlineStr">
        <is>
          <t>BORÅS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45688</v>
      </c>
      <c r="E378" s="1" t="n">
        <v>46229</v>
      </c>
      <c r="F378" t="inlineStr">
        <is>
          <t>VÄSTRA GÖTALANDS LÄN</t>
        </is>
      </c>
      <c r="G378" t="inlineStr">
        <is>
          <t>BORÅS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45713</v>
      </c>
      <c r="E379" s="1" t="n">
        <v>46229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46229</v>
      </c>
      <c r="F380" t="inlineStr">
        <is>
          <t>VÄSTRA GÖTALANDS LÄN</t>
        </is>
      </c>
      <c r="G380" t="inlineStr">
        <is>
          <t>BORÅS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46229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46229</v>
      </c>
      <c r="F382" t="inlineStr">
        <is>
          <t>VÄSTRA GÖTALANDS LÄN</t>
        </is>
      </c>
      <c r="G382" t="inlineStr">
        <is>
          <t>BORÅS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53930-2024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46229</v>
      </c>
      <c r="F383" t="inlineStr">
        <is>
          <t>VÄSTRA GÖTALANDS LÄN</t>
        </is>
      </c>
      <c r="G383" t="inlineStr">
        <is>
          <t>BORÅS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46229</v>
      </c>
      <c r="F384" t="inlineStr">
        <is>
          <t>VÄSTRA GÖTALANDS LÄN</t>
        </is>
      </c>
      <c r="G384" t="inlineStr">
        <is>
          <t>BORÅS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57422-2024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46229</v>
      </c>
      <c r="F385" t="inlineStr">
        <is>
          <t>VÄSTRA GÖTALANDS LÄN</t>
        </is>
      </c>
      <c r="G385" t="inlineStr">
        <is>
          <t>BORÅS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46229</v>
      </c>
      <c r="F386" t="inlineStr">
        <is>
          <t>VÄSTRA GÖTALANDS LÄN</t>
        </is>
      </c>
      <c r="G386" t="inlineStr">
        <is>
          <t>BORÅS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46229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46229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Kommuner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46229</v>
      </c>
      <c r="F389" t="inlineStr">
        <is>
          <t>VÄSTRA GÖTALANDS LÄN</t>
        </is>
      </c>
      <c r="G389" t="inlineStr">
        <is>
          <t>BORÅS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46229</v>
      </c>
      <c r="F390" t="inlineStr">
        <is>
          <t>VÄSTRA GÖTALANDS LÄN</t>
        </is>
      </c>
      <c r="G390" t="inlineStr">
        <is>
          <t>BORÅS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46229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44704</v>
      </c>
      <c r="E392" s="1" t="n">
        <v>46229</v>
      </c>
      <c r="F392" t="inlineStr">
        <is>
          <t>VÄSTRA GÖTALANDS LÄN</t>
        </is>
      </c>
      <c r="G392" t="inlineStr">
        <is>
          <t>BORÅS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46035</v>
      </c>
      <c r="E393" s="1" t="n">
        <v>46229</v>
      </c>
      <c r="F393" t="inlineStr">
        <is>
          <t>VÄSTRA GÖTALANDS LÄN</t>
        </is>
      </c>
      <c r="G393" t="inlineStr">
        <is>
          <t>BORÅS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44897</v>
      </c>
      <c r="E394" s="1" t="n">
        <v>46229</v>
      </c>
      <c r="F394" t="inlineStr">
        <is>
          <t>VÄSTRA GÖTALANDS LÄN</t>
        </is>
      </c>
      <c r="G394" t="inlineStr">
        <is>
          <t>BORÅS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46229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14309-2022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44652</v>
      </c>
      <c r="E396" s="1" t="n">
        <v>46229</v>
      </c>
      <c r="F396" t="inlineStr">
        <is>
          <t>VÄSTRA GÖTALANDS LÄN</t>
        </is>
      </c>
      <c r="G396" t="inlineStr">
        <is>
          <t>BORÅS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46229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46229</v>
      </c>
      <c r="F398" t="inlineStr">
        <is>
          <t>VÄSTRA GÖTALANDS LÄN</t>
        </is>
      </c>
      <c r="G398" t="inlineStr">
        <is>
          <t>BORÅS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45546</v>
      </c>
      <c r="E399" s="1" t="n">
        <v>46229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46229</v>
      </c>
      <c r="F400" t="inlineStr">
        <is>
          <t>VÄSTRA GÖTALANDS LÄN</t>
        </is>
      </c>
      <c r="G400" t="inlineStr">
        <is>
          <t>BORÅS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46229</v>
      </c>
      <c r="F401" t="inlineStr">
        <is>
          <t>VÄSTRA GÖTALANDS LÄN</t>
        </is>
      </c>
      <c r="G401" t="inlineStr">
        <is>
          <t>BORÅS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46037</v>
      </c>
      <c r="E402" s="1" t="n">
        <v>46229</v>
      </c>
      <c r="F402" t="inlineStr">
        <is>
          <t>VÄSTRA GÖTALANDS LÄN</t>
        </is>
      </c>
      <c r="G402" t="inlineStr">
        <is>
          <t>BORÅS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46229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46229</v>
      </c>
      <c r="F404" t="inlineStr">
        <is>
          <t>VÄSTRA GÖTALANDS LÄN</t>
        </is>
      </c>
      <c r="G404" t="inlineStr">
        <is>
          <t>BORÅS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45204</v>
      </c>
      <c r="E405" s="1" t="n">
        <v>46229</v>
      </c>
      <c r="F405" t="inlineStr">
        <is>
          <t>VÄSTRA GÖTALANDS LÄN</t>
        </is>
      </c>
      <c r="G405" t="inlineStr">
        <is>
          <t>BORÅS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45772</v>
      </c>
      <c r="E406" s="1" t="n">
        <v>46229</v>
      </c>
      <c r="F406" t="inlineStr">
        <is>
          <t>VÄSTRA GÖTALANDS LÄN</t>
        </is>
      </c>
      <c r="G406" t="inlineStr">
        <is>
          <t>BORÅS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6203-2024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45337</v>
      </c>
      <c r="E407" s="1" t="n">
        <v>46229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46229</v>
      </c>
      <c r="F408" t="inlineStr">
        <is>
          <t>VÄSTRA GÖTALANDS LÄN</t>
        </is>
      </c>
      <c r="G408" t="inlineStr">
        <is>
          <t>BORÅS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46229</v>
      </c>
      <c r="F409" t="inlineStr">
        <is>
          <t>VÄSTRA GÖTALANDS LÄN</t>
        </is>
      </c>
      <c r="G409" t="inlineStr">
        <is>
          <t>BORÅS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46229</v>
      </c>
      <c r="F410" t="inlineStr">
        <is>
          <t>VÄSTRA GÖTALANDS LÄN</t>
        </is>
      </c>
      <c r="G410" t="inlineStr">
        <is>
          <t>BORÅS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44155-2022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46229</v>
      </c>
      <c r="F411" t="inlineStr">
        <is>
          <t>VÄSTRA GÖTALANDS LÄN</t>
        </is>
      </c>
      <c r="G411" t="inlineStr">
        <is>
          <t>BORÅS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46229</v>
      </c>
      <c r="F412" t="inlineStr">
        <is>
          <t>VÄSTRA GÖTALANDS LÄN</t>
        </is>
      </c>
      <c r="G412" t="inlineStr">
        <is>
          <t>BORÅS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46229</v>
      </c>
      <c r="F413" t="inlineStr">
        <is>
          <t>VÄSTRA GÖTALANDS LÄN</t>
        </is>
      </c>
      <c r="G413" t="inlineStr">
        <is>
          <t>BORÅS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46229</v>
      </c>
      <c r="F414" t="inlineStr">
        <is>
          <t>VÄSTRA GÖTALANDS LÄN</t>
        </is>
      </c>
      <c r="G414" t="inlineStr">
        <is>
          <t>BORÅS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44959</v>
      </c>
      <c r="E415" s="1" t="n">
        <v>46229</v>
      </c>
      <c r="F415" t="inlineStr">
        <is>
          <t>VÄSTRA GÖTALANDS LÄN</t>
        </is>
      </c>
      <c r="G415" t="inlineStr">
        <is>
          <t>BORÅS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46229</v>
      </c>
      <c r="F416" t="inlineStr">
        <is>
          <t>VÄSTRA GÖTALANDS LÄN</t>
        </is>
      </c>
      <c r="G416" t="inlineStr">
        <is>
          <t>BORÅS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44964</v>
      </c>
      <c r="E417" s="1" t="n">
        <v>46229</v>
      </c>
      <c r="F417" t="inlineStr">
        <is>
          <t>VÄSTRA GÖTALANDS LÄN</t>
        </is>
      </c>
      <c r="G417" t="inlineStr">
        <is>
          <t>BORÅS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44825</v>
      </c>
      <c r="E418" s="1" t="n">
        <v>46229</v>
      </c>
      <c r="F418" t="inlineStr">
        <is>
          <t>VÄSTRA GÖTALANDS LÄN</t>
        </is>
      </c>
      <c r="G418" t="inlineStr">
        <is>
          <t>BORÅS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44639</v>
      </c>
      <c r="E419" s="1" t="n">
        <v>46229</v>
      </c>
      <c r="F419" t="inlineStr">
        <is>
          <t>VÄSTRA GÖTALANDS LÄN</t>
        </is>
      </c>
      <c r="G419" t="inlineStr">
        <is>
          <t>BORÅS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45212</v>
      </c>
      <c r="E420" s="1" t="n">
        <v>46229</v>
      </c>
      <c r="F420" t="inlineStr">
        <is>
          <t>VÄSTRA GÖTALANDS LÄN</t>
        </is>
      </c>
      <c r="G420" t="inlineStr">
        <is>
          <t>BORÅS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46229</v>
      </c>
      <c r="F421" t="inlineStr">
        <is>
          <t>VÄSTRA GÖTALANDS LÄN</t>
        </is>
      </c>
      <c r="G421" t="inlineStr">
        <is>
          <t>BORÅS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46229</v>
      </c>
      <c r="F422" t="inlineStr">
        <is>
          <t>VÄSTRA GÖTALANDS LÄN</t>
        </is>
      </c>
      <c r="G422" t="inlineStr">
        <is>
          <t>BORÅS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46229</v>
      </c>
      <c r="F423" t="inlineStr">
        <is>
          <t>VÄSTRA GÖTALANDS LÄN</t>
        </is>
      </c>
      <c r="G423" t="inlineStr">
        <is>
          <t>BORÅS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46229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46229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46229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Sveaskog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46229</v>
      </c>
      <c r="F427" t="inlineStr">
        <is>
          <t>VÄSTRA GÖTALANDS LÄN</t>
        </is>
      </c>
      <c r="G427" t="inlineStr">
        <is>
          <t>BORÅS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46229</v>
      </c>
      <c r="F428" t="inlineStr">
        <is>
          <t>VÄSTRA GÖTALANDS LÄN</t>
        </is>
      </c>
      <c r="G428" t="inlineStr">
        <is>
          <t>BORÅS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45015</v>
      </c>
      <c r="E429" s="1" t="n">
        <v>46229</v>
      </c>
      <c r="F429" t="inlineStr">
        <is>
          <t>VÄSTRA GÖTALANDS LÄN</t>
        </is>
      </c>
      <c r="G429" t="inlineStr">
        <is>
          <t>BORÅS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72566-2021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44546</v>
      </c>
      <c r="E430" s="1" t="n">
        <v>46229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46229</v>
      </c>
      <c r="F431" t="inlineStr">
        <is>
          <t>VÄSTRA GÖTALANDS LÄN</t>
        </is>
      </c>
      <c r="G431" t="inlineStr">
        <is>
          <t>BORÅS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45044</v>
      </c>
      <c r="E432" s="1" t="n">
        <v>46229</v>
      </c>
      <c r="F432" t="inlineStr">
        <is>
          <t>VÄSTRA GÖTALANDS LÄN</t>
        </is>
      </c>
      <c r="G432" t="inlineStr">
        <is>
          <t>BORÅS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45582</v>
      </c>
      <c r="E433" s="1" t="n">
        <v>46229</v>
      </c>
      <c r="F433" t="inlineStr">
        <is>
          <t>VÄSTRA GÖTALANDS LÄN</t>
        </is>
      </c>
      <c r="G433" t="inlineStr">
        <is>
          <t>BORÅS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44506-2023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45189</v>
      </c>
      <c r="E434" s="1" t="n">
        <v>46229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46229</v>
      </c>
      <c r="F435" t="inlineStr">
        <is>
          <t>VÄSTRA GÖTALANDS LÄN</t>
        </is>
      </c>
      <c r="G435" t="inlineStr">
        <is>
          <t>BORÅS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46229</v>
      </c>
      <c r="F436" t="inlineStr">
        <is>
          <t>VÄSTRA GÖTALANDS LÄN</t>
        </is>
      </c>
      <c r="G436" t="inlineStr">
        <is>
          <t>BORÅS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46229</v>
      </c>
      <c r="F437" t="inlineStr">
        <is>
          <t>VÄSTRA GÖTALANDS LÄN</t>
        </is>
      </c>
      <c r="G437" t="inlineStr">
        <is>
          <t>BORÅS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46229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48504-2024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45593</v>
      </c>
      <c r="E439" s="1" t="n">
        <v>46229</v>
      </c>
      <c r="F439" t="inlineStr">
        <is>
          <t>VÄSTRA GÖTALANDS LÄN</t>
        </is>
      </c>
      <c r="G439" t="inlineStr">
        <is>
          <t>BORÅS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38970-2024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45548</v>
      </c>
      <c r="E440" s="1" t="n">
        <v>46229</v>
      </c>
      <c r="F440" t="inlineStr">
        <is>
          <t>VÄSTRA GÖTALANDS LÄN</t>
        </is>
      </c>
      <c r="G440" t="inlineStr">
        <is>
          <t>BORÅS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46229</v>
      </c>
      <c r="F441" t="inlineStr">
        <is>
          <t>VÄSTRA GÖTALANDS LÄN</t>
        </is>
      </c>
      <c r="G441" t="inlineStr">
        <is>
          <t>BORÅS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46083</v>
      </c>
      <c r="E442" s="1" t="n">
        <v>46229</v>
      </c>
      <c r="F442" t="inlineStr">
        <is>
          <t>VÄSTRA GÖTALANDS LÄN</t>
        </is>
      </c>
      <c r="G442" t="inlineStr">
        <is>
          <t>BORÅS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45817</v>
      </c>
      <c r="E443" s="1" t="n">
        <v>46229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46229</v>
      </c>
      <c r="F444" t="inlineStr">
        <is>
          <t>VÄSTRA GÖTALANDS LÄN</t>
        </is>
      </c>
      <c r="G444" t="inlineStr">
        <is>
          <t>BORÅS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46229</v>
      </c>
      <c r="F445" t="inlineStr">
        <is>
          <t>VÄSTRA GÖTALANDS LÄN</t>
        </is>
      </c>
      <c r="G445" t="inlineStr">
        <is>
          <t>BORÅS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46229</v>
      </c>
      <c r="F446" t="inlineStr">
        <is>
          <t>VÄSTRA GÖTALANDS LÄN</t>
        </is>
      </c>
      <c r="G446" t="inlineStr">
        <is>
          <t>BORÅS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21180-2024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45440</v>
      </c>
      <c r="E447" s="1" t="n">
        <v>46229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45670</v>
      </c>
      <c r="E448" s="1" t="n">
        <v>46229</v>
      </c>
      <c r="F448" t="inlineStr">
        <is>
          <t>VÄSTRA GÖTALANDS LÄN</t>
        </is>
      </c>
      <c r="G448" t="inlineStr">
        <is>
          <t>BORÅS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12516-2026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46229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12635-2026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46091</v>
      </c>
      <c r="E450" s="1" t="n">
        <v>46229</v>
      </c>
      <c r="F450" t="inlineStr">
        <is>
          <t>VÄSTRA GÖTALANDS LÄN</t>
        </is>
      </c>
      <c r="G450" t="inlineStr">
        <is>
          <t>BORÅS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45058</v>
      </c>
      <c r="E451" s="1" t="n">
        <v>46229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45474</v>
      </c>
      <c r="E452" s="1" t="n">
        <v>46229</v>
      </c>
      <c r="F452" t="inlineStr">
        <is>
          <t>VÄSTRA GÖTALANDS LÄN</t>
        </is>
      </c>
      <c r="G452" t="inlineStr">
        <is>
          <t>BORÅS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46229</v>
      </c>
      <c r="F453" t="inlineStr">
        <is>
          <t>VÄSTRA GÖTALANDS LÄN</t>
        </is>
      </c>
      <c r="G453" t="inlineStr">
        <is>
          <t>BORÅS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50605-2022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44866</v>
      </c>
      <c r="E454" s="1" t="n">
        <v>46229</v>
      </c>
      <c r="F454" t="inlineStr">
        <is>
          <t>VÄSTRA GÖTALANDS LÄN</t>
        </is>
      </c>
      <c r="G454" t="inlineStr">
        <is>
          <t>BORÅS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46229</v>
      </c>
      <c r="F455" t="inlineStr">
        <is>
          <t>VÄSTRA GÖTALANDS LÄN</t>
        </is>
      </c>
      <c r="G455" t="inlineStr">
        <is>
          <t>BORÅS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50382-2022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44866</v>
      </c>
      <c r="E456" s="1" t="n">
        <v>46229</v>
      </c>
      <c r="F456" t="inlineStr">
        <is>
          <t>VÄSTRA GÖTALANDS LÄN</t>
        </is>
      </c>
      <c r="G456" t="inlineStr">
        <is>
          <t>BORÅS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46229</v>
      </c>
      <c r="F457" t="inlineStr">
        <is>
          <t>VÄSTRA GÖTALANDS LÄN</t>
        </is>
      </c>
      <c r="G457" t="inlineStr">
        <is>
          <t>BORÅS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46229</v>
      </c>
      <c r="F458" t="inlineStr">
        <is>
          <t>VÄSTRA GÖTALANDS LÄN</t>
        </is>
      </c>
      <c r="G458" t="inlineStr">
        <is>
          <t>BORÅS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56007-2023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45240</v>
      </c>
      <c r="E459" s="1" t="n">
        <v>46229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45240</v>
      </c>
      <c r="E460" s="1" t="n">
        <v>46229</v>
      </c>
      <c r="F460" t="inlineStr">
        <is>
          <t>VÄSTRA GÖTALANDS LÄN</t>
        </is>
      </c>
      <c r="G460" t="inlineStr">
        <is>
          <t>BORÅS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46229</v>
      </c>
      <c r="F461" t="inlineStr">
        <is>
          <t>VÄSTRA GÖTALANDS LÄN</t>
        </is>
      </c>
      <c r="G461" t="inlineStr">
        <is>
          <t>BORÅS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44949</v>
      </c>
      <c r="E462" s="1" t="n">
        <v>46229</v>
      </c>
      <c r="F462" t="inlineStr">
        <is>
          <t>VÄSTRA GÖTALANDS LÄN</t>
        </is>
      </c>
      <c r="G462" t="inlineStr">
        <is>
          <t>BORÅS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46217</v>
      </c>
      <c r="E463" s="1" t="n">
        <v>46229</v>
      </c>
      <c r="F463" t="inlineStr">
        <is>
          <t>VÄSTRA GÖTALANDS LÄN</t>
        </is>
      </c>
      <c r="G463" t="inlineStr">
        <is>
          <t>BORÅS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54871-2022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46229</v>
      </c>
      <c r="F464" t="inlineStr">
        <is>
          <t>VÄSTRA GÖTALANDS LÄN</t>
        </is>
      </c>
      <c r="G464" t="inlineStr">
        <is>
          <t>BORÅS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54878-2022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46229</v>
      </c>
      <c r="F465" t="inlineStr">
        <is>
          <t>VÄSTRA GÖTALANDS LÄN</t>
        </is>
      </c>
      <c r="G465" t="inlineStr">
        <is>
          <t>BORÅS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46229</v>
      </c>
      <c r="F466" t="inlineStr">
        <is>
          <t>VÄSTRA GÖTALANDS LÄN</t>
        </is>
      </c>
      <c r="G466" t="inlineStr">
        <is>
          <t>BORÅS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47616-2022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44854</v>
      </c>
      <c r="E467" s="1" t="n">
        <v>46229</v>
      </c>
      <c r="F467" t="inlineStr">
        <is>
          <t>VÄSTRA GÖTALANDS LÄN</t>
        </is>
      </c>
      <c r="G467" t="inlineStr">
        <is>
          <t>BORÅS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44782-2025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45917</v>
      </c>
      <c r="E468" s="1" t="n">
        <v>46229</v>
      </c>
      <c r="F468" t="inlineStr">
        <is>
          <t>VÄSTRA GÖTALANDS LÄN</t>
        </is>
      </c>
      <c r="G468" t="inlineStr">
        <is>
          <t>BORÅS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46229</v>
      </c>
      <c r="F469" t="inlineStr">
        <is>
          <t>VÄSTRA GÖTALANDS LÄN</t>
        </is>
      </c>
      <c r="G469" t="inlineStr">
        <is>
          <t>BORÅS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34195-2025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45845</v>
      </c>
      <c r="E470" s="1" t="n">
        <v>46229</v>
      </c>
      <c r="F470" t="inlineStr">
        <is>
          <t>VÄSTRA GÖTALANDS LÄN</t>
        </is>
      </c>
      <c r="G470" t="inlineStr">
        <is>
          <t>BORÅS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15193-2026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46105</v>
      </c>
      <c r="E471" s="1" t="n">
        <v>46229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46229</v>
      </c>
      <c r="F472" t="inlineStr">
        <is>
          <t>VÄSTRA GÖTALANDS LÄN</t>
        </is>
      </c>
      <c r="G472" t="inlineStr">
        <is>
          <t>BORÅS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45294</v>
      </c>
      <c r="E473" s="1" t="n">
        <v>46229</v>
      </c>
      <c r="F473" t="inlineStr">
        <is>
          <t>VÄSTRA GÖTALANDS LÄN</t>
        </is>
      </c>
      <c r="G473" t="inlineStr">
        <is>
          <t>BORÅS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46229</v>
      </c>
      <c r="F474" t="inlineStr">
        <is>
          <t>VÄSTRA GÖTALANDS LÄN</t>
        </is>
      </c>
      <c r="G474" t="inlineStr">
        <is>
          <t>BORÅS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45294</v>
      </c>
      <c r="E475" s="1" t="n">
        <v>46229</v>
      </c>
      <c r="F475" t="inlineStr">
        <is>
          <t>VÄSTRA GÖTALANDS LÄN</t>
        </is>
      </c>
      <c r="G475" t="inlineStr">
        <is>
          <t>BORÅS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45294</v>
      </c>
      <c r="E476" s="1" t="n">
        <v>46229</v>
      </c>
      <c r="F476" t="inlineStr">
        <is>
          <t>VÄSTRA GÖTALANDS LÄN</t>
        </is>
      </c>
      <c r="G476" t="inlineStr">
        <is>
          <t>BORÅS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46382-2023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46229</v>
      </c>
      <c r="F477" t="inlineStr">
        <is>
          <t>VÄSTRA GÖTALANDS LÄN</t>
        </is>
      </c>
      <c r="G477" t="inlineStr">
        <is>
          <t>BORÅS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29317-2024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45483</v>
      </c>
      <c r="E478" s="1" t="n">
        <v>46229</v>
      </c>
      <c r="F478" t="inlineStr">
        <is>
          <t>VÄSTRA GÖTALANDS LÄN</t>
        </is>
      </c>
      <c r="G478" t="inlineStr">
        <is>
          <t>BORÅS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45483</v>
      </c>
      <c r="E479" s="1" t="n">
        <v>46229</v>
      </c>
      <c r="F479" t="inlineStr">
        <is>
          <t>VÄSTRA GÖTALANDS LÄN</t>
        </is>
      </c>
      <c r="G479" t="inlineStr">
        <is>
          <t>BORÅS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46176</v>
      </c>
      <c r="E480" s="1" t="n">
        <v>46229</v>
      </c>
      <c r="F480" t="inlineStr">
        <is>
          <t>VÄSTRA GÖTALANDS LÄN</t>
        </is>
      </c>
      <c r="G480" t="inlineStr">
        <is>
          <t>BORÅS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46229</v>
      </c>
      <c r="F481" t="inlineStr">
        <is>
          <t>VÄSTRA GÖTALANDS LÄN</t>
        </is>
      </c>
      <c r="G481" t="inlineStr">
        <is>
          <t>BORÅS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43645-2023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45186</v>
      </c>
      <c r="E482" s="1" t="n">
        <v>46229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46229</v>
      </c>
      <c r="F483" t="inlineStr">
        <is>
          <t>VÄSTRA GÖTALANDS LÄN</t>
        </is>
      </c>
      <c r="G483" t="inlineStr">
        <is>
          <t>BORÅS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49477-2023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46229</v>
      </c>
      <c r="F484" t="inlineStr">
        <is>
          <t>VÄSTRA GÖTALANDS LÄN</t>
        </is>
      </c>
      <c r="G484" t="inlineStr">
        <is>
          <t>BORÅS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25238-2026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46175</v>
      </c>
      <c r="E485" s="1" t="n">
        <v>46229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28410-2024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45477</v>
      </c>
      <c r="E486" s="1" t="n">
        <v>46229</v>
      </c>
      <c r="F486" t="inlineStr">
        <is>
          <t>VÄSTRA GÖTALANDS LÄN</t>
        </is>
      </c>
      <c r="G486" t="inlineStr">
        <is>
          <t>BORÅS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44438</v>
      </c>
      <c r="E487" s="1" t="n">
        <v>46229</v>
      </c>
      <c r="F487" t="inlineStr">
        <is>
          <t>VÄSTRA GÖTALANDS LÄN</t>
        </is>
      </c>
      <c r="G487" t="inlineStr">
        <is>
          <t>BORÅS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17234-2026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46119</v>
      </c>
      <c r="E488" s="1" t="n">
        <v>46229</v>
      </c>
      <c r="F488" t="inlineStr">
        <is>
          <t>VÄSTRA GÖTALANDS LÄN</t>
        </is>
      </c>
      <c r="G488" t="inlineStr">
        <is>
          <t>BORÅS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46229</v>
      </c>
      <c r="F489" t="inlineStr">
        <is>
          <t>VÄSTRA GÖTALANDS LÄN</t>
        </is>
      </c>
      <c r="G489" t="inlineStr">
        <is>
          <t>BORÅS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44771</v>
      </c>
      <c r="E490" s="1" t="n">
        <v>46229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Kyrkan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52486-2023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46229</v>
      </c>
      <c r="F491" t="inlineStr">
        <is>
          <t>VÄSTRA GÖTALANDS LÄN</t>
        </is>
      </c>
      <c r="G491" t="inlineStr">
        <is>
          <t>BORÅS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46229</v>
      </c>
      <c r="F492" t="inlineStr">
        <is>
          <t>VÄSTRA GÖTALANDS LÄN</t>
        </is>
      </c>
      <c r="G492" t="inlineStr">
        <is>
          <t>BORÅS</t>
        </is>
      </c>
      <c r="I492" t="n">
        <v>9.199999999999999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52957-2022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44875</v>
      </c>
      <c r="E493" s="1" t="n">
        <v>46229</v>
      </c>
      <c r="F493" t="inlineStr">
        <is>
          <t>VÄSTRA GÖTALANDS LÄN</t>
        </is>
      </c>
      <c r="G493" t="inlineStr">
        <is>
          <t>BORÅS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46229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58000-2024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46229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46229</v>
      </c>
      <c r="F496" t="inlineStr">
        <is>
          <t>VÄSTRA GÖTALANDS LÄN</t>
        </is>
      </c>
      <c r="G496" t="inlineStr">
        <is>
          <t>BORÅS</t>
        </is>
      </c>
      <c r="H496" t="inlineStr">
        <is>
          <t>Kommuner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45120</v>
      </c>
      <c r="E497" s="1" t="n">
        <v>46229</v>
      </c>
      <c r="F497" t="inlineStr">
        <is>
          <t>VÄSTRA GÖTALANDS LÄN</t>
        </is>
      </c>
      <c r="G497" t="inlineStr">
        <is>
          <t>BORÅS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46229</v>
      </c>
      <c r="F498" t="inlineStr">
        <is>
          <t>VÄSTRA GÖTALANDS LÄN</t>
        </is>
      </c>
      <c r="G498" t="inlineStr">
        <is>
          <t>BORÅS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46229</v>
      </c>
      <c r="F499" t="inlineStr">
        <is>
          <t>VÄSTRA GÖTALANDS LÄN</t>
        </is>
      </c>
      <c r="G499" t="inlineStr">
        <is>
          <t>BORÅS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46224</v>
      </c>
      <c r="E500" s="1" t="n">
        <v>46229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46229</v>
      </c>
      <c r="F501" t="inlineStr">
        <is>
          <t>VÄSTRA GÖTALANDS LÄN</t>
        </is>
      </c>
      <c r="G501" t="inlineStr">
        <is>
          <t>BORÅS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46229</v>
      </c>
      <c r="F502" t="inlineStr">
        <is>
          <t>VÄSTRA GÖTALANDS LÄN</t>
        </is>
      </c>
      <c r="G502" t="inlineStr">
        <is>
          <t>BORÅS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65200-2023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45289</v>
      </c>
      <c r="E503" s="1" t="n">
        <v>46229</v>
      </c>
      <c r="F503" t="inlineStr">
        <is>
          <t>VÄSTRA GÖTALANDS LÄN</t>
        </is>
      </c>
      <c r="G503" t="inlineStr">
        <is>
          <t>BORÅS</t>
        </is>
      </c>
      <c r="I503" t="n">
        <v>12.5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45545</v>
      </c>
      <c r="E504" s="1" t="n">
        <v>46229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46183</v>
      </c>
      <c r="E505" s="1" t="n">
        <v>46229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Kyrkan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46229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26562-2026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46183</v>
      </c>
      <c r="E507" s="1" t="n">
        <v>46229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45618-2024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45579</v>
      </c>
      <c r="E508" s="1" t="n">
        <v>46229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46229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Kyrkan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46229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46229</v>
      </c>
      <c r="F511" t="inlineStr">
        <is>
          <t>VÄSTRA GÖTALANDS LÄN</t>
        </is>
      </c>
      <c r="G511" t="inlineStr">
        <is>
          <t>BORÅS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46229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Kyrkan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29854-2023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45099</v>
      </c>
      <c r="E513" s="1" t="n">
        <v>46229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45609-2024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46229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46229</v>
      </c>
      <c r="F515" t="inlineStr">
        <is>
          <t>VÄSTRA GÖTALANDS LÄN</t>
        </is>
      </c>
      <c r="G515" t="inlineStr">
        <is>
          <t>BORÅS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45062</v>
      </c>
      <c r="E516" s="1" t="n">
        <v>46229</v>
      </c>
      <c r="F516" t="inlineStr">
        <is>
          <t>VÄSTRA GÖTALANDS LÄN</t>
        </is>
      </c>
      <c r="G516" t="inlineStr">
        <is>
          <t>BORÅS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46229</v>
      </c>
      <c r="F517" t="inlineStr">
        <is>
          <t>VÄSTRA GÖTALANDS LÄN</t>
        </is>
      </c>
      <c r="G517" t="inlineStr">
        <is>
          <t>BORÅS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53125-2024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45611</v>
      </c>
      <c r="E518" s="1" t="n">
        <v>46229</v>
      </c>
      <c r="F518" t="inlineStr">
        <is>
          <t>VÄSTRA GÖTALANDS LÄN</t>
        </is>
      </c>
      <c r="G518" t="inlineStr">
        <is>
          <t>BORÅS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45670</v>
      </c>
      <c r="E519" s="1" t="n">
        <v>46229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46538-2021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44445</v>
      </c>
      <c r="E520" s="1" t="n">
        <v>46229</v>
      </c>
      <c r="F520" t="inlineStr">
        <is>
          <t>VÄSTRA GÖTALANDS LÄN</t>
        </is>
      </c>
      <c r="G520" t="inlineStr">
        <is>
          <t>BORÅS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45364</v>
      </c>
      <c r="E521" s="1" t="n">
        <v>46229</v>
      </c>
      <c r="F521" t="inlineStr">
        <is>
          <t>VÄSTRA GÖTALANDS LÄN</t>
        </is>
      </c>
      <c r="G521" t="inlineStr">
        <is>
          <t>BORÅS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46229</v>
      </c>
      <c r="F522" t="inlineStr">
        <is>
          <t>VÄSTRA GÖTALANDS LÄN</t>
        </is>
      </c>
      <c r="G522" t="inlineStr">
        <is>
          <t>BORÅS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44577</v>
      </c>
      <c r="E523" s="1" t="n">
        <v>46229</v>
      </c>
      <c r="F523" t="inlineStr">
        <is>
          <t>VÄSTRA GÖTALANDS LÄN</t>
        </is>
      </c>
      <c r="G523" t="inlineStr">
        <is>
          <t>BORÅS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27335-2024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45472</v>
      </c>
      <c r="E524" s="1" t="n">
        <v>46229</v>
      </c>
      <c r="F524" t="inlineStr">
        <is>
          <t>VÄSTRA GÖTALANDS LÄN</t>
        </is>
      </c>
      <c r="G524" t="inlineStr">
        <is>
          <t>BORÅS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58895-2024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45636</v>
      </c>
      <c r="E525" s="1" t="n">
        <v>46229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46229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46229</v>
      </c>
      <c r="F527" t="inlineStr">
        <is>
          <t>VÄSTRA GÖTALANDS LÄN</t>
        </is>
      </c>
      <c r="G527" t="inlineStr">
        <is>
          <t>BORÅS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46229</v>
      </c>
      <c r="F528" t="inlineStr">
        <is>
          <t>VÄSTRA GÖTALANDS LÄN</t>
        </is>
      </c>
      <c r="G528" t="inlineStr">
        <is>
          <t>BORÅS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62532-2022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44916</v>
      </c>
      <c r="E529" s="1" t="n">
        <v>46229</v>
      </c>
      <c r="F529" t="inlineStr">
        <is>
          <t>VÄSTRA GÖTALANDS LÄN</t>
        </is>
      </c>
      <c r="G529" t="inlineStr">
        <is>
          <t>BORÅS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32452-2023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46229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46229</v>
      </c>
      <c r="F531" t="inlineStr">
        <is>
          <t>VÄSTRA GÖTALANDS LÄN</t>
        </is>
      </c>
      <c r="G531" t="inlineStr">
        <is>
          <t>BORÅS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46229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44837</v>
      </c>
      <c r="E533" s="1" t="n">
        <v>46229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45048</v>
      </c>
      <c r="E534" s="1" t="n">
        <v>46229</v>
      </c>
      <c r="F534" t="inlineStr">
        <is>
          <t>VÄSTRA GÖTALANDS LÄN</t>
        </is>
      </c>
      <c r="G534" t="inlineStr">
        <is>
          <t>BORÅS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28171-2022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44746</v>
      </c>
      <c r="E535" s="1" t="n">
        <v>46229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46229</v>
      </c>
      <c r="F536" t="inlineStr">
        <is>
          <t>VÄSTRA GÖTALANDS LÄN</t>
        </is>
      </c>
      <c r="G536" t="inlineStr">
        <is>
          <t>BORÅS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32742-2024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45516</v>
      </c>
      <c r="E537" s="1" t="n">
        <v>46229</v>
      </c>
      <c r="F537" t="inlineStr">
        <is>
          <t>VÄSTRA GÖTALANDS LÄN</t>
        </is>
      </c>
      <c r="G537" t="inlineStr">
        <is>
          <t>BORÅS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45216</v>
      </c>
      <c r="E538" s="1" t="n">
        <v>46229</v>
      </c>
      <c r="F538" t="inlineStr">
        <is>
          <t>VÄSTRA GÖTALANDS LÄN</t>
        </is>
      </c>
      <c r="G538" t="inlineStr">
        <is>
          <t>BORÅS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49191-2021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44454</v>
      </c>
      <c r="E539" s="1" t="n">
        <v>46229</v>
      </c>
      <c r="F539" t="inlineStr">
        <is>
          <t>VÄSTRA GÖTALANDS LÄN</t>
        </is>
      </c>
      <c r="G539" t="inlineStr">
        <is>
          <t>BORÅS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46229</v>
      </c>
      <c r="F540" t="inlineStr">
        <is>
          <t>VÄSTRA GÖTALANDS LÄN</t>
        </is>
      </c>
      <c r="G540" t="inlineStr">
        <is>
          <t>BORÅS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63178-2023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45273</v>
      </c>
      <c r="E541" s="1" t="n">
        <v>46229</v>
      </c>
      <c r="F541" t="inlineStr">
        <is>
          <t>VÄSTRA GÖTALANDS LÄN</t>
        </is>
      </c>
      <c r="G541" t="inlineStr">
        <is>
          <t>BORÅS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46229</v>
      </c>
      <c r="F542" t="inlineStr">
        <is>
          <t>VÄSTRA GÖTALANDS LÄN</t>
        </is>
      </c>
      <c r="G542" t="inlineStr">
        <is>
          <t>BORÅS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45421</v>
      </c>
      <c r="E543" s="1" t="n">
        <v>46229</v>
      </c>
      <c r="F543" t="inlineStr">
        <is>
          <t>VÄSTRA GÖTALANDS LÄN</t>
        </is>
      </c>
      <c r="G543" t="inlineStr">
        <is>
          <t>BORÅS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45194</v>
      </c>
      <c r="E544" s="1" t="n">
        <v>46229</v>
      </c>
      <c r="F544" t="inlineStr">
        <is>
          <t>VÄSTRA GÖTALANDS LÄN</t>
        </is>
      </c>
      <c r="G544" t="inlineStr">
        <is>
          <t>BORÅS</t>
        </is>
      </c>
      <c r="I544" t="n">
        <v>11.7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46229</v>
      </c>
      <c r="F545" t="inlineStr">
        <is>
          <t>VÄSTRA GÖTALANDS LÄN</t>
        </is>
      </c>
      <c r="G545" t="inlineStr">
        <is>
          <t>BORÅS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44748</v>
      </c>
      <c r="E546" s="1" t="n">
        <v>46229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Kommuner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45302</v>
      </c>
      <c r="E547" s="1" t="n">
        <v>46229</v>
      </c>
      <c r="F547" t="inlineStr">
        <is>
          <t>VÄSTRA GÖTALANDS LÄN</t>
        </is>
      </c>
      <c r="G547" t="inlineStr">
        <is>
          <t>BORÅS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45432</v>
      </c>
      <c r="E548" s="1" t="n">
        <v>46229</v>
      </c>
      <c r="F548" t="inlineStr">
        <is>
          <t>VÄSTRA GÖTALANDS LÄN</t>
        </is>
      </c>
      <c r="G548" t="inlineStr">
        <is>
          <t>BORÅS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45216</v>
      </c>
      <c r="E549" s="1" t="n">
        <v>46229</v>
      </c>
      <c r="F549" t="inlineStr">
        <is>
          <t>VÄSTRA GÖTALANDS LÄN</t>
        </is>
      </c>
      <c r="G549" t="inlineStr">
        <is>
          <t>BORÅS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45321</v>
      </c>
      <c r="E550" s="1" t="n">
        <v>46229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Kommuner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44914</v>
      </c>
      <c r="E551" s="1" t="n">
        <v>46229</v>
      </c>
      <c r="F551" t="inlineStr">
        <is>
          <t>VÄSTRA GÖTALANDS LÄN</t>
        </is>
      </c>
      <c r="G551" t="inlineStr">
        <is>
          <t>BORÅS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40118-2023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45168</v>
      </c>
      <c r="E552" s="1" t="n">
        <v>46229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32193-2023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46229</v>
      </c>
      <c r="F553" t="inlineStr">
        <is>
          <t>VÄSTRA GÖTALANDS LÄN</t>
        </is>
      </c>
      <c r="G553" t="inlineStr">
        <is>
          <t>BORÅS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46229</v>
      </c>
      <c r="F554" t="inlineStr">
        <is>
          <t>VÄSTRA GÖTALANDS LÄN</t>
        </is>
      </c>
      <c r="G554" t="inlineStr">
        <is>
          <t>BORÅS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48508-2024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45593</v>
      </c>
      <c r="E555" s="1" t="n">
        <v>46229</v>
      </c>
      <c r="F555" t="inlineStr">
        <is>
          <t>VÄSTRA GÖTALANDS LÄN</t>
        </is>
      </c>
      <c r="G555" t="inlineStr">
        <is>
          <t>BORÅS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47624-2021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44448</v>
      </c>
      <c r="E556" s="1" t="n">
        <v>46229</v>
      </c>
      <c r="F556" t="inlineStr">
        <is>
          <t>VÄSTRA GÖTALANDS LÄN</t>
        </is>
      </c>
      <c r="G556" t="inlineStr">
        <is>
          <t>BORÅS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46439-2024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46229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46229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46229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46229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46229</v>
      </c>
      <c r="F561" t="inlineStr">
        <is>
          <t>VÄSTRA GÖTALANDS LÄN</t>
        </is>
      </c>
      <c r="G561" t="inlineStr">
        <is>
          <t>BORÅS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46229</v>
      </c>
      <c r="F562" t="inlineStr">
        <is>
          <t>VÄSTRA GÖTALANDS LÄN</t>
        </is>
      </c>
      <c r="G562" t="inlineStr">
        <is>
          <t>BORÅS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46229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46229</v>
      </c>
      <c r="F564" t="inlineStr">
        <is>
          <t>VÄSTRA GÖTALANDS LÄN</t>
        </is>
      </c>
      <c r="G564" t="inlineStr">
        <is>
          <t>BORÅS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46229</v>
      </c>
      <c r="F565" t="inlineStr">
        <is>
          <t>VÄSTRA GÖTALANDS LÄN</t>
        </is>
      </c>
      <c r="G565" t="inlineStr">
        <is>
          <t>BORÅS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46229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45596</v>
      </c>
      <c r="E567" s="1" t="n">
        <v>46229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46229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46229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34984-2023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45142</v>
      </c>
      <c r="E570" s="1" t="n">
        <v>46229</v>
      </c>
      <c r="F570" t="inlineStr">
        <is>
          <t>VÄSTRA GÖTALANDS LÄN</t>
        </is>
      </c>
      <c r="G570" t="inlineStr">
        <is>
          <t>BORÅS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46229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23504-2025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46229</v>
      </c>
      <c r="F572" t="inlineStr">
        <is>
          <t>VÄSTRA GÖTALANDS LÄN</t>
        </is>
      </c>
      <c r="G572" t="inlineStr">
        <is>
          <t>BORÅS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45798</v>
      </c>
      <c r="E573" s="1" t="n">
        <v>46229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46229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25338-2025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45800</v>
      </c>
      <c r="E575" s="1" t="n">
        <v>46229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46229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46229</v>
      </c>
      <c r="F577" t="inlineStr">
        <is>
          <t>VÄSTRA GÖTALANDS LÄN</t>
        </is>
      </c>
      <c r="G577" t="inlineStr">
        <is>
          <t>BORÅS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46229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46229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44656</v>
      </c>
      <c r="E580" s="1" t="n">
        <v>46229</v>
      </c>
      <c r="F580" t="inlineStr">
        <is>
          <t>VÄSTRA GÖTALANDS LÄN</t>
        </is>
      </c>
      <c r="G580" t="inlineStr">
        <is>
          <t>BORÅS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46229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46229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27370-2025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45812</v>
      </c>
      <c r="E583" s="1" t="n">
        <v>46229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46229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46229</v>
      </c>
      <c r="F585" t="inlineStr">
        <is>
          <t>VÄSTRA GÖTALANDS LÄN</t>
        </is>
      </c>
      <c r="G585" t="inlineStr">
        <is>
          <t>BORÅS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46229</v>
      </c>
      <c r="F586" t="inlineStr">
        <is>
          <t>VÄSTRA GÖTALANDS LÄN</t>
        </is>
      </c>
      <c r="G586" t="inlineStr">
        <is>
          <t>BORÅS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13436-2025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45735</v>
      </c>
      <c r="E587" s="1" t="n">
        <v>46229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46229</v>
      </c>
      <c r="F588" t="inlineStr">
        <is>
          <t>VÄSTRA GÖTALANDS LÄN</t>
        </is>
      </c>
      <c r="G588" t="inlineStr">
        <is>
          <t>BORÅS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29111-2025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45821</v>
      </c>
      <c r="E589" s="1" t="n">
        <v>46229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46229</v>
      </c>
      <c r="F590" t="inlineStr">
        <is>
          <t>VÄSTRA GÖTALANDS LÄN</t>
        </is>
      </c>
      <c r="G590" t="inlineStr">
        <is>
          <t>BORÅS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45472</v>
      </c>
      <c r="E591" s="1" t="n">
        <v>46229</v>
      </c>
      <c r="F591" t="inlineStr">
        <is>
          <t>VÄSTRA GÖTALANDS LÄN</t>
        </is>
      </c>
      <c r="G591" t="inlineStr">
        <is>
          <t>BORÅS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45823</v>
      </c>
      <c r="E592" s="1" t="n">
        <v>46229</v>
      </c>
      <c r="F592" t="inlineStr">
        <is>
          <t>VÄSTRA GÖTALANDS LÄN</t>
        </is>
      </c>
      <c r="G592" t="inlineStr">
        <is>
          <t>BORÅS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45727</v>
      </c>
      <c r="E593" s="1" t="n">
        <v>46229</v>
      </c>
      <c r="F593" t="inlineStr">
        <is>
          <t>VÄSTRA GÖTALANDS LÄN</t>
        </is>
      </c>
      <c r="G593" t="inlineStr">
        <is>
          <t>BORÅS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46229</v>
      </c>
      <c r="F594" t="inlineStr">
        <is>
          <t>VÄSTRA GÖTALANDS LÄN</t>
        </is>
      </c>
      <c r="G594" t="inlineStr">
        <is>
          <t>BORÅS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46229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46229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45720</v>
      </c>
      <c r="E597" s="1" t="n">
        <v>46229</v>
      </c>
      <c r="F597" t="inlineStr">
        <is>
          <t>VÄSTRA GÖTALANDS LÄN</t>
        </is>
      </c>
      <c r="G597" t="inlineStr">
        <is>
          <t>BORÅS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46229</v>
      </c>
      <c r="F598" t="inlineStr">
        <is>
          <t>VÄSTRA GÖTALANDS LÄN</t>
        </is>
      </c>
      <c r="G598" t="inlineStr">
        <is>
          <t>BORÅS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30312-2025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45827</v>
      </c>
      <c r="E599" s="1" t="n">
        <v>46229</v>
      </c>
      <c r="F599" t="inlineStr">
        <is>
          <t>VÄSTRA GÖTALANDS LÄN</t>
        </is>
      </c>
      <c r="G599" t="inlineStr">
        <is>
          <t>BORÅS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46229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46229</v>
      </c>
      <c r="F601" t="inlineStr">
        <is>
          <t>VÄSTRA GÖTALANDS LÄN</t>
        </is>
      </c>
      <c r="G601" t="inlineStr">
        <is>
          <t>BORÅS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45839</v>
      </c>
      <c r="E602" s="1" t="n">
        <v>46229</v>
      </c>
      <c r="F602" t="inlineStr">
        <is>
          <t>VÄSTRA GÖTALANDS LÄN</t>
        </is>
      </c>
      <c r="G602" t="inlineStr">
        <is>
          <t>BORÅS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32905-2025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45839</v>
      </c>
      <c r="E603" s="1" t="n">
        <v>46229</v>
      </c>
      <c r="F603" t="inlineStr">
        <is>
          <t>VÄSTRA GÖTALANDS LÄN</t>
        </is>
      </c>
      <c r="G603" t="inlineStr">
        <is>
          <t>BORÅS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46229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45836</v>
      </c>
      <c r="E605" s="1" t="n">
        <v>46229</v>
      </c>
      <c r="F605" t="inlineStr">
        <is>
          <t>VÄSTRA GÖTALANDS LÄN</t>
        </is>
      </c>
      <c r="G605" t="inlineStr">
        <is>
          <t>BORÅS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33725-2025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46229</v>
      </c>
      <c r="F606" t="inlineStr">
        <is>
          <t>VÄSTRA GÖTALANDS LÄN</t>
        </is>
      </c>
      <c r="G606" t="inlineStr">
        <is>
          <t>BORÅS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46229</v>
      </c>
      <c r="F607" t="inlineStr">
        <is>
          <t>VÄSTRA GÖTALANDS LÄN</t>
        </is>
      </c>
      <c r="G607" t="inlineStr">
        <is>
          <t>BORÅS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46229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45848</v>
      </c>
      <c r="E609" s="1" t="n">
        <v>46229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46229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45866</v>
      </c>
      <c r="E611" s="1" t="n">
        <v>46229</v>
      </c>
      <c r="F611" t="inlineStr">
        <is>
          <t>VÄSTRA GÖTALANDS LÄN</t>
        </is>
      </c>
      <c r="G611" t="inlineStr">
        <is>
          <t>BORÅS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54361-2022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44882</v>
      </c>
      <c r="E612" s="1" t="n">
        <v>46229</v>
      </c>
      <c r="F612" t="inlineStr">
        <is>
          <t>VÄSTRA GÖTALANDS LÄN</t>
        </is>
      </c>
      <c r="G612" t="inlineStr">
        <is>
          <t>BORÅS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7249-2021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44467</v>
      </c>
      <c r="E613" s="1" t="n">
        <v>46229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2978-2023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45174</v>
      </c>
      <c r="E614" s="1" t="n">
        <v>46229</v>
      </c>
      <c r="F614" t="inlineStr">
        <is>
          <t>VÄSTRA GÖTALANDS LÄN</t>
        </is>
      </c>
      <c r="G614" t="inlineStr">
        <is>
          <t>BORÅS</t>
        </is>
      </c>
      <c r="I614" t="n">
        <v>65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4414-2022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44785</v>
      </c>
      <c r="E615" s="1" t="n">
        <v>46229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1019-2023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45008</v>
      </c>
      <c r="E616" s="1" t="n">
        <v>46229</v>
      </c>
      <c r="F616" t="inlineStr">
        <is>
          <t>VÄSTRA GÖTALANDS LÄN</t>
        </is>
      </c>
      <c r="G616" t="inlineStr">
        <is>
          <t>BORÅS</t>
        </is>
      </c>
      <c r="I616" t="n">
        <v>18.4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46229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7239-2021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44466</v>
      </c>
      <c r="E618" s="1" t="n">
        <v>46229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6936-2022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44900</v>
      </c>
      <c r="E619" s="1" t="n">
        <v>46229</v>
      </c>
      <c r="F619" t="inlineStr">
        <is>
          <t>VÄSTRA GÖTALANDS LÄN</t>
        </is>
      </c>
      <c r="G619" t="inlineStr">
        <is>
          <t>BORÅS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6156-2022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44865</v>
      </c>
      <c r="E620" s="1" t="n">
        <v>46229</v>
      </c>
      <c r="F620" t="inlineStr">
        <is>
          <t>VÄSTRA GÖTALANDS LÄN</t>
        </is>
      </c>
      <c r="G620" t="inlineStr">
        <is>
          <t>BORÅS</t>
        </is>
      </c>
      <c r="I620" t="n">
        <v>15.6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4259-2023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45257</v>
      </c>
      <c r="E621" s="1" t="n">
        <v>46229</v>
      </c>
      <c r="F621" t="inlineStr">
        <is>
          <t>VÄSTRA GÖTALANDS LÄN</t>
        </is>
      </c>
      <c r="G621" t="inlineStr">
        <is>
          <t>BORÅS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2970-2023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45173</v>
      </c>
      <c r="E622" s="1" t="n">
        <v>46229</v>
      </c>
      <c r="F622" t="inlineStr">
        <is>
          <t>VÄSTRA GÖTALANDS LÄN</t>
        </is>
      </c>
      <c r="G622" t="inlineStr">
        <is>
          <t>BORÅS</t>
        </is>
      </c>
      <c r="I622" t="n">
        <v>12.7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46229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46229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3027-2024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45513</v>
      </c>
      <c r="E625" s="1" t="n">
        <v>46229</v>
      </c>
      <c r="F625" t="inlineStr">
        <is>
          <t>VÄSTRA GÖTALANDS LÄN</t>
        </is>
      </c>
      <c r="G625" t="inlineStr">
        <is>
          <t>BORÅS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2814-2022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44706</v>
      </c>
      <c r="E626" s="1" t="n">
        <v>46229</v>
      </c>
      <c r="F626" t="inlineStr">
        <is>
          <t>VÄSTRA GÖTALANDS LÄN</t>
        </is>
      </c>
      <c r="G626" t="inlineStr">
        <is>
          <t>BORÅS</t>
        </is>
      </c>
      <c r="H626" t="inlineStr">
        <is>
          <t>Kyrkan</t>
        </is>
      </c>
      <c r="I626" t="n">
        <v>39.7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46229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46229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46229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46229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46229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46229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46229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46229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46229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46229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46229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46229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46229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46229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2026-07-26T01:50:48Z</dcterms:created>
  <dcterms:modified xmlns:dcterms="http://purl.org/dc/terms/" xmlns:xsi="http://www.w3.org/2001/XMLSchema-instance" xsi:type="dcterms:W3CDTF">2026-07-26T01:50:49Z</dcterms:modified>
</cp:coreProperties>
</file>