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46242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46242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46242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46242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46242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46242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46242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46242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46242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46242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14222-2024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45393</v>
      </c>
      <c r="E12" s="1" t="n">
        <v>46242</v>
      </c>
      <c r="F12" t="inlineStr">
        <is>
          <t>VÄSTRA GÖTALANDS LÄN</t>
        </is>
      </c>
      <c r="G12" t="inlineStr">
        <is>
          <t>BORÅS</t>
        </is>
      </c>
      <c r="H12" t="inlineStr">
        <is>
          <t>Sveaskog</t>
        </is>
      </c>
      <c r="I12" t="n">
        <v>20.3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Talltita
Mattlummer
Tjäder
Tofsmes</t>
        </is>
      </c>
      <c r="W12">
        <f>HYPERLINK("https://klasma.github.io/Logging_1490/artfynd/A 14222-2024 artfynd.xlsx", "A 14222-2024")</f>
        <v/>
      </c>
      <c r="X12">
        <f>HYPERLINK("https://klasma.github.io/Logging_1490/kartor/A 14222-2024 karta.png", "A 14222-2024")</f>
        <v/>
      </c>
      <c r="Y12">
        <f>HYPERLINK("https://klasma.github.io/Logging_1490/kartor_geotiff/A 14222-2024 georefererad karta.tif", "A 14222-2024")</f>
        <v/>
      </c>
      <c r="AA12">
        <f>HYPERLINK("https://klasma.github.io/Logging_1490/klagomål/A 14222-2024 FSC-klagomål.docx", "A 14222-2024")</f>
        <v/>
      </c>
      <c r="AB12">
        <f>HYPERLINK("https://klasma.github.io/Logging_1490/klagomålsmail/A 14222-2024 FSC-klagomål mail.docx", "A 14222-2024")</f>
        <v/>
      </c>
      <c r="AC12">
        <f>HYPERLINK("https://klasma.github.io/Logging_1490/tillsyn/A 14222-2024 tillsynsbegäran.docx", "A 14222-2024")</f>
        <v/>
      </c>
      <c r="AD12">
        <f>HYPERLINK("https://klasma.github.io/Logging_1490/tillsynsmail/A 14222-2024 tillsynsbegäran mail.docx", "A 14222-2024")</f>
        <v/>
      </c>
      <c r="AE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46242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46242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46242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46242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46242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46242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46242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46242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14220-2024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45393</v>
      </c>
      <c r="E21" s="1" t="n">
        <v>46242</v>
      </c>
      <c r="F21" t="inlineStr">
        <is>
          <t>VÄSTRA GÖTALANDS LÄN</t>
        </is>
      </c>
      <c r="G21" t="inlineStr">
        <is>
          <t>BORÅS</t>
        </is>
      </c>
      <c r="H21" t="inlineStr">
        <is>
          <t>Sveaskog</t>
        </is>
      </c>
      <c r="I21" t="n">
        <v>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Tofsmes
Revlummer</t>
        </is>
      </c>
      <c r="W21">
        <f>HYPERLINK("https://klasma.github.io/Logging_1490/artfynd/A 14220-2024 artfynd.xlsx", "A 14220-2024")</f>
        <v/>
      </c>
      <c r="X21">
        <f>HYPERLINK("https://klasma.github.io/Logging_1490/kartor/A 14220-2024 karta.png", "A 14220-2024")</f>
        <v/>
      </c>
      <c r="Y21">
        <f>HYPERLINK("https://klasma.github.io/Logging_1490/kartor_geotiff/A 14220-2024 georefererad karta.tif", "A 14220-2024")</f>
        <v/>
      </c>
      <c r="AA21">
        <f>HYPERLINK("https://klasma.github.io/Logging_1490/klagomål/A 14220-2024 FSC-klagomål.docx", "A 14220-2024")</f>
        <v/>
      </c>
      <c r="AB21">
        <f>HYPERLINK("https://klasma.github.io/Logging_1490/klagomålsmail/A 14220-2024 FSC-klagomål mail.docx", "A 14220-2024")</f>
        <v/>
      </c>
      <c r="AC21">
        <f>HYPERLINK("https://klasma.github.io/Logging_1490/tillsyn/A 14220-2024 tillsynsbegäran.docx", "A 14220-2024")</f>
        <v/>
      </c>
      <c r="AD21">
        <f>HYPERLINK("https://klasma.github.io/Logging_1490/tillsynsmail/A 14220-2024 tillsynsbegäran mail.docx", "A 14220-2024")</f>
        <v/>
      </c>
      <c r="AE21">
        <f>HYPERLINK("https://klasma.github.io/Logging_1490/fåglar/A 14220-2024 prioriterade fågelarter.docx", "A 14220-2024")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46242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46242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46242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46242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46242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46242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46242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Igelkott
Jungfrulin
Svinrot</t>
        </is>
      </c>
      <c r="W28">
        <f>HYPERLINK("https://klasma.github.io/Logging_1490/artfynd/A 72582-2021 artfynd.xlsx", "A 72582-2021")</f>
        <v/>
      </c>
      <c r="X28">
        <f>HYPERLINK("https://klasma.github.io/Logging_1490/kartor/A 72582-2021 karta.png", "A 72582-2021")</f>
        <v/>
      </c>
      <c r="Y28">
        <f>HYPERLINK("https://klasma.github.io/Logging_1490/kartor_geotiff/A 72582-2021 georefererad karta.tif", "A 72582-2021")</f>
        <v/>
      </c>
      <c r="AA28">
        <f>HYPERLINK("https://klasma.github.io/Logging_1490/klagomål/A 72582-2021 FSC-klagomål.docx", "A 72582-2021")</f>
        <v/>
      </c>
      <c r="AB28">
        <f>HYPERLINK("https://klasma.github.io/Logging_1490/klagomålsmail/A 72582-2021 FSC-klagomål mail.docx", "A 72582-2021")</f>
        <v/>
      </c>
      <c r="AC28">
        <f>HYPERLINK("https://klasma.github.io/Logging_1490/tillsyn/A 72582-2021 tillsynsbegäran.docx", "A 72582-2021")</f>
        <v/>
      </c>
      <c r="AD28">
        <f>HYPERLINK("https://klasma.github.io/Logging_1490/tillsynsmail/A 72582-2021 tillsynsbegäran mail.docx", "A 72582-2021")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46242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46242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46242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46242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46242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46242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46242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12385-2024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46242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4.2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Tofsmes</t>
        </is>
      </c>
      <c r="W36">
        <f>HYPERLINK("https://klasma.github.io/Logging_1490/artfynd/A 12385-2024 artfynd.xlsx", "A 12385-2024")</f>
        <v/>
      </c>
      <c r="X36">
        <f>HYPERLINK("https://klasma.github.io/Logging_1490/kartor/A 12385-2024 karta.png", "A 12385-2024")</f>
        <v/>
      </c>
      <c r="Y36">
        <f>HYPERLINK("https://klasma.github.io/Logging_1490/kartor_geotiff/A 12385-2024 georefererad karta.tif", "A 12385-2024")</f>
        <v/>
      </c>
      <c r="AA36">
        <f>HYPERLINK("https://klasma.github.io/Logging_1490/klagomål/A 12385-2024 FSC-klagomål.docx", "A 12385-2024")</f>
        <v/>
      </c>
      <c r="AB36">
        <f>HYPERLINK("https://klasma.github.io/Logging_1490/klagomålsmail/A 12385-2024 FSC-klagomål mail.docx", "A 12385-2024")</f>
        <v/>
      </c>
      <c r="AC36">
        <f>HYPERLINK("https://klasma.github.io/Logging_1490/tillsyn/A 12385-2024 tillsynsbegäran.docx", "A 12385-2024")</f>
        <v/>
      </c>
      <c r="AD36">
        <f>HYPERLINK("https://klasma.github.io/Logging_1490/tillsynsmail/A 12385-2024 tillsynsbegäran mail.docx", "A 12385-2024")</f>
        <v/>
      </c>
      <c r="AE36">
        <f>HYPERLINK("https://klasma.github.io/Logging_1490/fåglar/A 12385-2024 prioriterade fågelarter.docx", "A 12385-2024")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46242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6659-2025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46242</v>
      </c>
      <c r="F38" t="inlineStr">
        <is>
          <t>VÄSTRA GÖTALANDS LÄN</t>
        </is>
      </c>
      <c r="G38" t="inlineStr">
        <is>
          <t>BORÅS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Spillkråka</t>
        </is>
      </c>
      <c r="W38">
        <f>HYPERLINK("https://klasma.github.io/Logging_1490/artfynd/A 6659-2025 artfynd.xlsx", "A 6659-2025")</f>
        <v/>
      </c>
      <c r="X38">
        <f>HYPERLINK("https://klasma.github.io/Logging_1490/kartor/A 6659-2025 karta.png", "A 6659-2025")</f>
        <v/>
      </c>
      <c r="Y38">
        <f>HYPERLINK("https://klasma.github.io/Logging_1490/kartor_geotiff/A 6659-2025 georefererad karta.tif", "A 6659-2025")</f>
        <v/>
      </c>
      <c r="AA38">
        <f>HYPERLINK("https://klasma.github.io/Logging_1490/klagomål/A 6659-2025 FSC-klagomål.docx", "A 6659-2025")</f>
        <v/>
      </c>
      <c r="AB38">
        <f>HYPERLINK("https://klasma.github.io/Logging_1490/klagomålsmail/A 6659-2025 FSC-klagomål mail.docx", "A 6659-2025")</f>
        <v/>
      </c>
      <c r="AC38">
        <f>HYPERLINK("https://klasma.github.io/Logging_1490/tillsyn/A 6659-2025 tillsynsbegäran.docx", "A 6659-2025")</f>
        <v/>
      </c>
      <c r="AD38">
        <f>HYPERLINK("https://klasma.github.io/Logging_1490/tillsynsmail/A 6659-2025 tillsynsbegäran mail.docx", "A 6659-2025")</f>
        <v/>
      </c>
      <c r="AE38">
        <f>HYPERLINK("https://klasma.github.io/Logging_1490/fåglar/A 6659-2025 prioriterade fågelarter.docx", "A 6659-2025")</f>
        <v/>
      </c>
    </row>
    <row r="39" ht="15" customHeight="1">
      <c r="A39" t="inlineStr">
        <is>
          <t>A 34341-2025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45846</v>
      </c>
      <c r="E39" s="1" t="n">
        <v>46242</v>
      </c>
      <c r="F39" t="inlineStr">
        <is>
          <t>VÄSTRA GÖTALANDS LÄN</t>
        </is>
      </c>
      <c r="G39" t="inlineStr">
        <is>
          <t>BORÅS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Svavelriska
Nattskärra</t>
        </is>
      </c>
      <c r="W39">
        <f>HYPERLINK("https://klasma.github.io/Logging_1490/artfynd/A 34341-2025 artfynd.xlsx", "A 34341-2025")</f>
        <v/>
      </c>
      <c r="X39">
        <f>HYPERLINK("https://klasma.github.io/Logging_1490/kartor/A 34341-2025 karta.png", "A 34341-2025")</f>
        <v/>
      </c>
      <c r="Y39">
        <f>HYPERLINK("https://klasma.github.io/Logging_1490/kartor_geotiff/A 34341-2025 georefererad karta.tif", "A 34341-2025")</f>
        <v/>
      </c>
      <c r="AA39">
        <f>HYPERLINK("https://klasma.github.io/Logging_1490/klagomål/A 34341-2025 FSC-klagomål.docx", "A 34341-2025")</f>
        <v/>
      </c>
      <c r="AB39">
        <f>HYPERLINK("https://klasma.github.io/Logging_1490/klagomålsmail/A 34341-2025 FSC-klagomål mail.docx", "A 34341-2025")</f>
        <v/>
      </c>
      <c r="AC39">
        <f>HYPERLINK("https://klasma.github.io/Logging_1490/tillsyn/A 34341-2025 tillsynsbegäran.docx", "A 34341-2025")</f>
        <v/>
      </c>
      <c r="AD39">
        <f>HYPERLINK("https://klasma.github.io/Logging_1490/tillsynsmail/A 34341-2025 tillsynsbegäran mail.docx", "A 34341-2025")</f>
        <v/>
      </c>
      <c r="AE39">
        <f>HYPERLINK("https://klasma.github.io/Logging_1490/fåglar/A 34341-2025 prioriterade fågelarter.docx", "A 34341-2025")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46242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36260-2025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46242</v>
      </c>
      <c r="F41" t="inlineStr">
        <is>
          <t>VÄSTRA GÖTALANDS LÄN</t>
        </is>
      </c>
      <c r="G41" t="inlineStr">
        <is>
          <t>BORÅS</t>
        </is>
      </c>
      <c r="I41" t="n">
        <v>0.8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Guldlockmossa</t>
        </is>
      </c>
      <c r="W41">
        <f>HYPERLINK("https://klasma.github.io/Logging_1490/artfynd/A 36260-2025 artfynd.xlsx", "A 36260-2025")</f>
        <v/>
      </c>
      <c r="X41">
        <f>HYPERLINK("https://klasma.github.io/Logging_1490/kartor/A 36260-2025 karta.png", "A 36260-2025")</f>
        <v/>
      </c>
      <c r="Y41">
        <f>HYPERLINK("https://klasma.github.io/Logging_1490/kartor_geotiff/A 36260-2025 georefererad karta.tif", "A 36260-2025")</f>
        <v/>
      </c>
      <c r="AA41">
        <f>HYPERLINK("https://klasma.github.io/Logging_1490/klagomål/A 36260-2025 FSC-klagomål.docx", "A 36260-2025")</f>
        <v/>
      </c>
      <c r="AB41">
        <f>HYPERLINK("https://klasma.github.io/Logging_1490/klagomålsmail/A 36260-2025 FSC-klagomål mail.docx", "A 36260-2025")</f>
        <v/>
      </c>
      <c r="AC41">
        <f>HYPERLINK("https://klasma.github.io/Logging_1490/tillsyn/A 36260-2025 tillsynsbegäran.docx", "A 36260-2025")</f>
        <v/>
      </c>
      <c r="AD41">
        <f>HYPERLINK("https://klasma.github.io/Logging_1490/tillsynsmail/A 36260-2025 tillsynsbegäran mail.docx", "A 36260-2025")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46242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46242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Skuggmossa
Blåsippa</t>
        </is>
      </c>
      <c r="W43">
        <f>HYPERLINK("https://klasma.github.io/Logging_1490/artfynd/A 64578-2023 artfynd.xlsx", "A 64578-2023")</f>
        <v/>
      </c>
      <c r="X43">
        <f>HYPERLINK("https://klasma.github.io/Logging_1490/kartor/A 64578-2023 karta.png", "A 64578-2023")</f>
        <v/>
      </c>
      <c r="Y43">
        <f>HYPERLINK("https://klasma.github.io/Logging_1490/kartor_geotiff/A 64578-2023 georefererad karta.tif", "A 64578-2023")</f>
        <v/>
      </c>
      <c r="AA43">
        <f>HYPERLINK("https://klasma.github.io/Logging_1490/klagomål/A 64578-2023 FSC-klagomål.docx", "A 64578-2023")</f>
        <v/>
      </c>
      <c r="AB43">
        <f>HYPERLINK("https://klasma.github.io/Logging_1490/klagomålsmail/A 64578-2023 FSC-klagomål mail.docx", "A 64578-2023")</f>
        <v/>
      </c>
      <c r="AC43">
        <f>HYPERLINK("https://klasma.github.io/Logging_1490/tillsyn/A 64578-2023 tillsynsbegäran.docx", "A 64578-2023")</f>
        <v/>
      </c>
      <c r="AD43">
        <f>HYPERLINK("https://klasma.github.io/Logging_1490/tillsynsmail/A 64578-2023 tillsynsbegäran mail.docx", "A 64578-2023")</f>
        <v/>
      </c>
    </row>
    <row r="44" ht="15" customHeight="1">
      <c r="A44" t="inlineStr">
        <is>
          <t>A 55712-2021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44476</v>
      </c>
      <c r="E44" s="1" t="n">
        <v>46242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3.6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1</v>
      </c>
      <c r="V44" s="2" t="inlineStr">
        <is>
          <t>Skogsalm
Knärot</t>
        </is>
      </c>
      <c r="W44">
        <f>HYPERLINK("https://klasma.github.io/Logging_1490/artfynd/A 55712-2021 artfynd.xlsx", "A 55712-2021")</f>
        <v/>
      </c>
      <c r="X44">
        <f>HYPERLINK("https://klasma.github.io/Logging_1490/kartor/A 55712-2021 karta.png", "A 55712-2021")</f>
        <v/>
      </c>
      <c r="Y44">
        <f>HYPERLINK("https://klasma.github.io/Logging_1490/kartor_geotiff/A 55712-2021 georefererad karta.tif", "A 55712-2021")</f>
        <v/>
      </c>
      <c r="Z44">
        <f>HYPERLINK("https://klasma.github.io/Logging_1490/knärot/A 55712-2021 karta knärot.png", "A 55712-2021")</f>
        <v/>
      </c>
      <c r="AA44">
        <f>HYPERLINK("https://klasma.github.io/Logging_1490/klagomål/A 55712-2021 FSC-klagomål.docx", "A 55712-2021")</f>
        <v/>
      </c>
      <c r="AB44">
        <f>HYPERLINK("https://klasma.github.io/Logging_1490/klagomålsmail/A 55712-2021 FSC-klagomål mail.docx", "A 55712-2021")</f>
        <v/>
      </c>
      <c r="AC44">
        <f>HYPERLINK("https://klasma.github.io/Logging_1490/tillsyn/A 55712-2021 tillsynsbegäran.docx", "A 55712-2021")</f>
        <v/>
      </c>
      <c r="AD44">
        <f>HYPERLINK("https://klasma.github.io/Logging_1490/tillsynsmail/A 55712-2021 tillsynsbegäran mail.docx", "A 55712-2021")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46242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46242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46242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Gröngöling
Svartvit flugsnappare</t>
        </is>
      </c>
      <c r="W47">
        <f>HYPERLINK("https://klasma.github.io/Logging_1490/artfynd/A 4362-2022 artfynd.xlsx", "A 4362-2022")</f>
        <v/>
      </c>
      <c r="X47">
        <f>HYPERLINK("https://klasma.github.io/Logging_1490/kartor/A 4362-2022 karta.png", "A 4362-2022")</f>
        <v/>
      </c>
      <c r="Y47">
        <f>HYPERLINK("https://klasma.github.io/Logging_1490/kartor_geotiff/A 4362-2022 georefererad karta.tif", "A 4362-2022")</f>
        <v/>
      </c>
      <c r="AA47">
        <f>HYPERLINK("https://klasma.github.io/Logging_1490/klagomål/A 4362-2022 FSC-klagomål.docx", "A 4362-2022")</f>
        <v/>
      </c>
      <c r="AB47">
        <f>HYPERLINK("https://klasma.github.io/Logging_1490/klagomålsmail/A 4362-2022 FSC-klagomål mail.docx", "A 4362-2022")</f>
        <v/>
      </c>
      <c r="AC47">
        <f>HYPERLINK("https://klasma.github.io/Logging_1490/tillsyn/A 4362-2022 tillsynsbegäran.docx", "A 4362-2022")</f>
        <v/>
      </c>
      <c r="AD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46242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46242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46242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46242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46242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46242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46242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46242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46242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1922-2025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46242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Kyrkan</t>
        </is>
      </c>
      <c r="I57" t="n">
        <v>5.9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Kungsfågel</t>
        </is>
      </c>
      <c r="W57">
        <f>HYPERLINK("https://klasma.github.io/Logging_1490/artfynd/A 1922-2025 artfynd.xlsx", "A 1922-2025")</f>
        <v/>
      </c>
      <c r="X57">
        <f>HYPERLINK("https://klasma.github.io/Logging_1490/kartor/A 1922-2025 karta.png", "A 1922-2025")</f>
        <v/>
      </c>
      <c r="Y57">
        <f>HYPERLINK("https://klasma.github.io/Logging_1490/kartor_geotiff/A 1922-2025 georefererad karta.tif", "A 1922-2025")</f>
        <v/>
      </c>
      <c r="AA57">
        <f>HYPERLINK("https://klasma.github.io/Logging_1490/klagomål/A 1922-2025 FSC-klagomål.docx", "A 1922-2025")</f>
        <v/>
      </c>
      <c r="AB57">
        <f>HYPERLINK("https://klasma.github.io/Logging_1490/klagomålsmail/A 1922-2025 FSC-klagomål mail.docx", "A 1922-2025")</f>
        <v/>
      </c>
      <c r="AC57">
        <f>HYPERLINK("https://klasma.github.io/Logging_1490/tillsyn/A 1922-2025 tillsynsbegäran.docx", "A 1922-2025")</f>
        <v/>
      </c>
      <c r="AD57">
        <f>HYPERLINK("https://klasma.github.io/Logging_1490/tillsynsmail/A 1922-2025 tillsynsbegäran mail.docx", "A 1922-2025")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46242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46242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46242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61684-2023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46242</v>
      </c>
      <c r="F61" t="inlineStr">
        <is>
          <t>VÄSTRA GÖTALANDS LÄN</t>
        </is>
      </c>
      <c r="G61" t="inlineStr">
        <is>
          <t>BORÅS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Fällmossa</t>
        </is>
      </c>
      <c r="W61">
        <f>HYPERLINK("https://klasma.github.io/Logging_1490/artfynd/A 61684-2023 artfynd.xlsx", "A 61684-2023")</f>
        <v/>
      </c>
      <c r="X61">
        <f>HYPERLINK("https://klasma.github.io/Logging_1490/kartor/A 61684-2023 karta.png", "A 61684-2023")</f>
        <v/>
      </c>
      <c r="Y61">
        <f>HYPERLINK("https://klasma.github.io/Logging_1490/kartor_geotiff/A 61684-2023 georefererad karta.tif", "A 61684-2023")</f>
        <v/>
      </c>
      <c r="AA61">
        <f>HYPERLINK("https://klasma.github.io/Logging_1490/klagomål/A 61684-2023 FSC-klagomål.docx", "A 61684-2023")</f>
        <v/>
      </c>
      <c r="AB61">
        <f>HYPERLINK("https://klasma.github.io/Logging_1490/klagomålsmail/A 61684-2023 FSC-klagomål mail.docx", "A 61684-2023")</f>
        <v/>
      </c>
      <c r="AC61">
        <f>HYPERLINK("https://klasma.github.io/Logging_1490/tillsyn/A 61684-2023 tillsynsbegäran.docx", "A 61684-2023")</f>
        <v/>
      </c>
      <c r="AD61">
        <f>HYPERLINK("https://klasma.github.io/Logging_1490/tillsynsmail/A 61684-2023 tillsynsbegäran mail.docx", "A 61684-2023")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46242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46242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46242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33724-2025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45841</v>
      </c>
      <c r="E65" s="1" t="n">
        <v>46242</v>
      </c>
      <c r="F65" t="inlineStr">
        <is>
          <t>VÄSTRA GÖTALANDS LÄN</t>
        </is>
      </c>
      <c r="G65" t="inlineStr">
        <is>
          <t>BORÅS</t>
        </is>
      </c>
      <c r="I65" t="n">
        <v>0.7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HYPERLINK("https://klasma.github.io/Logging_1490/artfynd/A 33724-2025 artfynd.xlsx", "A 33724-2025")</f>
        <v/>
      </c>
      <c r="X65">
        <f>HYPERLINK("https://klasma.github.io/Logging_1490/kartor/A 33724-2025 karta.png", "A 33724-2025")</f>
        <v/>
      </c>
      <c r="Y65">
        <f>HYPERLINK("https://klasma.github.io/Logging_1490/kartor_geotiff/A 33724-2025 georefererad karta.tif", "A 33724-2025")</f>
        <v/>
      </c>
      <c r="AA65">
        <f>HYPERLINK("https://klasma.github.io/Logging_1490/klagomål/A 33724-2025 FSC-klagomål.docx", "A 33724-2025")</f>
        <v/>
      </c>
      <c r="AB65">
        <f>HYPERLINK("https://klasma.github.io/Logging_1490/klagomålsmail/A 33724-2025 FSC-klagomål mail.docx", "A 33724-2025")</f>
        <v/>
      </c>
      <c r="AC65">
        <f>HYPERLINK("https://klasma.github.io/Logging_1490/tillsyn/A 33724-2025 tillsynsbegäran.docx", "A 33724-2025")</f>
        <v/>
      </c>
      <c r="AD65">
        <f>HYPERLINK("https://klasma.github.io/Logging_1490/tillsynsmail/A 33724-2025 tillsynsbegäran mail.docx", "A 33724-2025")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46242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46242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46242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46242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46242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46242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29499-2026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46242</v>
      </c>
      <c r="F72" t="inlineStr">
        <is>
          <t>VÄSTRA GÖTALANDS LÄN</t>
        </is>
      </c>
      <c r="G72" t="inlineStr">
        <is>
          <t>BORÅS</t>
        </is>
      </c>
      <c r="I72" t="n">
        <v>7.4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HYPERLINK("https://klasma.github.io/Logging_1490/artfynd/A 29499-2026 artfynd.xlsx", "A 29499-2026")</f>
        <v/>
      </c>
      <c r="X72">
        <f>HYPERLINK("https://klasma.github.io/Logging_1490/kartor/A 29499-2026 karta.png", "A 29499-2026")</f>
        <v/>
      </c>
      <c r="Y72">
        <f>HYPERLINK("https://klasma.github.io/Logging_1490/kartor_geotiff/A 29499-2026 georefererad karta.tif", "A 29499-2026")</f>
        <v/>
      </c>
      <c r="AA72">
        <f>HYPERLINK("https://klasma.github.io/Logging_1490/klagomål/A 29499-2026 FSC-klagomål.docx", "A 29499-2026")</f>
        <v/>
      </c>
      <c r="AB72">
        <f>HYPERLINK("https://klasma.github.io/Logging_1490/klagomålsmail/A 29499-2026 FSC-klagomål mail.docx", "A 29499-2026")</f>
        <v/>
      </c>
      <c r="AC72">
        <f>HYPERLINK("https://klasma.github.io/Logging_1490/tillsyn/A 29499-2026 tillsynsbegäran.docx", "A 29499-2026")</f>
        <v/>
      </c>
      <c r="AD72">
        <f>HYPERLINK("https://klasma.github.io/Logging_1490/tillsynsmail/A 29499-2026 tillsynsbegäran mail.docx", "A 29499-2026")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46242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46242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46242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46242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46242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46242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46242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46242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46242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46242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46242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46242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46242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46242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46242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46242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46242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46242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46242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46242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46242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46242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46242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46242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46242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46242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46242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46242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46242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46242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46242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46242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46242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46242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46242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46242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46242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46242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46242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46242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46242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46242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46242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46242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46242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46242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46242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46242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46242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46242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46242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46242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46242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46242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46242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46242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46242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46242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46242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46242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46242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45575</v>
      </c>
      <c r="E134" s="1" t="n">
        <v>46242</v>
      </c>
      <c r="F134" t="inlineStr">
        <is>
          <t>VÄSTRA GÖTALANDS LÄN</t>
        </is>
      </c>
      <c r="G134" t="inlineStr">
        <is>
          <t>BORÅS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46242</v>
      </c>
      <c r="F135" t="inlineStr">
        <is>
          <t>VÄSTRA GÖTALANDS LÄN</t>
        </is>
      </c>
      <c r="G135" t="inlineStr">
        <is>
          <t>BORÅS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8240-2022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44609</v>
      </c>
      <c r="E136" s="1" t="n">
        <v>46242</v>
      </c>
      <c r="F136" t="inlineStr">
        <is>
          <t>VÄSTRA GÖTALANDS LÄN</t>
        </is>
      </c>
      <c r="G136" t="inlineStr">
        <is>
          <t>BORÅS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46242</v>
      </c>
      <c r="F137" t="inlineStr">
        <is>
          <t>VÄSTRA GÖTALANDS LÄN</t>
        </is>
      </c>
      <c r="G137" t="inlineStr">
        <is>
          <t>BORÅS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46242</v>
      </c>
      <c r="F138" t="inlineStr">
        <is>
          <t>VÄSTRA GÖTALANDS LÄN</t>
        </is>
      </c>
      <c r="G138" t="inlineStr">
        <is>
          <t>BORÅS</t>
        </is>
      </c>
      <c r="H138" t="inlineStr">
        <is>
          <t>Sveaskog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46242</v>
      </c>
      <c r="F139" t="inlineStr">
        <is>
          <t>VÄSTRA GÖTALANDS LÄN</t>
        </is>
      </c>
      <c r="G139" t="inlineStr">
        <is>
          <t>BORÅS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46242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58771-2021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46242</v>
      </c>
      <c r="F141" t="inlineStr">
        <is>
          <t>VÄSTRA GÖTALANDS LÄN</t>
        </is>
      </c>
      <c r="G141" t="inlineStr">
        <is>
          <t>BORÅS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46242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65064-2021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44515</v>
      </c>
      <c r="E143" s="1" t="n">
        <v>46242</v>
      </c>
      <c r="F143" t="inlineStr">
        <is>
          <t>VÄSTRA GÖTALANDS LÄN</t>
        </is>
      </c>
      <c r="G143" t="inlineStr">
        <is>
          <t>BORÅS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46242</v>
      </c>
      <c r="F144" t="inlineStr">
        <is>
          <t>VÄSTRA GÖTALANDS LÄN</t>
        </is>
      </c>
      <c r="G144" t="inlineStr">
        <is>
          <t>BORÅS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46242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46242</v>
      </c>
      <c r="F146" t="inlineStr">
        <is>
          <t>VÄSTRA GÖTALANDS LÄN</t>
        </is>
      </c>
      <c r="G146" t="inlineStr">
        <is>
          <t>BORÅS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46242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45050</v>
      </c>
      <c r="E148" s="1" t="n">
        <v>46242</v>
      </c>
      <c r="F148" t="inlineStr">
        <is>
          <t>VÄSTRA GÖTALANDS LÄN</t>
        </is>
      </c>
      <c r="G148" t="inlineStr">
        <is>
          <t>BORÅS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45050</v>
      </c>
      <c r="E149" s="1" t="n">
        <v>46242</v>
      </c>
      <c r="F149" t="inlineStr">
        <is>
          <t>VÄSTRA GÖTALANDS LÄN</t>
        </is>
      </c>
      <c r="G149" t="inlineStr">
        <is>
          <t>BORÅS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45294</v>
      </c>
      <c r="E150" s="1" t="n">
        <v>46242</v>
      </c>
      <c r="F150" t="inlineStr">
        <is>
          <t>VÄSTRA GÖTALANDS LÄN</t>
        </is>
      </c>
      <c r="G150" t="inlineStr">
        <is>
          <t>BORÅS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46242</v>
      </c>
      <c r="F151" t="inlineStr">
        <is>
          <t>VÄSTRA GÖTALANDS LÄN</t>
        </is>
      </c>
      <c r="G151" t="inlineStr">
        <is>
          <t>BORÅS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45054</v>
      </c>
      <c r="E152" s="1" t="n">
        <v>46242</v>
      </c>
      <c r="F152" t="inlineStr">
        <is>
          <t>VÄSTRA GÖTALANDS LÄN</t>
        </is>
      </c>
      <c r="G152" t="inlineStr">
        <is>
          <t>BORÅS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46242</v>
      </c>
      <c r="F153" t="inlineStr">
        <is>
          <t>VÄSTRA GÖTALANDS LÄN</t>
        </is>
      </c>
      <c r="G153" t="inlineStr">
        <is>
          <t>BORÅS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46242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44728</v>
      </c>
      <c r="E155" s="1" t="n">
        <v>46242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46242</v>
      </c>
      <c r="F156" t="inlineStr">
        <is>
          <t>VÄSTRA GÖTALANDS LÄN</t>
        </is>
      </c>
      <c r="G156" t="inlineStr">
        <is>
          <t>BORÅS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45510</v>
      </c>
      <c r="E157" s="1" t="n">
        <v>46242</v>
      </c>
      <c r="F157" t="inlineStr">
        <is>
          <t>VÄSTRA GÖTALANDS LÄN</t>
        </is>
      </c>
      <c r="G157" t="inlineStr">
        <is>
          <t>BORÅS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46242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46242</v>
      </c>
      <c r="F159" t="inlineStr">
        <is>
          <t>VÄSTRA GÖTALANDS LÄN</t>
        </is>
      </c>
      <c r="G159" t="inlineStr">
        <is>
          <t>BORÅS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46242</v>
      </c>
      <c r="F160" t="inlineStr">
        <is>
          <t>VÄSTRA GÖTALANDS LÄN</t>
        </is>
      </c>
      <c r="G160" t="inlineStr">
        <is>
          <t>BORÅS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46242</v>
      </c>
      <c r="F161" t="inlineStr">
        <is>
          <t>VÄSTRA GÖTALANDS LÄN</t>
        </is>
      </c>
      <c r="G161" t="inlineStr">
        <is>
          <t>BORÅS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46242</v>
      </c>
      <c r="F162" t="inlineStr">
        <is>
          <t>VÄSTRA GÖTALANDS LÄN</t>
        </is>
      </c>
      <c r="G162" t="inlineStr">
        <is>
          <t>BORÅS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46242</v>
      </c>
      <c r="F163" t="inlineStr">
        <is>
          <t>VÄSTRA GÖTALANDS LÄN</t>
        </is>
      </c>
      <c r="G163" t="inlineStr">
        <is>
          <t>BORÅS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45650</v>
      </c>
      <c r="E164" s="1" t="n">
        <v>46242</v>
      </c>
      <c r="F164" t="inlineStr">
        <is>
          <t>VÄSTRA GÖTALANDS LÄN</t>
        </is>
      </c>
      <c r="G164" t="inlineStr">
        <is>
          <t>BORÅS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46242</v>
      </c>
      <c r="F165" t="inlineStr">
        <is>
          <t>VÄSTRA GÖTALANDS LÄN</t>
        </is>
      </c>
      <c r="G165" t="inlineStr">
        <is>
          <t>BORÅS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46242</v>
      </c>
      <c r="F166" t="inlineStr">
        <is>
          <t>VÄSTRA GÖTALANDS LÄN</t>
        </is>
      </c>
      <c r="G166" t="inlineStr">
        <is>
          <t>BORÅS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46242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46242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45462</v>
      </c>
      <c r="E169" s="1" t="n">
        <v>46242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46242</v>
      </c>
      <c r="F170" t="inlineStr">
        <is>
          <t>VÄSTRA GÖTALANDS LÄN</t>
        </is>
      </c>
      <c r="G170" t="inlineStr">
        <is>
          <t>BORÅS</t>
        </is>
      </c>
      <c r="H170" t="inlineStr">
        <is>
          <t>Sveaskog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46242</v>
      </c>
      <c r="F171" t="inlineStr">
        <is>
          <t>VÄSTRA GÖTALANDS LÄN</t>
        </is>
      </c>
      <c r="G171" t="inlineStr">
        <is>
          <t>BORÅS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46242</v>
      </c>
      <c r="F172" t="inlineStr">
        <is>
          <t>VÄSTRA GÖTALANDS LÄN</t>
        </is>
      </c>
      <c r="G172" t="inlineStr">
        <is>
          <t>BORÅS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46242</v>
      </c>
      <c r="F173" t="inlineStr">
        <is>
          <t>VÄSTRA GÖTALANDS LÄN</t>
        </is>
      </c>
      <c r="G173" t="inlineStr">
        <is>
          <t>BORÅS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46242</v>
      </c>
      <c r="F174" t="inlineStr">
        <is>
          <t>VÄSTRA GÖTALANDS LÄN</t>
        </is>
      </c>
      <c r="G174" t="inlineStr">
        <is>
          <t>BORÅS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46242</v>
      </c>
      <c r="F175" t="inlineStr">
        <is>
          <t>VÄSTRA GÖTALANDS LÄN</t>
        </is>
      </c>
      <c r="G175" t="inlineStr">
        <is>
          <t>BORÅS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45727</v>
      </c>
      <c r="E176" s="1" t="n">
        <v>46242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Kyrkan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46242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Kyrkan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46242</v>
      </c>
      <c r="F178" t="inlineStr">
        <is>
          <t>VÄSTRA GÖTALANDS LÄN</t>
        </is>
      </c>
      <c r="G178" t="inlineStr">
        <is>
          <t>BORÅS</t>
        </is>
      </c>
      <c r="I178" t="n">
        <v>8.800000000000001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46242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46242</v>
      </c>
      <c r="F180" t="inlineStr">
        <is>
          <t>VÄSTRA GÖTALANDS LÄN</t>
        </is>
      </c>
      <c r="G180" t="inlineStr">
        <is>
          <t>BORÅS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45294</v>
      </c>
      <c r="E181" s="1" t="n">
        <v>46242</v>
      </c>
      <c r="F181" t="inlineStr">
        <is>
          <t>VÄSTRA GÖTALANDS LÄN</t>
        </is>
      </c>
      <c r="G181" t="inlineStr">
        <is>
          <t>BORÅS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40611-2021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44420</v>
      </c>
      <c r="E182" s="1" t="n">
        <v>46242</v>
      </c>
      <c r="F182" t="inlineStr">
        <is>
          <t>VÄSTRA GÖTALANDS LÄN</t>
        </is>
      </c>
      <c r="G182" t="inlineStr">
        <is>
          <t>BORÅS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16177-2024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46242</v>
      </c>
      <c r="F183" t="inlineStr">
        <is>
          <t>VÄSTRA GÖTALANDS LÄN</t>
        </is>
      </c>
      <c r="G183" t="inlineStr">
        <is>
          <t>BORÅS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36577-2022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46242</v>
      </c>
      <c r="F184" t="inlineStr">
        <is>
          <t>VÄSTRA GÖTALANDS LÄN</t>
        </is>
      </c>
      <c r="G184" t="inlineStr">
        <is>
          <t>BORÅS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45225</v>
      </c>
      <c r="E185" s="1" t="n">
        <v>46242</v>
      </c>
      <c r="F185" t="inlineStr">
        <is>
          <t>VÄSTRA GÖTALANDS LÄN</t>
        </is>
      </c>
      <c r="G185" t="inlineStr">
        <is>
          <t>BORÅS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46242</v>
      </c>
      <c r="F186" t="inlineStr">
        <is>
          <t>VÄSTRA GÖTALANDS LÄN</t>
        </is>
      </c>
      <c r="G186" t="inlineStr">
        <is>
          <t>BORÅS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46242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46242</v>
      </c>
      <c r="F188" t="inlineStr">
        <is>
          <t>VÄSTRA GÖTALANDS LÄN</t>
        </is>
      </c>
      <c r="G188" t="inlineStr">
        <is>
          <t>BORÅS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46242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46242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36975-2024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45538</v>
      </c>
      <c r="E191" s="1" t="n">
        <v>46242</v>
      </c>
      <c r="F191" t="inlineStr">
        <is>
          <t>VÄSTRA GÖTALANDS LÄN</t>
        </is>
      </c>
      <c r="G191" t="inlineStr">
        <is>
          <t>BORÅS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46242</v>
      </c>
      <c r="F192" t="inlineStr">
        <is>
          <t>VÄSTRA GÖTALANDS LÄN</t>
        </is>
      </c>
      <c r="G192" t="inlineStr">
        <is>
          <t>BORÅS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46242</v>
      </c>
      <c r="F193" t="inlineStr">
        <is>
          <t>VÄSTRA GÖTALANDS LÄN</t>
        </is>
      </c>
      <c r="G193" t="inlineStr">
        <is>
          <t>BORÅS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46242</v>
      </c>
      <c r="F194" t="inlineStr">
        <is>
          <t>VÄSTRA GÖTALANDS LÄN</t>
        </is>
      </c>
      <c r="G194" t="inlineStr">
        <is>
          <t>BORÅS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45803</v>
      </c>
      <c r="E195" s="1" t="n">
        <v>46242</v>
      </c>
      <c r="F195" t="inlineStr">
        <is>
          <t>VÄSTRA GÖTALANDS LÄN</t>
        </is>
      </c>
      <c r="G195" t="inlineStr">
        <is>
          <t>BORÅS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46242</v>
      </c>
      <c r="F196" t="inlineStr">
        <is>
          <t>VÄSTRA GÖTALANDS LÄN</t>
        </is>
      </c>
      <c r="G196" t="inlineStr">
        <is>
          <t>BORÅS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46242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Kommuner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45208</v>
      </c>
      <c r="E198" s="1" t="n">
        <v>46242</v>
      </c>
      <c r="F198" t="inlineStr">
        <is>
          <t>VÄSTRA GÖTALANDS LÄN</t>
        </is>
      </c>
      <c r="G198" t="inlineStr">
        <is>
          <t>BORÅS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44844</v>
      </c>
      <c r="E199" s="1" t="n">
        <v>46242</v>
      </c>
      <c r="F199" t="inlineStr">
        <is>
          <t>VÄSTRA GÖTALANDS LÄN</t>
        </is>
      </c>
      <c r="G199" t="inlineStr">
        <is>
          <t>BORÅS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46242</v>
      </c>
      <c r="F200" t="inlineStr">
        <is>
          <t>VÄSTRA GÖTALANDS LÄN</t>
        </is>
      </c>
      <c r="G200" t="inlineStr">
        <is>
          <t>BORÅS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45190</v>
      </c>
      <c r="E201" s="1" t="n">
        <v>46242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45126</v>
      </c>
      <c r="E202" s="1" t="n">
        <v>46242</v>
      </c>
      <c r="F202" t="inlineStr">
        <is>
          <t>VÄSTRA GÖTALANDS LÄN</t>
        </is>
      </c>
      <c r="G202" t="inlineStr">
        <is>
          <t>BORÅS</t>
        </is>
      </c>
      <c r="I202" t="n">
        <v>10.2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46242</v>
      </c>
      <c r="F203" t="inlineStr">
        <is>
          <t>VÄSTRA GÖTALANDS LÄN</t>
        </is>
      </c>
      <c r="G203" t="inlineStr">
        <is>
          <t>BORÅS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46242</v>
      </c>
      <c r="F204" t="inlineStr">
        <is>
          <t>VÄSTRA GÖTALANDS LÄN</t>
        </is>
      </c>
      <c r="G204" t="inlineStr">
        <is>
          <t>BORÅS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46037</v>
      </c>
      <c r="E205" s="1" t="n">
        <v>46242</v>
      </c>
      <c r="F205" t="inlineStr">
        <is>
          <t>VÄSTRA GÖTALANDS LÄN</t>
        </is>
      </c>
      <c r="G205" t="inlineStr">
        <is>
          <t>BORÅS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46242</v>
      </c>
      <c r="F206" t="inlineStr">
        <is>
          <t>VÄSTRA GÖTALANDS LÄN</t>
        </is>
      </c>
      <c r="G206" t="inlineStr">
        <is>
          <t>BORÅS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46242</v>
      </c>
      <c r="F207" t="inlineStr">
        <is>
          <t>VÄSTRA GÖTALANDS LÄN</t>
        </is>
      </c>
      <c r="G207" t="inlineStr">
        <is>
          <t>BORÅS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45887</v>
      </c>
      <c r="E208" s="1" t="n">
        <v>46242</v>
      </c>
      <c r="F208" t="inlineStr">
        <is>
          <t>VÄSTRA GÖTALANDS LÄN</t>
        </is>
      </c>
      <c r="G208" t="inlineStr">
        <is>
          <t>BORÅS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44581</v>
      </c>
      <c r="E209" s="1" t="n">
        <v>46242</v>
      </c>
      <c r="F209" t="inlineStr">
        <is>
          <t>VÄSTRA GÖTALANDS LÄN</t>
        </is>
      </c>
      <c r="G209" t="inlineStr">
        <is>
          <t>BORÅS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32051-2023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46242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46242</v>
      </c>
      <c r="F211" t="inlineStr">
        <is>
          <t>VÄSTRA GÖTALANDS LÄN</t>
        </is>
      </c>
      <c r="G211" t="inlineStr">
        <is>
          <t>BORÅS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46242</v>
      </c>
      <c r="F212" t="inlineStr">
        <is>
          <t>VÄSTRA GÖTALANDS LÄN</t>
        </is>
      </c>
      <c r="G212" t="inlineStr">
        <is>
          <t>BORÅS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46242</v>
      </c>
      <c r="F213" t="inlineStr">
        <is>
          <t>VÄSTRA GÖTALANDS LÄN</t>
        </is>
      </c>
      <c r="G213" t="inlineStr">
        <is>
          <t>BORÅS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46242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46242</v>
      </c>
      <c r="F215" t="inlineStr">
        <is>
          <t>VÄSTRA GÖTALANDS LÄN</t>
        </is>
      </c>
      <c r="G215" t="inlineStr">
        <is>
          <t>BORÅS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45888</v>
      </c>
      <c r="E216" s="1" t="n">
        <v>46242</v>
      </c>
      <c r="F216" t="inlineStr">
        <is>
          <t>VÄSTRA GÖTALANDS LÄN</t>
        </is>
      </c>
      <c r="G216" t="inlineStr">
        <is>
          <t>BORÅS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46242</v>
      </c>
      <c r="F217" t="inlineStr">
        <is>
          <t>VÄSTRA GÖTALANDS LÄN</t>
        </is>
      </c>
      <c r="G217" t="inlineStr">
        <is>
          <t>BORÅS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46242</v>
      </c>
      <c r="F218" t="inlineStr">
        <is>
          <t>VÄSTRA GÖTALANDS LÄN</t>
        </is>
      </c>
      <c r="G218" t="inlineStr">
        <is>
          <t>BORÅS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46242</v>
      </c>
      <c r="F219" t="inlineStr">
        <is>
          <t>VÄSTRA GÖTALANDS LÄN</t>
        </is>
      </c>
      <c r="G219" t="inlineStr">
        <is>
          <t>BORÅS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46242</v>
      </c>
      <c r="F220" t="inlineStr">
        <is>
          <t>VÄSTRA GÖTALANDS LÄN</t>
        </is>
      </c>
      <c r="G220" t="inlineStr">
        <is>
          <t>BORÅS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44858</v>
      </c>
      <c r="E221" s="1" t="n">
        <v>46242</v>
      </c>
      <c r="F221" t="inlineStr">
        <is>
          <t>VÄSTRA GÖTALANDS LÄN</t>
        </is>
      </c>
      <c r="G221" t="inlineStr">
        <is>
          <t>BORÅS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46242</v>
      </c>
      <c r="F222" t="inlineStr">
        <is>
          <t>VÄSTRA GÖTALANDS LÄN</t>
        </is>
      </c>
      <c r="G222" t="inlineStr">
        <is>
          <t>BORÅS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46242</v>
      </c>
      <c r="F223" t="inlineStr">
        <is>
          <t>VÄSTRA GÖTALANDS LÄN</t>
        </is>
      </c>
      <c r="G223" t="inlineStr">
        <is>
          <t>BORÅS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45120</v>
      </c>
      <c r="E224" s="1" t="n">
        <v>46242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45120</v>
      </c>
      <c r="E225" s="1" t="n">
        <v>46242</v>
      </c>
      <c r="F225" t="inlineStr">
        <is>
          <t>VÄSTRA GÖTALANDS LÄN</t>
        </is>
      </c>
      <c r="G225" t="inlineStr">
        <is>
          <t>BORÅS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32482-2023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45120</v>
      </c>
      <c r="E226" s="1" t="n">
        <v>46242</v>
      </c>
      <c r="F226" t="inlineStr">
        <is>
          <t>VÄSTRA GÖTALANDS LÄN</t>
        </is>
      </c>
      <c r="G226" t="inlineStr">
        <is>
          <t>BORÅS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46242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Kyrkan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46242</v>
      </c>
      <c r="F228" t="inlineStr">
        <is>
          <t>VÄSTRA GÖTALANDS LÄN</t>
        </is>
      </c>
      <c r="G228" t="inlineStr">
        <is>
          <t>BORÅS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45812</v>
      </c>
      <c r="E229" s="1" t="n">
        <v>46242</v>
      </c>
      <c r="F229" t="inlineStr">
        <is>
          <t>VÄSTRA GÖTALANDS LÄN</t>
        </is>
      </c>
      <c r="G229" t="inlineStr">
        <is>
          <t>BORÅS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45412</v>
      </c>
      <c r="E230" s="1" t="n">
        <v>46242</v>
      </c>
      <c r="F230" t="inlineStr">
        <is>
          <t>VÄSTRA GÖTALANDS LÄN</t>
        </is>
      </c>
      <c r="G230" t="inlineStr">
        <is>
          <t>BORÅS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45537</v>
      </c>
      <c r="E231" s="1" t="n">
        <v>46242</v>
      </c>
      <c r="F231" t="inlineStr">
        <is>
          <t>VÄSTRA GÖTALANDS LÄN</t>
        </is>
      </c>
      <c r="G231" t="inlineStr">
        <is>
          <t>BORÅS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46242</v>
      </c>
      <c r="F232" t="inlineStr">
        <is>
          <t>VÄSTRA GÖTALANDS LÄN</t>
        </is>
      </c>
      <c r="G232" t="inlineStr">
        <is>
          <t>BORÅS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34355-2024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45525</v>
      </c>
      <c r="E233" s="1" t="n">
        <v>46242</v>
      </c>
      <c r="F233" t="inlineStr">
        <is>
          <t>VÄSTRA GÖTALANDS LÄN</t>
        </is>
      </c>
      <c r="G233" t="inlineStr">
        <is>
          <t>BORÅS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46242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46242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44987</v>
      </c>
      <c r="E236" s="1" t="n">
        <v>46242</v>
      </c>
      <c r="F236" t="inlineStr">
        <is>
          <t>VÄSTRA GÖTALANDS LÄN</t>
        </is>
      </c>
      <c r="G236" t="inlineStr">
        <is>
          <t>BORÅS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46242</v>
      </c>
      <c r="F237" t="inlineStr">
        <is>
          <t>VÄSTRA GÖTALANDS LÄN</t>
        </is>
      </c>
      <c r="G237" t="inlineStr">
        <is>
          <t>BORÅS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46242</v>
      </c>
      <c r="F238" t="inlineStr">
        <is>
          <t>VÄSTRA GÖTALANDS LÄN</t>
        </is>
      </c>
      <c r="G238" t="inlineStr">
        <is>
          <t>BORÅS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45812</v>
      </c>
      <c r="E239" s="1" t="n">
        <v>46242</v>
      </c>
      <c r="F239" t="inlineStr">
        <is>
          <t>VÄSTRA GÖTALANDS LÄN</t>
        </is>
      </c>
      <c r="G239" t="inlineStr">
        <is>
          <t>BORÅS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56684-2022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44888</v>
      </c>
      <c r="E240" s="1" t="n">
        <v>46242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Kyrkan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27370-2025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45812</v>
      </c>
      <c r="E241" s="1" t="n">
        <v>46242</v>
      </c>
      <c r="F241" t="inlineStr">
        <is>
          <t>VÄSTRA GÖTALANDS LÄN</t>
        </is>
      </c>
      <c r="G241" t="inlineStr">
        <is>
          <t>BORÅS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46242</v>
      </c>
      <c r="F242" t="inlineStr">
        <is>
          <t>VÄSTRA GÖTALANDS LÄN</t>
        </is>
      </c>
      <c r="G242" t="inlineStr">
        <is>
          <t>BORÅS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45120</v>
      </c>
      <c r="E243" s="1" t="n">
        <v>46242</v>
      </c>
      <c r="F243" t="inlineStr">
        <is>
          <t>VÄSTRA GÖTALANDS LÄN</t>
        </is>
      </c>
      <c r="G243" t="inlineStr">
        <is>
          <t>BORÅS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45120</v>
      </c>
      <c r="E244" s="1" t="n">
        <v>46242</v>
      </c>
      <c r="F244" t="inlineStr">
        <is>
          <t>VÄSTRA GÖTALANDS LÄN</t>
        </is>
      </c>
      <c r="G244" t="inlineStr">
        <is>
          <t>BORÅS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44958</v>
      </c>
      <c r="E245" s="1" t="n">
        <v>46242</v>
      </c>
      <c r="F245" t="inlineStr">
        <is>
          <t>VÄSTRA GÖTALANDS LÄN</t>
        </is>
      </c>
      <c r="G245" t="inlineStr">
        <is>
          <t>BORÅS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46242</v>
      </c>
      <c r="F246" t="inlineStr">
        <is>
          <t>VÄSTRA GÖTALANDS LÄN</t>
        </is>
      </c>
      <c r="G246" t="inlineStr">
        <is>
          <t>BORÅS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46242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46242</v>
      </c>
      <c r="F248" t="inlineStr">
        <is>
          <t>VÄSTRA GÖTALANDS LÄN</t>
        </is>
      </c>
      <c r="G248" t="inlineStr">
        <is>
          <t>BORÅS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13436-2025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45735</v>
      </c>
      <c r="E249" s="1" t="n">
        <v>46242</v>
      </c>
      <c r="F249" t="inlineStr">
        <is>
          <t>VÄSTRA GÖTALANDS LÄN</t>
        </is>
      </c>
      <c r="G249" t="inlineStr">
        <is>
          <t>BORÅS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46242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46242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Kommuner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45350</v>
      </c>
      <c r="E252" s="1" t="n">
        <v>46242</v>
      </c>
      <c r="F252" t="inlineStr">
        <is>
          <t>VÄSTRA GÖTALANDS LÄN</t>
        </is>
      </c>
      <c r="G252" t="inlineStr">
        <is>
          <t>BORÅS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46242</v>
      </c>
      <c r="F253" t="inlineStr">
        <is>
          <t>VÄSTRA GÖTALANDS LÄN</t>
        </is>
      </c>
      <c r="G253" t="inlineStr">
        <is>
          <t>BORÅS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44993</v>
      </c>
      <c r="E254" s="1" t="n">
        <v>46242</v>
      </c>
      <c r="F254" t="inlineStr">
        <is>
          <t>VÄSTRA GÖTALANDS LÄN</t>
        </is>
      </c>
      <c r="G254" t="inlineStr">
        <is>
          <t>BORÅS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46242</v>
      </c>
      <c r="F255" t="inlineStr">
        <is>
          <t>VÄSTRA GÖTALANDS LÄN</t>
        </is>
      </c>
      <c r="G255" t="inlineStr">
        <is>
          <t>BORÅS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46242</v>
      </c>
      <c r="F256" t="inlineStr">
        <is>
          <t>VÄSTRA GÖTALANDS LÄN</t>
        </is>
      </c>
      <c r="G256" t="inlineStr">
        <is>
          <t>BORÅS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46242</v>
      </c>
      <c r="F257" t="inlineStr">
        <is>
          <t>VÄSTRA GÖTALANDS LÄN</t>
        </is>
      </c>
      <c r="G257" t="inlineStr">
        <is>
          <t>BORÅS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46242</v>
      </c>
      <c r="F258" t="inlineStr">
        <is>
          <t>VÄSTRA GÖTALANDS LÄN</t>
        </is>
      </c>
      <c r="G258" t="inlineStr">
        <is>
          <t>BORÅS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46242</v>
      </c>
      <c r="F259" t="inlineStr">
        <is>
          <t>VÄSTRA GÖTALANDS LÄN</t>
        </is>
      </c>
      <c r="G259" t="inlineStr">
        <is>
          <t>BORÅS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46242</v>
      </c>
      <c r="F260" t="inlineStr">
        <is>
          <t>VÄSTRA GÖTALANDS LÄN</t>
        </is>
      </c>
      <c r="G260" t="inlineStr">
        <is>
          <t>BORÅS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46242</v>
      </c>
      <c r="F261" t="inlineStr">
        <is>
          <t>VÄSTRA GÖTALANDS LÄN</t>
        </is>
      </c>
      <c r="G261" t="inlineStr">
        <is>
          <t>BORÅS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46242</v>
      </c>
      <c r="F262" t="inlineStr">
        <is>
          <t>VÄSTRA GÖTALANDS LÄN</t>
        </is>
      </c>
      <c r="G262" t="inlineStr">
        <is>
          <t>BORÅS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46242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46242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46242</v>
      </c>
      <c r="F265" t="inlineStr">
        <is>
          <t>VÄSTRA GÖTALANDS LÄN</t>
        </is>
      </c>
      <c r="G265" t="inlineStr">
        <is>
          <t>BORÅS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45379</v>
      </c>
      <c r="E266" s="1" t="n">
        <v>46242</v>
      </c>
      <c r="F266" t="inlineStr">
        <is>
          <t>VÄSTRA GÖTALANDS LÄN</t>
        </is>
      </c>
      <c r="G266" t="inlineStr">
        <is>
          <t>BORÅS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61681-2023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46242</v>
      </c>
      <c r="F267" t="inlineStr">
        <is>
          <t>VÄSTRA GÖTALANDS LÄN</t>
        </is>
      </c>
      <c r="G267" t="inlineStr">
        <is>
          <t>BORÅS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47499-2025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46242</v>
      </c>
      <c r="F268" t="inlineStr">
        <is>
          <t>VÄSTRA GÖTALANDS LÄN</t>
        </is>
      </c>
      <c r="G268" t="inlineStr">
        <is>
          <t>BORÅS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46242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46242</v>
      </c>
      <c r="F270" t="inlineStr">
        <is>
          <t>VÄSTRA GÖTALANDS LÄN</t>
        </is>
      </c>
      <c r="G270" t="inlineStr">
        <is>
          <t>BORÅS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46242</v>
      </c>
      <c r="F271" t="inlineStr">
        <is>
          <t>VÄSTRA GÖTALANDS LÄN</t>
        </is>
      </c>
      <c r="G271" t="inlineStr">
        <is>
          <t>BORÅS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29111-2025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45821</v>
      </c>
      <c r="E272" s="1" t="n">
        <v>46242</v>
      </c>
      <c r="F272" t="inlineStr">
        <is>
          <t>VÄSTRA GÖTALANDS LÄN</t>
        </is>
      </c>
      <c r="G272" t="inlineStr">
        <is>
          <t>BORÅS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45817</v>
      </c>
      <c r="E273" s="1" t="n">
        <v>46242</v>
      </c>
      <c r="F273" t="inlineStr">
        <is>
          <t>VÄSTRA GÖTALANDS LÄN</t>
        </is>
      </c>
      <c r="G273" t="inlineStr">
        <is>
          <t>BORÅS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45821</v>
      </c>
      <c r="E274" s="1" t="n">
        <v>46242</v>
      </c>
      <c r="F274" t="inlineStr">
        <is>
          <t>VÄSTRA GÖTALANDS LÄN</t>
        </is>
      </c>
      <c r="G274" t="inlineStr">
        <is>
          <t>BORÅS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45472</v>
      </c>
      <c r="E275" s="1" t="n">
        <v>46242</v>
      </c>
      <c r="F275" t="inlineStr">
        <is>
          <t>VÄSTRA GÖTALANDS LÄN</t>
        </is>
      </c>
      <c r="G275" t="inlineStr">
        <is>
          <t>BORÅS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45823</v>
      </c>
      <c r="E276" s="1" t="n">
        <v>46242</v>
      </c>
      <c r="F276" t="inlineStr">
        <is>
          <t>VÄSTRA GÖTALANDS LÄN</t>
        </is>
      </c>
      <c r="G276" t="inlineStr">
        <is>
          <t>BORÅS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11874-2026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46242</v>
      </c>
      <c r="F277" t="inlineStr">
        <is>
          <t>VÄSTRA GÖTALANDS LÄN</t>
        </is>
      </c>
      <c r="G277" t="inlineStr">
        <is>
          <t>BORÅS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45935</v>
      </c>
      <c r="E278" s="1" t="n">
        <v>46242</v>
      </c>
      <c r="F278" t="inlineStr">
        <is>
          <t>VÄSTRA GÖTALANDS LÄN</t>
        </is>
      </c>
      <c r="G278" t="inlineStr">
        <is>
          <t>BORÅS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45935</v>
      </c>
      <c r="E279" s="1" t="n">
        <v>46242</v>
      </c>
      <c r="F279" t="inlineStr">
        <is>
          <t>VÄSTRA GÖTALANDS LÄN</t>
        </is>
      </c>
      <c r="G279" t="inlineStr">
        <is>
          <t>BORÅS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46242</v>
      </c>
      <c r="F280" t="inlineStr">
        <is>
          <t>VÄSTRA GÖTALANDS LÄN</t>
        </is>
      </c>
      <c r="G280" t="inlineStr">
        <is>
          <t>BORÅS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52827-2021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44467</v>
      </c>
      <c r="E281" s="1" t="n">
        <v>46242</v>
      </c>
      <c r="F281" t="inlineStr">
        <is>
          <t>VÄSTRA GÖTALANDS LÄN</t>
        </is>
      </c>
      <c r="G281" t="inlineStr">
        <is>
          <t>BORÅS</t>
        </is>
      </c>
      <c r="I281" t="n">
        <v>19.4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46242</v>
      </c>
      <c r="F282" t="inlineStr">
        <is>
          <t>VÄSTRA GÖTALANDS LÄN</t>
        </is>
      </c>
      <c r="G282" t="inlineStr">
        <is>
          <t>BORÅS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12635-2026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46091</v>
      </c>
      <c r="E283" s="1" t="n">
        <v>46242</v>
      </c>
      <c r="F283" t="inlineStr">
        <is>
          <t>VÄSTRA GÖTALANDS LÄN</t>
        </is>
      </c>
      <c r="G283" t="inlineStr">
        <is>
          <t>BORÅS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46242</v>
      </c>
      <c r="F284" t="inlineStr">
        <is>
          <t>VÄSTRA GÖTALANDS LÄN</t>
        </is>
      </c>
      <c r="G284" t="inlineStr">
        <is>
          <t>BORÅS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46242</v>
      </c>
      <c r="F285" t="inlineStr">
        <is>
          <t>VÄSTRA GÖTALANDS LÄN</t>
        </is>
      </c>
      <c r="G285" t="inlineStr">
        <is>
          <t>BORÅS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46242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46242</v>
      </c>
      <c r="F287" t="inlineStr">
        <is>
          <t>VÄSTRA GÖTALANDS LÄN</t>
        </is>
      </c>
      <c r="G287" t="inlineStr">
        <is>
          <t>BORÅS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46242</v>
      </c>
      <c r="F288" t="inlineStr">
        <is>
          <t>VÄSTRA GÖTALANDS LÄN</t>
        </is>
      </c>
      <c r="G288" t="inlineStr">
        <is>
          <t>BORÅS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46242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46242</v>
      </c>
      <c r="F290" t="inlineStr">
        <is>
          <t>VÄSTRA GÖTALANDS LÄN</t>
        </is>
      </c>
      <c r="G290" t="inlineStr">
        <is>
          <t>BORÅS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45741</v>
      </c>
      <c r="E291" s="1" t="n">
        <v>46242</v>
      </c>
      <c r="F291" t="inlineStr">
        <is>
          <t>VÄSTRA GÖTALANDS LÄN</t>
        </is>
      </c>
      <c r="G291" t="inlineStr">
        <is>
          <t>BORÅS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45741</v>
      </c>
      <c r="E292" s="1" t="n">
        <v>46242</v>
      </c>
      <c r="F292" t="inlineStr">
        <is>
          <t>VÄSTRA GÖTALANDS LÄN</t>
        </is>
      </c>
      <c r="G292" t="inlineStr">
        <is>
          <t>BORÅS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46242</v>
      </c>
      <c r="F293" t="inlineStr">
        <is>
          <t>VÄSTRA GÖTALANDS LÄN</t>
        </is>
      </c>
      <c r="G293" t="inlineStr">
        <is>
          <t>BORÅS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46242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46097</v>
      </c>
      <c r="E295" s="1" t="n">
        <v>46242</v>
      </c>
      <c r="F295" t="inlineStr">
        <is>
          <t>VÄSTRA GÖTALANDS LÄN</t>
        </is>
      </c>
      <c r="G295" t="inlineStr">
        <is>
          <t>BORÅS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45723</v>
      </c>
      <c r="E296" s="1" t="n">
        <v>46242</v>
      </c>
      <c r="F296" t="inlineStr">
        <is>
          <t>VÄSTRA GÖTALANDS LÄN</t>
        </is>
      </c>
      <c r="G296" t="inlineStr">
        <is>
          <t>BORÅS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30312-2025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45827</v>
      </c>
      <c r="E297" s="1" t="n">
        <v>46242</v>
      </c>
      <c r="F297" t="inlineStr">
        <is>
          <t>VÄSTRA GÖTALANDS LÄN</t>
        </is>
      </c>
      <c r="G297" t="inlineStr">
        <is>
          <t>BORÅS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46242</v>
      </c>
      <c r="F298" t="inlineStr">
        <is>
          <t>VÄSTRA GÖTALANDS LÄN</t>
        </is>
      </c>
      <c r="G298" t="inlineStr">
        <is>
          <t>BORÅS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46242</v>
      </c>
      <c r="F299" t="inlineStr">
        <is>
          <t>VÄSTRA GÖTALANDS LÄN</t>
        </is>
      </c>
      <c r="G299" t="inlineStr">
        <is>
          <t>BORÅS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14230-2026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46242</v>
      </c>
      <c r="F300" t="inlineStr">
        <is>
          <t>VÄSTRA GÖTALANDS LÄN</t>
        </is>
      </c>
      <c r="G300" t="inlineStr">
        <is>
          <t>BORÅS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50382-2022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44866</v>
      </c>
      <c r="E301" s="1" t="n">
        <v>46242</v>
      </c>
      <c r="F301" t="inlineStr">
        <is>
          <t>VÄSTRA GÖTALANDS LÄN</t>
        </is>
      </c>
      <c r="G301" t="inlineStr">
        <is>
          <t>BORÅS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54875-2022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44886</v>
      </c>
      <c r="E302" s="1" t="n">
        <v>46242</v>
      </c>
      <c r="F302" t="inlineStr">
        <is>
          <t>VÄSTRA GÖTALANDS LÄN</t>
        </is>
      </c>
      <c r="G302" t="inlineStr">
        <is>
          <t>BORÅS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46242</v>
      </c>
      <c r="F303" t="inlineStr">
        <is>
          <t>VÄSTRA GÖTALANDS LÄN</t>
        </is>
      </c>
      <c r="G303" t="inlineStr">
        <is>
          <t>BORÅS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43574-2023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45184</v>
      </c>
      <c r="E304" s="1" t="n">
        <v>46242</v>
      </c>
      <c r="F304" t="inlineStr">
        <is>
          <t>VÄSTRA GÖTALANDS LÄN</t>
        </is>
      </c>
      <c r="G304" t="inlineStr">
        <is>
          <t>BORÅS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31940-2024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45510</v>
      </c>
      <c r="E305" s="1" t="n">
        <v>46242</v>
      </c>
      <c r="F305" t="inlineStr">
        <is>
          <t>VÄSTRA GÖTALANDS LÄN</t>
        </is>
      </c>
      <c r="G305" t="inlineStr">
        <is>
          <t>BORÅS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44949</v>
      </c>
      <c r="E306" s="1" t="n">
        <v>46242</v>
      </c>
      <c r="F306" t="inlineStr">
        <is>
          <t>VÄSTRA GÖTALANDS LÄN</t>
        </is>
      </c>
      <c r="G306" t="inlineStr">
        <is>
          <t>BORÅS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72806-2021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44547</v>
      </c>
      <c r="E307" s="1" t="n">
        <v>46242</v>
      </c>
      <c r="F307" t="inlineStr">
        <is>
          <t>VÄSTRA GÖTALANDS LÄN</t>
        </is>
      </c>
      <c r="G307" t="inlineStr">
        <is>
          <t>BORÅS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54871-2022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44886</v>
      </c>
      <c r="E308" s="1" t="n">
        <v>46242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44886</v>
      </c>
      <c r="E309" s="1" t="n">
        <v>46242</v>
      </c>
      <c r="F309" t="inlineStr">
        <is>
          <t>VÄSTRA GÖTALANDS LÄN</t>
        </is>
      </c>
      <c r="G309" t="inlineStr">
        <is>
          <t>BORÅS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44854</v>
      </c>
      <c r="E310" s="1" t="n">
        <v>46242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46242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14913-2026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46242</v>
      </c>
      <c r="F312" t="inlineStr">
        <is>
          <t>VÄSTRA GÖTALANDS LÄN</t>
        </is>
      </c>
      <c r="G312" t="inlineStr">
        <is>
          <t>BORÅS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46242</v>
      </c>
      <c r="F313" t="inlineStr">
        <is>
          <t>VÄSTRA GÖTALANDS LÄN</t>
        </is>
      </c>
      <c r="G313" t="inlineStr">
        <is>
          <t>BORÅS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46242</v>
      </c>
      <c r="F314" t="inlineStr">
        <is>
          <t>VÄSTRA GÖTALANDS LÄN</t>
        </is>
      </c>
      <c r="G314" t="inlineStr">
        <is>
          <t>BORÅS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46242</v>
      </c>
      <c r="F315" t="inlineStr">
        <is>
          <t>VÄSTRA GÖTALANDS LÄN</t>
        </is>
      </c>
      <c r="G315" t="inlineStr">
        <is>
          <t>BORÅS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11362-2022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44630</v>
      </c>
      <c r="E316" s="1" t="n">
        <v>46242</v>
      </c>
      <c r="F316" t="inlineStr">
        <is>
          <t>VÄSTRA GÖTALANDS LÄN</t>
        </is>
      </c>
      <c r="G316" t="inlineStr">
        <is>
          <t>BORÅS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46242</v>
      </c>
      <c r="F317" t="inlineStr">
        <is>
          <t>VÄSTRA GÖTALANDS LÄN</t>
        </is>
      </c>
      <c r="G317" t="inlineStr">
        <is>
          <t>BORÅS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15193-2026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46105</v>
      </c>
      <c r="E318" s="1" t="n">
        <v>46242</v>
      </c>
      <c r="F318" t="inlineStr">
        <is>
          <t>VÄSTRA GÖTALANDS LÄN</t>
        </is>
      </c>
      <c r="G318" t="inlineStr">
        <is>
          <t>BORÅS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46105</v>
      </c>
      <c r="E319" s="1" t="n">
        <v>46242</v>
      </c>
      <c r="F319" t="inlineStr">
        <is>
          <t>VÄSTRA GÖTALANDS LÄN</t>
        </is>
      </c>
      <c r="G319" t="inlineStr">
        <is>
          <t>BORÅS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44644</v>
      </c>
      <c r="E320" s="1" t="n">
        <v>46242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52369-2025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46242</v>
      </c>
      <c r="F321" t="inlineStr">
        <is>
          <t>VÄSTRA GÖTALANDS LÄN</t>
        </is>
      </c>
      <c r="G321" t="inlineStr">
        <is>
          <t>BORÅS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46242</v>
      </c>
      <c r="F322" t="inlineStr">
        <is>
          <t>VÄSTRA GÖTALANDS LÄN</t>
        </is>
      </c>
      <c r="G322" t="inlineStr">
        <is>
          <t>BORÅS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46242</v>
      </c>
      <c r="F323" t="inlineStr">
        <is>
          <t>VÄSTRA GÖTALANDS LÄN</t>
        </is>
      </c>
      <c r="G323" t="inlineStr">
        <is>
          <t>BORÅS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44656</v>
      </c>
      <c r="E324" s="1" t="n">
        <v>46242</v>
      </c>
      <c r="F324" t="inlineStr">
        <is>
          <t>VÄSTRA GÖTALANDS LÄN</t>
        </is>
      </c>
      <c r="G324" t="inlineStr">
        <is>
          <t>BORÅS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46242</v>
      </c>
      <c r="F325" t="inlineStr">
        <is>
          <t>VÄSTRA GÖTALANDS LÄN</t>
        </is>
      </c>
      <c r="G325" t="inlineStr">
        <is>
          <t>BORÅS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45483</v>
      </c>
      <c r="E326" s="1" t="n">
        <v>46242</v>
      </c>
      <c r="F326" t="inlineStr">
        <is>
          <t>VÄSTRA GÖTALANDS LÄN</t>
        </is>
      </c>
      <c r="G326" t="inlineStr">
        <is>
          <t>BORÅS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46111</v>
      </c>
      <c r="E327" s="1" t="n">
        <v>46242</v>
      </c>
      <c r="F327" t="inlineStr">
        <is>
          <t>VÄSTRA GÖTALANDS LÄN</t>
        </is>
      </c>
      <c r="G327" t="inlineStr">
        <is>
          <t>BORÅS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46242</v>
      </c>
      <c r="F328" t="inlineStr">
        <is>
          <t>VÄSTRA GÖTALANDS LÄN</t>
        </is>
      </c>
      <c r="G328" t="inlineStr">
        <is>
          <t>BORÅS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46242</v>
      </c>
      <c r="F329" t="inlineStr">
        <is>
          <t>VÄSTRA GÖTALANDS LÄN</t>
        </is>
      </c>
      <c r="G329" t="inlineStr">
        <is>
          <t>BORÅS</t>
        </is>
      </c>
      <c r="H329" t="inlineStr">
        <is>
          <t>Kommuner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46242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46242</v>
      </c>
      <c r="F331" t="inlineStr">
        <is>
          <t>VÄSTRA GÖTALANDS LÄN</t>
        </is>
      </c>
      <c r="G331" t="inlineStr">
        <is>
          <t>BORÅS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45961</v>
      </c>
      <c r="E332" s="1" t="n">
        <v>46242</v>
      </c>
      <c r="F332" t="inlineStr">
        <is>
          <t>VÄSTRA GÖTALANDS LÄN</t>
        </is>
      </c>
      <c r="G332" t="inlineStr">
        <is>
          <t>BORÅS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47262-2023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45202</v>
      </c>
      <c r="E333" s="1" t="n">
        <v>46242</v>
      </c>
      <c r="F333" t="inlineStr">
        <is>
          <t>VÄSTRA GÖTALANDS LÄN</t>
        </is>
      </c>
      <c r="G333" t="inlineStr">
        <is>
          <t>BORÅS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45096</v>
      </c>
      <c r="E334" s="1" t="n">
        <v>46242</v>
      </c>
      <c r="F334" t="inlineStr">
        <is>
          <t>VÄSTRA GÖTALANDS LÄN</t>
        </is>
      </c>
      <c r="G334" t="inlineStr">
        <is>
          <t>BORÅS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46242</v>
      </c>
      <c r="F335" t="inlineStr">
        <is>
          <t>VÄSTRA GÖTALANDS LÄN</t>
        </is>
      </c>
      <c r="G335" t="inlineStr">
        <is>
          <t>BORÅS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24183-2024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45456</v>
      </c>
      <c r="E336" s="1" t="n">
        <v>46242</v>
      </c>
      <c r="F336" t="inlineStr">
        <is>
          <t>VÄSTRA GÖTALANDS LÄN</t>
        </is>
      </c>
      <c r="G336" t="inlineStr">
        <is>
          <t>BORÅS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46242</v>
      </c>
      <c r="F337" t="inlineStr">
        <is>
          <t>VÄSTRA GÖTALANDS LÄN</t>
        </is>
      </c>
      <c r="G337" t="inlineStr">
        <is>
          <t>BORÅS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44914</v>
      </c>
      <c r="E338" s="1" t="n">
        <v>46242</v>
      </c>
      <c r="F338" t="inlineStr">
        <is>
          <t>VÄSTRA GÖTALANDS LÄN</t>
        </is>
      </c>
      <c r="G338" t="inlineStr">
        <is>
          <t>BORÅS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53942-2025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45961</v>
      </c>
      <c r="E339" s="1" t="n">
        <v>46242</v>
      </c>
      <c r="F339" t="inlineStr">
        <is>
          <t>VÄSTRA GÖTALANDS LÄN</t>
        </is>
      </c>
      <c r="G339" t="inlineStr">
        <is>
          <t>BORÅS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44571</v>
      </c>
      <c r="E340" s="1" t="n">
        <v>46242</v>
      </c>
      <c r="F340" t="inlineStr">
        <is>
          <t>VÄSTRA GÖTALANDS LÄN</t>
        </is>
      </c>
      <c r="G340" t="inlineStr">
        <is>
          <t>BORÅS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45964</v>
      </c>
      <c r="E341" s="1" t="n">
        <v>46242</v>
      </c>
      <c r="F341" t="inlineStr">
        <is>
          <t>VÄSTRA GÖTALANDS LÄN</t>
        </is>
      </c>
      <c r="G341" t="inlineStr">
        <is>
          <t>BORÅS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44703-2021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44438</v>
      </c>
      <c r="E342" s="1" t="n">
        <v>46242</v>
      </c>
      <c r="F342" t="inlineStr">
        <is>
          <t>VÄSTRA GÖTALANDS LÄN</t>
        </is>
      </c>
      <c r="G342" t="inlineStr">
        <is>
          <t>BORÅS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17234-2026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46119</v>
      </c>
      <c r="E343" s="1" t="n">
        <v>46242</v>
      </c>
      <c r="F343" t="inlineStr">
        <is>
          <t>VÄSTRA GÖTALANDS LÄN</t>
        </is>
      </c>
      <c r="G343" t="inlineStr">
        <is>
          <t>BORÅS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45215</v>
      </c>
      <c r="E344" s="1" t="n">
        <v>46242</v>
      </c>
      <c r="F344" t="inlineStr">
        <is>
          <t>VÄSTRA GÖTALANDS LÄN</t>
        </is>
      </c>
      <c r="G344" t="inlineStr">
        <is>
          <t>BORÅS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45547</v>
      </c>
      <c r="E345" s="1" t="n">
        <v>46242</v>
      </c>
      <c r="F345" t="inlineStr">
        <is>
          <t>VÄSTRA GÖTALANDS LÄN</t>
        </is>
      </c>
      <c r="G345" t="inlineStr">
        <is>
          <t>BORÅS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45343</v>
      </c>
      <c r="E346" s="1" t="n">
        <v>46242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38674-2024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45547</v>
      </c>
      <c r="E347" s="1" t="n">
        <v>46242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18695-2026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46242</v>
      </c>
      <c r="F348" t="inlineStr">
        <is>
          <t>VÄSTRA GÖTALANDS LÄN</t>
        </is>
      </c>
      <c r="G348" t="inlineStr">
        <is>
          <t>BORÅS</t>
        </is>
      </c>
      <c r="I348" t="n">
        <v>9.199999999999999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56376-2025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45974</v>
      </c>
      <c r="E349" s="1" t="n">
        <v>46242</v>
      </c>
      <c r="F349" t="inlineStr">
        <is>
          <t>VÄSTRA GÖTALANDS LÄN</t>
        </is>
      </c>
      <c r="G349" t="inlineStr">
        <is>
          <t>BORÅS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46242</v>
      </c>
      <c r="F350" t="inlineStr">
        <is>
          <t>VÄSTRA GÖTALANDS LÄN</t>
        </is>
      </c>
      <c r="G350" t="inlineStr">
        <is>
          <t>BORÅS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45646</v>
      </c>
      <c r="E351" s="1" t="n">
        <v>46242</v>
      </c>
      <c r="F351" t="inlineStr">
        <is>
          <t>VÄSTRA GÖTALANDS LÄN</t>
        </is>
      </c>
      <c r="G351" t="inlineStr">
        <is>
          <t>BORÅS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48358-2023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45205</v>
      </c>
      <c r="E352" s="1" t="n">
        <v>46242</v>
      </c>
      <c r="F352" t="inlineStr">
        <is>
          <t>VÄSTRA GÖTALANDS LÄN</t>
        </is>
      </c>
      <c r="G352" t="inlineStr">
        <is>
          <t>BORÅS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46242</v>
      </c>
      <c r="F353" t="inlineStr">
        <is>
          <t>VÄSTRA GÖTALANDS LÄN</t>
        </is>
      </c>
      <c r="G353" t="inlineStr">
        <is>
          <t>BORÅS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45196</v>
      </c>
      <c r="E354" s="1" t="n">
        <v>46242</v>
      </c>
      <c r="F354" t="inlineStr">
        <is>
          <t>VÄSTRA GÖTALANDS LÄN</t>
        </is>
      </c>
      <c r="G354" t="inlineStr">
        <is>
          <t>BORÅS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46242</v>
      </c>
      <c r="F355" t="inlineStr">
        <is>
          <t>VÄSTRA GÖTALANDS LÄN</t>
        </is>
      </c>
      <c r="G355" t="inlineStr">
        <is>
          <t>BORÅS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45301</v>
      </c>
      <c r="E356" s="1" t="n">
        <v>46242</v>
      </c>
      <c r="F356" t="inlineStr">
        <is>
          <t>VÄSTRA GÖTALANDS LÄN</t>
        </is>
      </c>
      <c r="G356" t="inlineStr">
        <is>
          <t>BORÅS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45982</v>
      </c>
      <c r="E357" s="1" t="n">
        <v>46242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46242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46242</v>
      </c>
      <c r="F359" t="inlineStr">
        <is>
          <t>VÄSTRA GÖTALANDS LÄN</t>
        </is>
      </c>
      <c r="G359" t="inlineStr">
        <is>
          <t>BORÅS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58304-2025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45982</v>
      </c>
      <c r="E360" s="1" t="n">
        <v>46242</v>
      </c>
      <c r="F360" t="inlineStr">
        <is>
          <t>VÄSTRA GÖTALANDS LÄN</t>
        </is>
      </c>
      <c r="G360" t="inlineStr">
        <is>
          <t>BORÅS</t>
        </is>
      </c>
      <c r="H360" t="inlineStr">
        <is>
          <t>Kommuner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  <c r="X360">
        <f>HYPERLINK("https://klasma.github.io/Logging_1490/kartor/A 58304-2025 karta.png", "A 58304-2025")</f>
        <v/>
      </c>
      <c r="Y360">
        <f>HYPERLINK("https://klasma.github.io/Logging_1490/kartor_geotiff/A 58304-2025 georefererad karta.tif", "A 58304-2025")</f>
        <v/>
      </c>
      <c r="AA360">
        <f>HYPERLINK("https://klasma.github.io/Logging_1490/klagomål/A 58304-2025 FSC-klagomål.docx", "A 58304-2025")</f>
        <v/>
      </c>
      <c r="AB360">
        <f>HYPERLINK("https://klasma.github.io/Logging_1490/klagomålsmail/A 58304-2025 FSC-klagomål mail.docx", "A 58304-2025")</f>
        <v/>
      </c>
      <c r="AC360">
        <f>HYPERLINK("https://klasma.github.io/Logging_1490/tillsyn/A 58304-2025 tillsynsbegäran.docx", "A 58304-2025")</f>
        <v/>
      </c>
      <c r="AD360">
        <f>HYPERLINK("https://klasma.github.io/Logging_1490/tillsynsmail/A 58304-2025 tillsynsbegäran mail.docx", "A 58304-2025")</f>
        <v/>
      </c>
    </row>
    <row r="361" ht="15" customHeight="1">
      <c r="A361" t="inlineStr">
        <is>
          <t>A 1992-2024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45308</v>
      </c>
      <c r="E361" s="1" t="n">
        <v>46242</v>
      </c>
      <c r="F361" t="inlineStr">
        <is>
          <t>VÄSTRA GÖTALANDS LÄN</t>
        </is>
      </c>
      <c r="G361" t="inlineStr">
        <is>
          <t>BORÅS</t>
        </is>
      </c>
      <c r="H361" t="inlineStr">
        <is>
          <t>Kommuner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70988-2021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44538</v>
      </c>
      <c r="E362" s="1" t="n">
        <v>46242</v>
      </c>
      <c r="F362" t="inlineStr">
        <is>
          <t>VÄSTRA GÖTALANDS LÄN</t>
        </is>
      </c>
      <c r="G362" t="inlineStr">
        <is>
          <t>BORÅS</t>
        </is>
      </c>
      <c r="H362" t="inlineStr">
        <is>
          <t>Kommuner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4308-2025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45685</v>
      </c>
      <c r="E363" s="1" t="n">
        <v>46242</v>
      </c>
      <c r="F363" t="inlineStr">
        <is>
          <t>VÄSTRA GÖTALANDS LÄN</t>
        </is>
      </c>
      <c r="G363" t="inlineStr">
        <is>
          <t>BORÅS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46242</v>
      </c>
      <c r="F364" t="inlineStr">
        <is>
          <t>VÄSTRA GÖTALANDS LÄN</t>
        </is>
      </c>
      <c r="G364" t="inlineStr">
        <is>
          <t>BORÅS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36016-2025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45863</v>
      </c>
      <c r="E365" s="1" t="n">
        <v>46242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46242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Kyrkan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46242</v>
      </c>
      <c r="F367" t="inlineStr">
        <is>
          <t>VÄSTRA GÖTALANDS LÄN</t>
        </is>
      </c>
      <c r="G367" t="inlineStr">
        <is>
          <t>BORÅS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45870</v>
      </c>
      <c r="E368" s="1" t="n">
        <v>46242</v>
      </c>
      <c r="F368" t="inlineStr">
        <is>
          <t>VÄSTRA GÖTALANDS LÄN</t>
        </is>
      </c>
      <c r="G368" t="inlineStr">
        <is>
          <t>BORÅS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46242</v>
      </c>
      <c r="F369" t="inlineStr">
        <is>
          <t>VÄSTRA GÖTALANDS LÄN</t>
        </is>
      </c>
      <c r="G369" t="inlineStr">
        <is>
          <t>BORÅS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23325-2024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45453</v>
      </c>
      <c r="E370" s="1" t="n">
        <v>46242</v>
      </c>
      <c r="F370" t="inlineStr">
        <is>
          <t>VÄSTRA GÖTALANDS LÄN</t>
        </is>
      </c>
      <c r="G370" t="inlineStr">
        <is>
          <t>BORÅS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35403-2025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45855</v>
      </c>
      <c r="E371" s="1" t="n">
        <v>46242</v>
      </c>
      <c r="F371" t="inlineStr">
        <is>
          <t>VÄSTRA GÖTALANDS LÄN</t>
        </is>
      </c>
      <c r="G371" t="inlineStr">
        <is>
          <t>BORÅS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21739-2026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46147</v>
      </c>
      <c r="E372" s="1" t="n">
        <v>46242</v>
      </c>
      <c r="F372" t="inlineStr">
        <is>
          <t>VÄSTRA GÖTALANDS LÄN</t>
        </is>
      </c>
      <c r="G372" t="inlineStr">
        <is>
          <t>BORÅS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46242</v>
      </c>
      <c r="F373" t="inlineStr">
        <is>
          <t>VÄSTRA GÖTALANDS LÄN</t>
        </is>
      </c>
      <c r="G373" t="inlineStr">
        <is>
          <t>BORÅS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46242</v>
      </c>
      <c r="F374" t="inlineStr">
        <is>
          <t>VÄSTRA GÖTALANDS LÄN</t>
        </is>
      </c>
      <c r="G374" t="inlineStr">
        <is>
          <t>BORÅS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45839</v>
      </c>
      <c r="E375" s="1" t="n">
        <v>46242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60204-2025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45994</v>
      </c>
      <c r="E376" s="1" t="n">
        <v>46242</v>
      </c>
      <c r="F376" t="inlineStr">
        <is>
          <t>VÄSTRA GÖTALANDS LÄN</t>
        </is>
      </c>
      <c r="G376" t="inlineStr">
        <is>
          <t>BORÅS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45836</v>
      </c>
      <c r="E377" s="1" t="n">
        <v>46242</v>
      </c>
      <c r="F377" t="inlineStr">
        <is>
          <t>VÄSTRA GÖTALANDS LÄN</t>
        </is>
      </c>
      <c r="G377" t="inlineStr">
        <is>
          <t>BORÅS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46242</v>
      </c>
      <c r="F378" t="inlineStr">
        <is>
          <t>VÄSTRA GÖTALANDS LÄN</t>
        </is>
      </c>
      <c r="G378" t="inlineStr">
        <is>
          <t>BORÅS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46242</v>
      </c>
      <c r="F379" t="inlineStr">
        <is>
          <t>VÄSTRA GÖTALANDS LÄN</t>
        </is>
      </c>
      <c r="G379" t="inlineStr">
        <is>
          <t>BORÅS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45053</v>
      </c>
      <c r="E380" s="1" t="n">
        <v>46242</v>
      </c>
      <c r="F380" t="inlineStr">
        <is>
          <t>VÄSTRA GÖTALANDS LÄN</t>
        </is>
      </c>
      <c r="G380" t="inlineStr">
        <is>
          <t>BORÅS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48886-2022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44859</v>
      </c>
      <c r="E381" s="1" t="n">
        <v>46242</v>
      </c>
      <c r="F381" t="inlineStr">
        <is>
          <t>VÄSTRA GÖTALANDS LÄN</t>
        </is>
      </c>
      <c r="G381" t="inlineStr">
        <is>
          <t>BORÅS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28539-2025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46242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46574-2022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44848</v>
      </c>
      <c r="E383" s="1" t="n">
        <v>46242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63169-2023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45273</v>
      </c>
      <c r="E384" s="1" t="n">
        <v>46242</v>
      </c>
      <c r="F384" t="inlineStr">
        <is>
          <t>VÄSTRA GÖTALANDS LÄN</t>
        </is>
      </c>
      <c r="G384" t="inlineStr">
        <is>
          <t>BORÅS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26133-2025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45805</v>
      </c>
      <c r="E385" s="1" t="n">
        <v>46242</v>
      </c>
      <c r="F385" t="inlineStr">
        <is>
          <t>VÄSTRA GÖTALANDS LÄN</t>
        </is>
      </c>
      <c r="G385" t="inlineStr">
        <is>
          <t>BORÅS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45836</v>
      </c>
      <c r="E386" s="1" t="n">
        <v>46242</v>
      </c>
      <c r="F386" t="inlineStr">
        <is>
          <t>VÄSTRA GÖTALANDS LÄN</t>
        </is>
      </c>
      <c r="G386" t="inlineStr">
        <is>
          <t>BORÅS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45842</v>
      </c>
      <c r="E387" s="1" t="n">
        <v>46242</v>
      </c>
      <c r="F387" t="inlineStr">
        <is>
          <t>VÄSTRA GÖTALANDS LÄN</t>
        </is>
      </c>
      <c r="G387" t="inlineStr">
        <is>
          <t>BORÅS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46008</v>
      </c>
      <c r="E388" s="1" t="n">
        <v>46242</v>
      </c>
      <c r="F388" t="inlineStr">
        <is>
          <t>VÄSTRA GÖTALANDS LÄN</t>
        </is>
      </c>
      <c r="G388" t="inlineStr">
        <is>
          <t>BORÅS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44592</v>
      </c>
      <c r="E389" s="1" t="n">
        <v>46242</v>
      </c>
      <c r="F389" t="inlineStr">
        <is>
          <t>VÄSTRA GÖTALANDS LÄN</t>
        </is>
      </c>
      <c r="G389" t="inlineStr">
        <is>
          <t>BORÅS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45315</v>
      </c>
      <c r="E390" s="1" t="n">
        <v>46242</v>
      </c>
      <c r="F390" t="inlineStr">
        <is>
          <t>VÄSTRA GÖTALANDS LÄN</t>
        </is>
      </c>
      <c r="G390" t="inlineStr">
        <is>
          <t>BORÅS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45968</v>
      </c>
      <c r="E391" s="1" t="n">
        <v>46242</v>
      </c>
      <c r="F391" t="inlineStr">
        <is>
          <t>VÄSTRA GÖTALANDS LÄN</t>
        </is>
      </c>
      <c r="G391" t="inlineStr">
        <is>
          <t>BORÅS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35480-2025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45855</v>
      </c>
      <c r="E392" s="1" t="n">
        <v>46242</v>
      </c>
      <c r="F392" t="inlineStr">
        <is>
          <t>VÄSTRA GÖTALANDS LÄN</t>
        </is>
      </c>
      <c r="G392" t="inlineStr">
        <is>
          <t>BORÅS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28002-2023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46242</v>
      </c>
      <c r="F393" t="inlineStr">
        <is>
          <t>VÄSTRA GÖTALANDS LÄN</t>
        </is>
      </c>
      <c r="G393" t="inlineStr">
        <is>
          <t>BORÅS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57365-2022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44896</v>
      </c>
      <c r="E394" s="1" t="n">
        <v>46242</v>
      </c>
      <c r="F394" t="inlineStr">
        <is>
          <t>VÄSTRA GÖTALANDS LÄN</t>
        </is>
      </c>
      <c r="G394" t="inlineStr">
        <is>
          <t>BORÅS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46242</v>
      </c>
      <c r="F395" t="inlineStr">
        <is>
          <t>VÄSTRA GÖTALANDS LÄN</t>
        </is>
      </c>
      <c r="G395" t="inlineStr">
        <is>
          <t>BORÅS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52367-2025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45953</v>
      </c>
      <c r="E396" s="1" t="n">
        <v>46242</v>
      </c>
      <c r="F396" t="inlineStr">
        <is>
          <t>VÄSTRA GÖTALANDS LÄN</t>
        </is>
      </c>
      <c r="G396" t="inlineStr">
        <is>
          <t>BORÅS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20653-2026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46141</v>
      </c>
      <c r="E397" s="1" t="n">
        <v>46242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45085</v>
      </c>
      <c r="E398" s="1" t="n">
        <v>46242</v>
      </c>
      <c r="F398" t="inlineStr">
        <is>
          <t>VÄSTRA GÖTALANDS LÄN</t>
        </is>
      </c>
      <c r="G398" t="inlineStr">
        <is>
          <t>BORÅS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45294</v>
      </c>
      <c r="E399" s="1" t="n">
        <v>46242</v>
      </c>
      <c r="F399" t="inlineStr">
        <is>
          <t>VÄSTRA GÖTALANDS LÄN</t>
        </is>
      </c>
      <c r="G399" t="inlineStr">
        <is>
          <t>BORÅS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46242</v>
      </c>
      <c r="F400" t="inlineStr">
        <is>
          <t>VÄSTRA GÖTALANDS LÄN</t>
        </is>
      </c>
      <c r="G400" t="inlineStr">
        <is>
          <t>BORÅS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45688</v>
      </c>
      <c r="E401" s="1" t="n">
        <v>46242</v>
      </c>
      <c r="F401" t="inlineStr">
        <is>
          <t>VÄSTRA GÖTALANDS LÄN</t>
        </is>
      </c>
      <c r="G401" t="inlineStr">
        <is>
          <t>BORÅS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4757-2025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45688</v>
      </c>
      <c r="E402" s="1" t="n">
        <v>46242</v>
      </c>
      <c r="F402" t="inlineStr">
        <is>
          <t>VÄSTRA GÖTALANDS LÄN</t>
        </is>
      </c>
      <c r="G402" t="inlineStr">
        <is>
          <t>BORÅS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27334-2024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45472</v>
      </c>
      <c r="E403" s="1" t="n">
        <v>46242</v>
      </c>
      <c r="F403" t="inlineStr">
        <is>
          <t>VÄSTRA GÖTALANDS LÄN</t>
        </is>
      </c>
      <c r="G403" t="inlineStr">
        <is>
          <t>BORÅS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45713</v>
      </c>
      <c r="E404" s="1" t="n">
        <v>46242</v>
      </c>
      <c r="F404" t="inlineStr">
        <is>
          <t>VÄSTRA GÖTALANDS LÄN</t>
        </is>
      </c>
      <c r="G404" t="inlineStr">
        <is>
          <t>BORÅS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45698</v>
      </c>
      <c r="E405" s="1" t="n">
        <v>46242</v>
      </c>
      <c r="F405" t="inlineStr">
        <is>
          <t>VÄSTRA GÖTALANDS LÄN</t>
        </is>
      </c>
      <c r="G405" t="inlineStr">
        <is>
          <t>BORÅS</t>
        </is>
      </c>
      <c r="I405" t="n">
        <v>12.8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46242</v>
      </c>
      <c r="F406" t="inlineStr">
        <is>
          <t>VÄSTRA GÖTALANDS LÄN</t>
        </is>
      </c>
      <c r="G406" t="inlineStr">
        <is>
          <t>BORÅS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45412</v>
      </c>
      <c r="E407" s="1" t="n">
        <v>46242</v>
      </c>
      <c r="F407" t="inlineStr">
        <is>
          <t>VÄSTRA GÖTALANDS LÄN</t>
        </is>
      </c>
      <c r="G407" t="inlineStr">
        <is>
          <t>BORÅS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45701</v>
      </c>
      <c r="E408" s="1" t="n">
        <v>46242</v>
      </c>
      <c r="F408" t="inlineStr">
        <is>
          <t>VÄSTRA GÖTALANDS LÄN</t>
        </is>
      </c>
      <c r="G408" t="inlineStr">
        <is>
          <t>BORÅS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9056-2024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45357</v>
      </c>
      <c r="E409" s="1" t="n">
        <v>46242</v>
      </c>
      <c r="F409" t="inlineStr">
        <is>
          <t>VÄSTRA GÖTALANDS LÄN</t>
        </is>
      </c>
      <c r="G409" t="inlineStr">
        <is>
          <t>BORÅS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45699</v>
      </c>
      <c r="E410" s="1" t="n">
        <v>46242</v>
      </c>
      <c r="F410" t="inlineStr">
        <is>
          <t>VÄSTRA GÖTALANDS LÄN</t>
        </is>
      </c>
      <c r="G410" t="inlineStr">
        <is>
          <t>BORÅS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45615</v>
      </c>
      <c r="E411" s="1" t="n">
        <v>46242</v>
      </c>
      <c r="F411" t="inlineStr">
        <is>
          <t>VÄSTRA GÖTALANDS LÄN</t>
        </is>
      </c>
      <c r="G411" t="inlineStr">
        <is>
          <t>BORÅS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46242</v>
      </c>
      <c r="F412" t="inlineStr">
        <is>
          <t>VÄSTRA GÖTALANDS LÄN</t>
        </is>
      </c>
      <c r="G412" t="inlineStr">
        <is>
          <t>BORÅS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46242</v>
      </c>
      <c r="F413" t="inlineStr">
        <is>
          <t>VÄSTRA GÖTALANDS LÄN</t>
        </is>
      </c>
      <c r="G413" t="inlineStr">
        <is>
          <t>BORÅS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45392</v>
      </c>
      <c r="E414" s="1" t="n">
        <v>46242</v>
      </c>
      <c r="F414" t="inlineStr">
        <is>
          <t>VÄSTRA GÖTALANDS LÄN</t>
        </is>
      </c>
      <c r="G414" t="inlineStr">
        <is>
          <t>BORÅS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45546</v>
      </c>
      <c r="E415" s="1" t="n">
        <v>46242</v>
      </c>
      <c r="F415" t="inlineStr">
        <is>
          <t>VÄSTRA GÖTALANDS LÄN</t>
        </is>
      </c>
      <c r="G415" t="inlineStr">
        <is>
          <t>BORÅS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45846</v>
      </c>
      <c r="E416" s="1" t="n">
        <v>46242</v>
      </c>
      <c r="F416" t="inlineStr">
        <is>
          <t>VÄSTRA GÖTALANDS LÄN</t>
        </is>
      </c>
      <c r="G416" t="inlineStr">
        <is>
          <t>BORÅS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46242</v>
      </c>
      <c r="F417" t="inlineStr">
        <is>
          <t>VÄSTRA GÖTALANDS LÄN</t>
        </is>
      </c>
      <c r="G417" t="inlineStr">
        <is>
          <t>BORÅS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36635-2025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45870</v>
      </c>
      <c r="E418" s="1" t="n">
        <v>46242</v>
      </c>
      <c r="F418" t="inlineStr">
        <is>
          <t>VÄSTRA GÖTALANDS LÄN</t>
        </is>
      </c>
      <c r="G418" t="inlineStr">
        <is>
          <t>BORÅS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46242</v>
      </c>
      <c r="F419" t="inlineStr">
        <is>
          <t>VÄSTRA GÖTALANDS LÄN</t>
        </is>
      </c>
      <c r="G419" t="inlineStr">
        <is>
          <t>BORÅS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52410-2023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45224</v>
      </c>
      <c r="E420" s="1" t="n">
        <v>46242</v>
      </c>
      <c r="F420" t="inlineStr">
        <is>
          <t>VÄSTRA GÖTALANDS LÄN</t>
        </is>
      </c>
      <c r="G420" t="inlineStr">
        <is>
          <t>BORÅS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18533-2025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46242</v>
      </c>
      <c r="F421" t="inlineStr">
        <is>
          <t>VÄSTRA GÖTALANDS LÄN</t>
        </is>
      </c>
      <c r="G421" t="inlineStr">
        <is>
          <t>BORÅS</t>
        </is>
      </c>
      <c r="H421" t="inlineStr">
        <is>
          <t>Kommuner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45848</v>
      </c>
      <c r="E422" s="1" t="n">
        <v>46242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46242</v>
      </c>
      <c r="F423" t="inlineStr">
        <is>
          <t>VÄSTRA GÖTALANDS LÄN</t>
        </is>
      </c>
      <c r="G423" t="inlineStr">
        <is>
          <t>BORÅS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46242</v>
      </c>
      <c r="F424" t="inlineStr">
        <is>
          <t>VÄSTRA GÖTALANDS LÄN</t>
        </is>
      </c>
      <c r="G424" t="inlineStr">
        <is>
          <t>BORÅS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45629</v>
      </c>
      <c r="E425" s="1" t="n">
        <v>46242</v>
      </c>
      <c r="F425" t="inlineStr">
        <is>
          <t>VÄSTRA GÖTALANDS LÄN</t>
        </is>
      </c>
      <c r="G425" t="inlineStr">
        <is>
          <t>BORÅS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57426-2024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46242</v>
      </c>
      <c r="F426" t="inlineStr">
        <is>
          <t>VÄSTRA GÖTALANDS LÄN</t>
        </is>
      </c>
      <c r="G426" t="inlineStr">
        <is>
          <t>BORÅS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32234-2023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45119</v>
      </c>
      <c r="E427" s="1" t="n">
        <v>46242</v>
      </c>
      <c r="F427" t="inlineStr">
        <is>
          <t>VÄSTRA GÖTALANDS LÄN</t>
        </is>
      </c>
      <c r="G427" t="inlineStr">
        <is>
          <t>BORÅS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20279-2026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46136</v>
      </c>
      <c r="E428" s="1" t="n">
        <v>46242</v>
      </c>
      <c r="F428" t="inlineStr">
        <is>
          <t>VÄSTRA GÖTALANDS LÄN</t>
        </is>
      </c>
      <c r="G428" t="inlineStr">
        <is>
          <t>BORÅS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45176</v>
      </c>
      <c r="E429" s="1" t="n">
        <v>46242</v>
      </c>
      <c r="F429" t="inlineStr">
        <is>
          <t>VÄSTRA GÖTALANDS LÄN</t>
        </is>
      </c>
      <c r="G429" t="inlineStr">
        <is>
          <t>BORÅS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45935</v>
      </c>
      <c r="E430" s="1" t="n">
        <v>46242</v>
      </c>
      <c r="F430" t="inlineStr">
        <is>
          <t>VÄSTRA GÖTALANDS LÄN</t>
        </is>
      </c>
      <c r="G430" t="inlineStr">
        <is>
          <t>BORÅS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46242</v>
      </c>
      <c r="F431" t="inlineStr">
        <is>
          <t>VÄSTRA GÖTALANDS LÄN</t>
        </is>
      </c>
      <c r="G431" t="inlineStr">
        <is>
          <t>BORÅS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46242</v>
      </c>
      <c r="F432" t="inlineStr">
        <is>
          <t>VÄSTRA GÖTALANDS LÄN</t>
        </is>
      </c>
      <c r="G432" t="inlineStr">
        <is>
          <t>BORÅS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22016-2026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46242</v>
      </c>
      <c r="F433" t="inlineStr">
        <is>
          <t>VÄSTRA GÖTALANDS LÄN</t>
        </is>
      </c>
      <c r="G433" t="inlineStr">
        <is>
          <t>BORÅS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46242</v>
      </c>
      <c r="F434" t="inlineStr">
        <is>
          <t>VÄSTRA GÖTALANDS LÄN</t>
        </is>
      </c>
      <c r="G434" t="inlineStr">
        <is>
          <t>BORÅS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2008-2024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45308</v>
      </c>
      <c r="E435" s="1" t="n">
        <v>46242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Kommuner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44958</v>
      </c>
      <c r="E436" s="1" t="n">
        <v>46242</v>
      </c>
      <c r="F436" t="inlineStr">
        <is>
          <t>VÄSTRA GÖTALANDS LÄN</t>
        </is>
      </c>
      <c r="G436" t="inlineStr">
        <is>
          <t>BORÅS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46242</v>
      </c>
      <c r="F437" t="inlineStr">
        <is>
          <t>VÄSTRA GÖTALANDS LÄN</t>
        </is>
      </c>
      <c r="G437" t="inlineStr">
        <is>
          <t>BORÅS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46242</v>
      </c>
      <c r="F438" t="inlineStr">
        <is>
          <t>VÄSTRA GÖTALANDS LÄN</t>
        </is>
      </c>
      <c r="G438" t="inlineStr">
        <is>
          <t>BORÅS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45392</v>
      </c>
      <c r="E439" s="1" t="n">
        <v>46242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46242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46242</v>
      </c>
      <c r="F441" t="inlineStr">
        <is>
          <t>VÄSTRA GÖTALANDS LÄN</t>
        </is>
      </c>
      <c r="G441" t="inlineStr">
        <is>
          <t>BORÅS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45678</v>
      </c>
      <c r="E442" s="1" t="n">
        <v>46242</v>
      </c>
      <c r="F442" t="inlineStr">
        <is>
          <t>VÄSTRA GÖTALANDS LÄN</t>
        </is>
      </c>
      <c r="G442" t="inlineStr">
        <is>
          <t>BORÅS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46242</v>
      </c>
      <c r="F443" t="inlineStr">
        <is>
          <t>VÄSTRA GÖTALANDS LÄN</t>
        </is>
      </c>
      <c r="G443" t="inlineStr">
        <is>
          <t>BORÅS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44941</v>
      </c>
      <c r="E444" s="1" t="n">
        <v>46242</v>
      </c>
      <c r="F444" t="inlineStr">
        <is>
          <t>VÄSTRA GÖTALANDS LÄN</t>
        </is>
      </c>
      <c r="G444" t="inlineStr">
        <is>
          <t>BORÅS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62446-2023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45268</v>
      </c>
      <c r="E445" s="1" t="n">
        <v>46242</v>
      </c>
      <c r="F445" t="inlineStr">
        <is>
          <t>VÄSTRA GÖTALANDS LÄN</t>
        </is>
      </c>
      <c r="G445" t="inlineStr">
        <is>
          <t>BORÅS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45329</v>
      </c>
      <c r="E446" s="1" t="n">
        <v>46242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22369-2026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46154</v>
      </c>
      <c r="E447" s="1" t="n">
        <v>46242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22371-2026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46242</v>
      </c>
      <c r="F448" t="inlineStr">
        <is>
          <t>VÄSTRA GÖTALANDS LÄN</t>
        </is>
      </c>
      <c r="G448" t="inlineStr">
        <is>
          <t>BORÅS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59217-2024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45637</v>
      </c>
      <c r="E449" s="1" t="n">
        <v>46242</v>
      </c>
      <c r="F449" t="inlineStr">
        <is>
          <t>VÄSTRA GÖTALANDS LÄN</t>
        </is>
      </c>
      <c r="G449" t="inlineStr">
        <is>
          <t>BORÅS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45866</v>
      </c>
      <c r="E450" s="1" t="n">
        <v>46242</v>
      </c>
      <c r="F450" t="inlineStr">
        <is>
          <t>VÄSTRA GÖTALANDS LÄN</t>
        </is>
      </c>
      <c r="G450" t="inlineStr">
        <is>
          <t>BORÅS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46203</v>
      </c>
      <c r="E451" s="1" t="n">
        <v>46242</v>
      </c>
      <c r="F451" t="inlineStr">
        <is>
          <t>VÄSTRA GÖTALANDS LÄN</t>
        </is>
      </c>
      <c r="G451" t="inlineStr">
        <is>
          <t>BORÅS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57906-2022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46242</v>
      </c>
      <c r="F452" t="inlineStr">
        <is>
          <t>VÄSTRA GÖTALANDS LÄN</t>
        </is>
      </c>
      <c r="G452" t="inlineStr">
        <is>
          <t>BORÅS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54361-2022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44882</v>
      </c>
      <c r="E453" s="1" t="n">
        <v>46242</v>
      </c>
      <c r="F453" t="inlineStr">
        <is>
          <t>VÄSTRA GÖTALANDS LÄN</t>
        </is>
      </c>
      <c r="G453" t="inlineStr">
        <is>
          <t>BORÅS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46203</v>
      </c>
      <c r="E454" s="1" t="n">
        <v>46242</v>
      </c>
      <c r="F454" t="inlineStr">
        <is>
          <t>VÄSTRA GÖTALANDS LÄN</t>
        </is>
      </c>
      <c r="G454" t="inlineStr">
        <is>
          <t>BORÅS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29224-2026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46242</v>
      </c>
      <c r="F455" t="inlineStr">
        <is>
          <t>VÄSTRA GÖTALANDS LÄN</t>
        </is>
      </c>
      <c r="G455" t="inlineStr">
        <is>
          <t>BORÅS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6203-2024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45337</v>
      </c>
      <c r="E456" s="1" t="n">
        <v>46242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46242</v>
      </c>
      <c r="F457" t="inlineStr">
        <is>
          <t>VÄSTRA GÖTALANDS LÄN</t>
        </is>
      </c>
      <c r="G457" t="inlineStr">
        <is>
          <t>BORÅS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29627-2026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46242</v>
      </c>
      <c r="F458" t="inlineStr">
        <is>
          <t>VÄSTRA GÖTALANDS LÄN</t>
        </is>
      </c>
      <c r="G458" t="inlineStr">
        <is>
          <t>BORÅS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45321</v>
      </c>
      <c r="E459" s="1" t="n">
        <v>46242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45321</v>
      </c>
      <c r="E460" s="1" t="n">
        <v>46242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Kommuner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45120</v>
      </c>
      <c r="E461" s="1" t="n">
        <v>46242</v>
      </c>
      <c r="F461" t="inlineStr">
        <is>
          <t>VÄSTRA GÖTALANDS LÄN</t>
        </is>
      </c>
      <c r="G461" t="inlineStr">
        <is>
          <t>BORÅS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50692-2023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45217</v>
      </c>
      <c r="E462" s="1" t="n">
        <v>46242</v>
      </c>
      <c r="F462" t="inlineStr">
        <is>
          <t>VÄSTRA GÖTALANDS LÄN</t>
        </is>
      </c>
      <c r="G462" t="inlineStr">
        <is>
          <t>BORÅS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41048-2022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44825</v>
      </c>
      <c r="E463" s="1" t="n">
        <v>46242</v>
      </c>
      <c r="F463" t="inlineStr">
        <is>
          <t>VÄSTRA GÖTALANDS LÄN</t>
        </is>
      </c>
      <c r="G463" t="inlineStr">
        <is>
          <t>BORÅS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52904-2024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46242</v>
      </c>
      <c r="F464" t="inlineStr">
        <is>
          <t>VÄSTRA GÖTALANDS LÄN</t>
        </is>
      </c>
      <c r="G464" t="inlineStr">
        <is>
          <t>BORÅS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44704</v>
      </c>
      <c r="E465" s="1" t="n">
        <v>46242</v>
      </c>
      <c r="F465" t="inlineStr">
        <is>
          <t>VÄSTRA GÖTALANDS LÄN</t>
        </is>
      </c>
      <c r="G465" t="inlineStr">
        <is>
          <t>BORÅS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46242</v>
      </c>
      <c r="F466" t="inlineStr">
        <is>
          <t>VÄSTRA GÖTALANDS LÄN</t>
        </is>
      </c>
      <c r="G466" t="inlineStr">
        <is>
          <t>BORÅS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29606-2026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46242</v>
      </c>
      <c r="F467" t="inlineStr">
        <is>
          <t>VÄSTRA GÖTALANDS LÄN</t>
        </is>
      </c>
      <c r="G467" t="inlineStr">
        <is>
          <t>BORÅS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46242</v>
      </c>
      <c r="F468" t="inlineStr">
        <is>
          <t>VÄSTRA GÖTALANDS LÄN</t>
        </is>
      </c>
      <c r="G468" t="inlineStr">
        <is>
          <t>BORÅS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57782-2022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44897</v>
      </c>
      <c r="E469" s="1" t="n">
        <v>46242</v>
      </c>
      <c r="F469" t="inlineStr">
        <is>
          <t>VÄSTRA GÖTALANDS LÄN</t>
        </is>
      </c>
      <c r="G469" t="inlineStr">
        <is>
          <t>BORÅS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43185-2024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45567</v>
      </c>
      <c r="E470" s="1" t="n">
        <v>46242</v>
      </c>
      <c r="F470" t="inlineStr">
        <is>
          <t>VÄSTRA GÖTALANDS LÄN</t>
        </is>
      </c>
      <c r="G470" t="inlineStr">
        <is>
          <t>BORÅS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14309-2022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44652</v>
      </c>
      <c r="E471" s="1" t="n">
        <v>46242</v>
      </c>
      <c r="F471" t="inlineStr">
        <is>
          <t>VÄSTRA GÖTALANDS LÄN</t>
        </is>
      </c>
      <c r="G471" t="inlineStr">
        <is>
          <t>BORÅS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53204-2024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45612</v>
      </c>
      <c r="E472" s="1" t="n">
        <v>46242</v>
      </c>
      <c r="F472" t="inlineStr">
        <is>
          <t>VÄSTRA GÖTALANDS LÄN</t>
        </is>
      </c>
      <c r="G472" t="inlineStr">
        <is>
          <t>BORÅS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38421-2024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45546</v>
      </c>
      <c r="E473" s="1" t="n">
        <v>46242</v>
      </c>
      <c r="F473" t="inlineStr">
        <is>
          <t>VÄSTRA GÖTALANDS LÄN</t>
        </is>
      </c>
      <c r="G473" t="inlineStr">
        <is>
          <t>BORÅS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47835-2023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45204</v>
      </c>
      <c r="E474" s="1" t="n">
        <v>46242</v>
      </c>
      <c r="F474" t="inlineStr">
        <is>
          <t>VÄSTRA GÖTALANDS LÄN</t>
        </is>
      </c>
      <c r="G474" t="inlineStr">
        <is>
          <t>BORÅS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45772</v>
      </c>
      <c r="E475" s="1" t="n">
        <v>46242</v>
      </c>
      <c r="F475" t="inlineStr">
        <is>
          <t>VÄSTRA GÖTALANDS LÄN</t>
        </is>
      </c>
      <c r="G475" t="inlineStr">
        <is>
          <t>BORÅS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45050</v>
      </c>
      <c r="E476" s="1" t="n">
        <v>46242</v>
      </c>
      <c r="F476" t="inlineStr">
        <is>
          <t>VÄSTRA GÖTALANDS LÄN</t>
        </is>
      </c>
      <c r="G476" t="inlineStr">
        <is>
          <t>BORÅS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44155-2022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44839</v>
      </c>
      <c r="E477" s="1" t="n">
        <v>46242</v>
      </c>
      <c r="F477" t="inlineStr">
        <is>
          <t>VÄSTRA GÖTALANDS LÄN</t>
        </is>
      </c>
      <c r="G477" t="inlineStr">
        <is>
          <t>BORÅS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45120</v>
      </c>
      <c r="E478" s="1" t="n">
        <v>46242</v>
      </c>
      <c r="F478" t="inlineStr">
        <is>
          <t>VÄSTRA GÖTALANDS LÄN</t>
        </is>
      </c>
      <c r="G478" t="inlineStr">
        <is>
          <t>BORÅS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44959</v>
      </c>
      <c r="E479" s="1" t="n">
        <v>46242</v>
      </c>
      <c r="F479" t="inlineStr">
        <is>
          <t>VÄSTRA GÖTALANDS LÄN</t>
        </is>
      </c>
      <c r="G479" t="inlineStr">
        <is>
          <t>BORÅS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46242</v>
      </c>
      <c r="F480" t="inlineStr">
        <is>
          <t>VÄSTRA GÖTALANDS LÄN</t>
        </is>
      </c>
      <c r="G480" t="inlineStr">
        <is>
          <t>BORÅS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44964</v>
      </c>
      <c r="E481" s="1" t="n">
        <v>46242</v>
      </c>
      <c r="F481" t="inlineStr">
        <is>
          <t>VÄSTRA GÖTALANDS LÄN</t>
        </is>
      </c>
      <c r="G481" t="inlineStr">
        <is>
          <t>BORÅS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45877</v>
      </c>
      <c r="E482" s="1" t="n">
        <v>46242</v>
      </c>
      <c r="F482" t="inlineStr">
        <is>
          <t>VÄSTRA GÖTALANDS LÄN</t>
        </is>
      </c>
      <c r="G482" t="inlineStr">
        <is>
          <t>BORÅS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12584-2022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44639</v>
      </c>
      <c r="E483" s="1" t="n">
        <v>46242</v>
      </c>
      <c r="F483" t="inlineStr">
        <is>
          <t>VÄSTRA GÖTALANDS LÄN</t>
        </is>
      </c>
      <c r="G483" t="inlineStr">
        <is>
          <t>BORÅS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49729-2023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45212</v>
      </c>
      <c r="E484" s="1" t="n">
        <v>46242</v>
      </c>
      <c r="F484" t="inlineStr">
        <is>
          <t>VÄSTRA GÖTALANDS LÄN</t>
        </is>
      </c>
      <c r="G484" t="inlineStr">
        <is>
          <t>BORÅS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45239</v>
      </c>
      <c r="E485" s="1" t="n">
        <v>46242</v>
      </c>
      <c r="F485" t="inlineStr">
        <is>
          <t>VÄSTRA GÖTALANDS LÄN</t>
        </is>
      </c>
      <c r="G485" t="inlineStr">
        <is>
          <t>BORÅS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45538</v>
      </c>
      <c r="E486" s="1" t="n">
        <v>46242</v>
      </c>
      <c r="F486" t="inlineStr">
        <is>
          <t>VÄSTRA GÖTALANDS LÄN</t>
        </is>
      </c>
      <c r="G486" t="inlineStr">
        <is>
          <t>BORÅS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31171-2026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46216</v>
      </c>
      <c r="E487" s="1" t="n">
        <v>46242</v>
      </c>
      <c r="F487" t="inlineStr">
        <is>
          <t>VÄSTRA GÖTALANDS LÄN</t>
        </is>
      </c>
      <c r="G487" t="inlineStr">
        <is>
          <t>BORÅS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31206-2026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46217</v>
      </c>
      <c r="E488" s="1" t="n">
        <v>46242</v>
      </c>
      <c r="F488" t="inlineStr">
        <is>
          <t>VÄSTRA GÖTALANDS LÄN</t>
        </is>
      </c>
      <c r="G488" t="inlineStr">
        <is>
          <t>BORÅS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31118-2026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46216</v>
      </c>
      <c r="E489" s="1" t="n">
        <v>46242</v>
      </c>
      <c r="F489" t="inlineStr">
        <is>
          <t>VÄSTRA GÖTALANDS LÄN</t>
        </is>
      </c>
      <c r="G489" t="inlineStr">
        <is>
          <t>BORÅS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44782-2025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45917</v>
      </c>
      <c r="E490" s="1" t="n">
        <v>46242</v>
      </c>
      <c r="F490" t="inlineStr">
        <is>
          <t>VÄSTRA GÖTALANDS LÄN</t>
        </is>
      </c>
      <c r="G490" t="inlineStr">
        <is>
          <t>BORÅS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34195-2025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45845</v>
      </c>
      <c r="E491" s="1" t="n">
        <v>46242</v>
      </c>
      <c r="F491" t="inlineStr">
        <is>
          <t>VÄSTRA GÖTALANDS LÄN</t>
        </is>
      </c>
      <c r="G491" t="inlineStr">
        <is>
          <t>BORÅS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44958</v>
      </c>
      <c r="E492" s="1" t="n">
        <v>46242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61448-2024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45646</v>
      </c>
      <c r="E493" s="1" t="n">
        <v>46242</v>
      </c>
      <c r="F493" t="inlineStr">
        <is>
          <t>VÄSTRA GÖTALANDS LÄN</t>
        </is>
      </c>
      <c r="G493" t="inlineStr">
        <is>
          <t>BORÅS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45148</v>
      </c>
      <c r="E494" s="1" t="n">
        <v>46242</v>
      </c>
      <c r="F494" t="inlineStr">
        <is>
          <t>VÄSTRA GÖTALANDS LÄN</t>
        </is>
      </c>
      <c r="G494" t="inlineStr">
        <is>
          <t>BORÅS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14990-2023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45015</v>
      </c>
      <c r="E495" s="1" t="n">
        <v>46242</v>
      </c>
      <c r="F495" t="inlineStr">
        <is>
          <t>VÄSTRA GÖTALANDS LÄN</t>
        </is>
      </c>
      <c r="G495" t="inlineStr">
        <is>
          <t>BORÅS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72566-2021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44546</v>
      </c>
      <c r="E496" s="1" t="n">
        <v>46242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45205</v>
      </c>
      <c r="E497" s="1" t="n">
        <v>46242</v>
      </c>
      <c r="F497" t="inlineStr">
        <is>
          <t>VÄSTRA GÖTALANDS LÄN</t>
        </is>
      </c>
      <c r="G497" t="inlineStr">
        <is>
          <t>BORÅS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49112-2023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45210</v>
      </c>
      <c r="E498" s="1" t="n">
        <v>46242</v>
      </c>
      <c r="F498" t="inlineStr">
        <is>
          <t>VÄSTRA GÖTALANDS LÄN</t>
        </is>
      </c>
      <c r="G498" t="inlineStr">
        <is>
          <t>BORÅS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46242</v>
      </c>
      <c r="F499" t="inlineStr">
        <is>
          <t>VÄSTRA GÖTALANDS LÄN</t>
        </is>
      </c>
      <c r="G499" t="inlineStr">
        <is>
          <t>BORÅS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25238-2026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46175</v>
      </c>
      <c r="E500" s="1" t="n">
        <v>46242</v>
      </c>
      <c r="F500" t="inlineStr">
        <is>
          <t>VÄSTRA GÖTALANDS LÄN</t>
        </is>
      </c>
      <c r="G500" t="inlineStr">
        <is>
          <t>BORÅS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45044</v>
      </c>
      <c r="E501" s="1" t="n">
        <v>46242</v>
      </c>
      <c r="F501" t="inlineStr">
        <is>
          <t>VÄSTRA GÖTALANDS LÄN</t>
        </is>
      </c>
      <c r="G501" t="inlineStr">
        <is>
          <t>BORÅS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46453-2024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45582</v>
      </c>
      <c r="E502" s="1" t="n">
        <v>46242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44506-2023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45189</v>
      </c>
      <c r="E503" s="1" t="n">
        <v>46242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45771</v>
      </c>
      <c r="E504" s="1" t="n">
        <v>46242</v>
      </c>
      <c r="F504" t="inlineStr">
        <is>
          <t>VÄSTRA GÖTALANDS LÄN</t>
        </is>
      </c>
      <c r="G504" t="inlineStr">
        <is>
          <t>BORÅS</t>
        </is>
      </c>
      <c r="I504" t="n">
        <v>8.6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48504-2024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45593</v>
      </c>
      <c r="E505" s="1" t="n">
        <v>46242</v>
      </c>
      <c r="F505" t="inlineStr">
        <is>
          <t>VÄSTRA GÖTALANDS LÄN</t>
        </is>
      </c>
      <c r="G505" t="inlineStr">
        <is>
          <t>BORÅS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38970-2024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45548</v>
      </c>
      <c r="E506" s="1" t="n">
        <v>46242</v>
      </c>
      <c r="F506" t="inlineStr">
        <is>
          <t>VÄSTRA GÖTALANDS LÄN</t>
        </is>
      </c>
      <c r="G506" t="inlineStr">
        <is>
          <t>BORÅS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46242</v>
      </c>
      <c r="F507" t="inlineStr">
        <is>
          <t>VÄSTRA GÖTALANDS LÄN</t>
        </is>
      </c>
      <c r="G507" t="inlineStr">
        <is>
          <t>BORÅS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46242</v>
      </c>
      <c r="F508" t="inlineStr">
        <is>
          <t>VÄSTRA GÖTALANDS LÄN</t>
        </is>
      </c>
      <c r="G508" t="inlineStr">
        <is>
          <t>BORÅS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46224</v>
      </c>
      <c r="E509" s="1" t="n">
        <v>46242</v>
      </c>
      <c r="F509" t="inlineStr">
        <is>
          <t>VÄSTRA GÖTALANDS LÄN</t>
        </is>
      </c>
      <c r="G509" t="inlineStr">
        <is>
          <t>BORÅS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21180-2024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45440</v>
      </c>
      <c r="E510" s="1" t="n">
        <v>46242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45670</v>
      </c>
      <c r="E511" s="1" t="n">
        <v>46242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46242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26562-2026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46183</v>
      </c>
      <c r="E513" s="1" t="n">
        <v>46242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Kyrkan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46242</v>
      </c>
      <c r="F514" t="inlineStr">
        <is>
          <t>VÄSTRA GÖTALANDS LÄN</t>
        </is>
      </c>
      <c r="G514" t="inlineStr">
        <is>
          <t>BORÅS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46183</v>
      </c>
      <c r="E515" s="1" t="n">
        <v>46242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Kyrkan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26683-2026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46184</v>
      </c>
      <c r="E516" s="1" t="n">
        <v>46242</v>
      </c>
      <c r="F516" t="inlineStr">
        <is>
          <t>VÄSTRA GÖTALANDS LÄN</t>
        </is>
      </c>
      <c r="G516" t="inlineStr">
        <is>
          <t>BORÅS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46242</v>
      </c>
      <c r="F517" t="inlineStr">
        <is>
          <t>VÄSTRA GÖTALANDS LÄN</t>
        </is>
      </c>
      <c r="G517" t="inlineStr">
        <is>
          <t>BORÅS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46183</v>
      </c>
      <c r="E518" s="1" t="n">
        <v>46242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Kyrkan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27561-2024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45474</v>
      </c>
      <c r="E519" s="1" t="n">
        <v>46242</v>
      </c>
      <c r="F519" t="inlineStr">
        <is>
          <t>VÄSTRA GÖTALANDS LÄN</t>
        </is>
      </c>
      <c r="G519" t="inlineStr">
        <is>
          <t>BORÅS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50605-2022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44866</v>
      </c>
      <c r="E520" s="1" t="n">
        <v>46242</v>
      </c>
      <c r="F520" t="inlineStr">
        <is>
          <t>VÄSTRA GÖTALANDS LÄN</t>
        </is>
      </c>
      <c r="G520" t="inlineStr">
        <is>
          <t>BORÅS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46242</v>
      </c>
      <c r="F521" t="inlineStr">
        <is>
          <t>VÄSTRA GÖTALANDS LÄN</t>
        </is>
      </c>
      <c r="G521" t="inlineStr">
        <is>
          <t>BORÅS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45240</v>
      </c>
      <c r="E522" s="1" t="n">
        <v>46242</v>
      </c>
      <c r="F522" t="inlineStr">
        <is>
          <t>VÄSTRA GÖTALANDS LÄN</t>
        </is>
      </c>
      <c r="G522" t="inlineStr">
        <is>
          <t>BORÅS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45294</v>
      </c>
      <c r="E523" s="1" t="n">
        <v>46242</v>
      </c>
      <c r="F523" t="inlineStr">
        <is>
          <t>VÄSTRA GÖTALANDS LÄN</t>
        </is>
      </c>
      <c r="G523" t="inlineStr">
        <is>
          <t>BORÅS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45294</v>
      </c>
      <c r="E524" s="1" t="n">
        <v>46242</v>
      </c>
      <c r="F524" t="inlineStr">
        <is>
          <t>VÄSTRA GÖTALANDS LÄN</t>
        </is>
      </c>
      <c r="G524" t="inlineStr">
        <is>
          <t>BORÅS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45294</v>
      </c>
      <c r="E525" s="1" t="n">
        <v>46242</v>
      </c>
      <c r="F525" t="inlineStr">
        <is>
          <t>VÄSTRA GÖTALANDS LÄN</t>
        </is>
      </c>
      <c r="G525" t="inlineStr">
        <is>
          <t>BORÅS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45294</v>
      </c>
      <c r="E526" s="1" t="n">
        <v>46242</v>
      </c>
      <c r="F526" t="inlineStr">
        <is>
          <t>VÄSTRA GÖTALANDS LÄN</t>
        </is>
      </c>
      <c r="G526" t="inlineStr">
        <is>
          <t>BORÅS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46242</v>
      </c>
      <c r="F527" t="inlineStr">
        <is>
          <t>VÄSTRA GÖTALANDS LÄN</t>
        </is>
      </c>
      <c r="G527" t="inlineStr">
        <is>
          <t>BORÅS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46382-2023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45197</v>
      </c>
      <c r="E528" s="1" t="n">
        <v>46242</v>
      </c>
      <c r="F528" t="inlineStr">
        <is>
          <t>VÄSTRA GÖTALANDS LÄN</t>
        </is>
      </c>
      <c r="G528" t="inlineStr">
        <is>
          <t>BORÅS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45186</v>
      </c>
      <c r="E529" s="1" t="n">
        <v>46242</v>
      </c>
      <c r="F529" t="inlineStr">
        <is>
          <t>VÄSTRA GÖTALANDS LÄN</t>
        </is>
      </c>
      <c r="G529" t="inlineStr">
        <is>
          <t>BORÅS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45308</v>
      </c>
      <c r="E530" s="1" t="n">
        <v>46242</v>
      </c>
      <c r="F530" t="inlineStr">
        <is>
          <t>VÄSTRA GÖTALANDS LÄN</t>
        </is>
      </c>
      <c r="G530" t="inlineStr">
        <is>
          <t>BORÅS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49477-2023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46242</v>
      </c>
      <c r="F531" t="inlineStr">
        <is>
          <t>VÄSTRA GÖTALANDS LÄN</t>
        </is>
      </c>
      <c r="G531" t="inlineStr">
        <is>
          <t>BORÅS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45477</v>
      </c>
      <c r="E532" s="1" t="n">
        <v>46242</v>
      </c>
      <c r="F532" t="inlineStr">
        <is>
          <t>VÄSTRA GÖTALANDS LÄN</t>
        </is>
      </c>
      <c r="G532" t="inlineStr">
        <is>
          <t>BORÅS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45119</v>
      </c>
      <c r="E533" s="1" t="n">
        <v>46242</v>
      </c>
      <c r="F533" t="inlineStr">
        <is>
          <t>VÄSTRA GÖTALANDS LÄN</t>
        </is>
      </c>
      <c r="G533" t="inlineStr">
        <is>
          <t>BORÅS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31213-2022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44771</v>
      </c>
      <c r="E534" s="1" t="n">
        <v>46242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Kyrkan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45225</v>
      </c>
      <c r="E535" s="1" t="n">
        <v>46242</v>
      </c>
      <c r="F535" t="inlineStr">
        <is>
          <t>VÄSTRA GÖTALANDS LÄN</t>
        </is>
      </c>
      <c r="G535" t="inlineStr">
        <is>
          <t>BORÅS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46242</v>
      </c>
      <c r="F536" t="inlineStr">
        <is>
          <t>VÄSTRA GÖTALANDS LÄN</t>
        </is>
      </c>
      <c r="G536" t="inlineStr">
        <is>
          <t>BORÅS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52957-2022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44875</v>
      </c>
      <c r="E537" s="1" t="n">
        <v>46242</v>
      </c>
      <c r="F537" t="inlineStr">
        <is>
          <t>VÄSTRA GÖTALANDS LÄN</t>
        </is>
      </c>
      <c r="G537" t="inlineStr">
        <is>
          <t>BORÅS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46242</v>
      </c>
      <c r="F538" t="inlineStr">
        <is>
          <t>VÄSTRA GÖTALANDS LÄN</t>
        </is>
      </c>
      <c r="G538" t="inlineStr">
        <is>
          <t>BORÅS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45126</v>
      </c>
      <c r="E539" s="1" t="n">
        <v>46242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46242</v>
      </c>
      <c r="F540" t="inlineStr">
        <is>
          <t>VÄSTRA GÖTALANDS LÄN</t>
        </is>
      </c>
      <c r="G540" t="inlineStr">
        <is>
          <t>BORÅS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58000-2024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45631</v>
      </c>
      <c r="E541" s="1" t="n">
        <v>46242</v>
      </c>
      <c r="F541" t="inlineStr">
        <is>
          <t>VÄSTRA GÖTALANDS LÄN</t>
        </is>
      </c>
      <c r="G541" t="inlineStr">
        <is>
          <t>BORÅS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46242</v>
      </c>
      <c r="F542" t="inlineStr">
        <is>
          <t>VÄSTRA GÖTALANDS LÄN</t>
        </is>
      </c>
      <c r="G542" t="inlineStr">
        <is>
          <t>BORÅS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45321</v>
      </c>
      <c r="E543" s="1" t="n">
        <v>46242</v>
      </c>
      <c r="F543" t="inlineStr">
        <is>
          <t>VÄSTRA GÖTALANDS LÄN</t>
        </is>
      </c>
      <c r="G543" t="inlineStr">
        <is>
          <t>BORÅS</t>
        </is>
      </c>
      <c r="H543" t="inlineStr">
        <is>
          <t>Kommuner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45120</v>
      </c>
      <c r="E544" s="1" t="n">
        <v>46242</v>
      </c>
      <c r="F544" t="inlineStr">
        <is>
          <t>VÄSTRA GÖTALANDS LÄN</t>
        </is>
      </c>
      <c r="G544" t="inlineStr">
        <is>
          <t>BORÅS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44995</v>
      </c>
      <c r="E545" s="1" t="n">
        <v>46242</v>
      </c>
      <c r="F545" t="inlineStr">
        <is>
          <t>VÄSTRA GÖTALANDS LÄN</t>
        </is>
      </c>
      <c r="G545" t="inlineStr">
        <is>
          <t>BORÅS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65200-2023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45289</v>
      </c>
      <c r="E546" s="1" t="n">
        <v>46242</v>
      </c>
      <c r="F546" t="inlineStr">
        <is>
          <t>VÄSTRA GÖTALANDS LÄN</t>
        </is>
      </c>
      <c r="G546" t="inlineStr">
        <is>
          <t>BORÅS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45545</v>
      </c>
      <c r="E547" s="1" t="n">
        <v>46242</v>
      </c>
      <c r="F547" t="inlineStr">
        <is>
          <t>VÄSTRA GÖTALANDS LÄN</t>
        </is>
      </c>
      <c r="G547" t="inlineStr">
        <is>
          <t>BORÅS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46242</v>
      </c>
      <c r="F548" t="inlineStr">
        <is>
          <t>VÄSTRA GÖTALANDS LÄN</t>
        </is>
      </c>
      <c r="G548" t="inlineStr">
        <is>
          <t>BORÅS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45618-2024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45579</v>
      </c>
      <c r="E549" s="1" t="n">
        <v>46242</v>
      </c>
      <c r="F549" t="inlineStr">
        <is>
          <t>VÄSTRA GÖTALANDS LÄN</t>
        </is>
      </c>
      <c r="G549" t="inlineStr">
        <is>
          <t>BORÅS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29854-2023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45099</v>
      </c>
      <c r="E550" s="1" t="n">
        <v>46242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Kommuner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45609-2024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46242</v>
      </c>
      <c r="F551" t="inlineStr">
        <is>
          <t>VÄSTRA GÖTALANDS LÄN</t>
        </is>
      </c>
      <c r="G551" t="inlineStr">
        <is>
          <t>BORÅS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44564</v>
      </c>
      <c r="E552" s="1" t="n">
        <v>46242</v>
      </c>
      <c r="F552" t="inlineStr">
        <is>
          <t>VÄSTRA GÖTALANDS LÄN</t>
        </is>
      </c>
      <c r="G552" t="inlineStr">
        <is>
          <t>BORÅS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45062</v>
      </c>
      <c r="E553" s="1" t="n">
        <v>46242</v>
      </c>
      <c r="F553" t="inlineStr">
        <is>
          <t>VÄSTRA GÖTALANDS LÄN</t>
        </is>
      </c>
      <c r="G553" t="inlineStr">
        <is>
          <t>BORÅS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21333-2023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45062</v>
      </c>
      <c r="E554" s="1" t="n">
        <v>46242</v>
      </c>
      <c r="F554" t="inlineStr">
        <is>
          <t>VÄSTRA GÖTALANDS LÄN</t>
        </is>
      </c>
      <c r="G554" t="inlineStr">
        <is>
          <t>BORÅS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45611</v>
      </c>
      <c r="E555" s="1" t="n">
        <v>46242</v>
      </c>
      <c r="F555" t="inlineStr">
        <is>
          <t>VÄSTRA GÖTALANDS LÄN</t>
        </is>
      </c>
      <c r="G555" t="inlineStr">
        <is>
          <t>BORÅS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45670</v>
      </c>
      <c r="E556" s="1" t="n">
        <v>46242</v>
      </c>
      <c r="F556" t="inlineStr">
        <is>
          <t>VÄSTRA GÖTALANDS LÄN</t>
        </is>
      </c>
      <c r="G556" t="inlineStr">
        <is>
          <t>BORÅS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46538-2021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44445</v>
      </c>
      <c r="E557" s="1" t="n">
        <v>46242</v>
      </c>
      <c r="F557" t="inlineStr">
        <is>
          <t>VÄSTRA GÖTALANDS LÄN</t>
        </is>
      </c>
      <c r="G557" t="inlineStr">
        <is>
          <t>BORÅS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10147-2024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45364</v>
      </c>
      <c r="E558" s="1" t="n">
        <v>46242</v>
      </c>
      <c r="F558" t="inlineStr">
        <is>
          <t>VÄSTRA GÖTALANDS LÄN</t>
        </is>
      </c>
      <c r="G558" t="inlineStr">
        <is>
          <t>BORÅS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45671</v>
      </c>
      <c r="E559" s="1" t="n">
        <v>46242</v>
      </c>
      <c r="F559" t="inlineStr">
        <is>
          <t>VÄSTRA GÖTALANDS LÄN</t>
        </is>
      </c>
      <c r="G559" t="inlineStr">
        <is>
          <t>BORÅS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44577</v>
      </c>
      <c r="E560" s="1" t="n">
        <v>46242</v>
      </c>
      <c r="F560" t="inlineStr">
        <is>
          <t>VÄSTRA GÖTALANDS LÄN</t>
        </is>
      </c>
      <c r="G560" t="inlineStr">
        <is>
          <t>BORÅS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27335-2024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45472</v>
      </c>
      <c r="E561" s="1" t="n">
        <v>46242</v>
      </c>
      <c r="F561" t="inlineStr">
        <is>
          <t>VÄSTRA GÖTALANDS LÄN</t>
        </is>
      </c>
      <c r="G561" t="inlineStr">
        <is>
          <t>BORÅS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58895-2024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45636</v>
      </c>
      <c r="E562" s="1" t="n">
        <v>46242</v>
      </c>
      <c r="F562" t="inlineStr">
        <is>
          <t>VÄSTRA GÖTALANDS LÄN</t>
        </is>
      </c>
      <c r="G562" t="inlineStr">
        <is>
          <t>BORÅS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46242</v>
      </c>
      <c r="F563" t="inlineStr">
        <is>
          <t>VÄSTRA GÖTALANDS LÄN</t>
        </is>
      </c>
      <c r="G563" t="inlineStr">
        <is>
          <t>BORÅS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46242</v>
      </c>
      <c r="F564" t="inlineStr">
        <is>
          <t>VÄSTRA GÖTALANDS LÄN</t>
        </is>
      </c>
      <c r="G564" t="inlineStr">
        <is>
          <t>BORÅS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32186-2023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46242</v>
      </c>
      <c r="F565" t="inlineStr">
        <is>
          <t>VÄSTRA GÖTALANDS LÄN</t>
        </is>
      </c>
      <c r="G565" t="inlineStr">
        <is>
          <t>BORÅS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62532-2022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44916</v>
      </c>
      <c r="E566" s="1" t="n">
        <v>46242</v>
      </c>
      <c r="F566" t="inlineStr">
        <is>
          <t>VÄSTRA GÖTALANDS LÄN</t>
        </is>
      </c>
      <c r="G566" t="inlineStr">
        <is>
          <t>BORÅS</t>
        </is>
      </c>
      <c r="I566" t="n">
        <v>9.800000000000001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32452-2023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45120</v>
      </c>
      <c r="E567" s="1" t="n">
        <v>46242</v>
      </c>
      <c r="F567" t="inlineStr">
        <is>
          <t>VÄSTRA GÖTALANDS LÄN</t>
        </is>
      </c>
      <c r="G567" t="inlineStr">
        <is>
          <t>BORÅS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45120</v>
      </c>
      <c r="E568" s="1" t="n">
        <v>46242</v>
      </c>
      <c r="F568" t="inlineStr">
        <is>
          <t>VÄSTRA GÖTALANDS LÄN</t>
        </is>
      </c>
      <c r="G568" t="inlineStr">
        <is>
          <t>BORÅS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58483-2024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45632</v>
      </c>
      <c r="E569" s="1" t="n">
        <v>46242</v>
      </c>
      <c r="F569" t="inlineStr">
        <is>
          <t>VÄSTRA GÖTALANDS LÄN</t>
        </is>
      </c>
      <c r="G569" t="inlineStr">
        <is>
          <t>BORÅS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43573-2022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44837</v>
      </c>
      <c r="E570" s="1" t="n">
        <v>46242</v>
      </c>
      <c r="F570" t="inlineStr">
        <is>
          <t>VÄSTRA GÖTALANDS LÄN</t>
        </is>
      </c>
      <c r="G570" t="inlineStr">
        <is>
          <t>BORÅS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19095-2023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45048</v>
      </c>
      <c r="E571" s="1" t="n">
        <v>46242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28171-2022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44746</v>
      </c>
      <c r="E572" s="1" t="n">
        <v>46242</v>
      </c>
      <c r="F572" t="inlineStr">
        <is>
          <t>VÄSTRA GÖTALANDS LÄN</t>
        </is>
      </c>
      <c r="G572" t="inlineStr">
        <is>
          <t>BORÅS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45119</v>
      </c>
      <c r="E573" s="1" t="n">
        <v>46242</v>
      </c>
      <c r="F573" t="inlineStr">
        <is>
          <t>VÄSTRA GÖTALANDS LÄN</t>
        </is>
      </c>
      <c r="G573" t="inlineStr">
        <is>
          <t>BORÅS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45516</v>
      </c>
      <c r="E574" s="1" t="n">
        <v>46242</v>
      </c>
      <c r="F574" t="inlineStr">
        <is>
          <t>VÄSTRA GÖTALANDS LÄN</t>
        </is>
      </c>
      <c r="G574" t="inlineStr">
        <is>
          <t>BORÅS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50282-2023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45216</v>
      </c>
      <c r="E575" s="1" t="n">
        <v>46242</v>
      </c>
      <c r="F575" t="inlineStr">
        <is>
          <t>VÄSTRA GÖTALANDS LÄN</t>
        </is>
      </c>
      <c r="G575" t="inlineStr">
        <is>
          <t>BORÅS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49191-2021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44454</v>
      </c>
      <c r="E576" s="1" t="n">
        <v>46242</v>
      </c>
      <c r="F576" t="inlineStr">
        <is>
          <t>VÄSTRA GÖTALANDS LÄN</t>
        </is>
      </c>
      <c r="G576" t="inlineStr">
        <is>
          <t>BORÅS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11153-2023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44992</v>
      </c>
      <c r="E577" s="1" t="n">
        <v>46242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45273</v>
      </c>
      <c r="E578" s="1" t="n">
        <v>46242</v>
      </c>
      <c r="F578" t="inlineStr">
        <is>
          <t>VÄSTRA GÖTALANDS LÄN</t>
        </is>
      </c>
      <c r="G578" t="inlineStr">
        <is>
          <t>BORÅS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32241-2023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46242</v>
      </c>
      <c r="F579" t="inlineStr">
        <is>
          <t>VÄSTRA GÖTALANDS LÄN</t>
        </is>
      </c>
      <c r="G579" t="inlineStr">
        <is>
          <t>BORÅS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18248-2024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45421</v>
      </c>
      <c r="E580" s="1" t="n">
        <v>46242</v>
      </c>
      <c r="F580" t="inlineStr">
        <is>
          <t>VÄSTRA GÖTALANDS LÄN</t>
        </is>
      </c>
      <c r="G580" t="inlineStr">
        <is>
          <t>BORÅS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45486-2023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46242</v>
      </c>
      <c r="F581" t="inlineStr">
        <is>
          <t>VÄSTRA GÖTALANDS LÄN</t>
        </is>
      </c>
      <c r="G581" t="inlineStr">
        <is>
          <t>BORÅS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45119</v>
      </c>
      <c r="E582" s="1" t="n">
        <v>46242</v>
      </c>
      <c r="F582" t="inlineStr">
        <is>
          <t>VÄSTRA GÖTALANDS LÄN</t>
        </is>
      </c>
      <c r="G582" t="inlineStr">
        <is>
          <t>BORÅS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28552-2022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44748</v>
      </c>
      <c r="E583" s="1" t="n">
        <v>46242</v>
      </c>
      <c r="F583" t="inlineStr">
        <is>
          <t>VÄSTRA GÖTALANDS LÄN</t>
        </is>
      </c>
      <c r="G583" t="inlineStr">
        <is>
          <t>BORÅS</t>
        </is>
      </c>
      <c r="H583" t="inlineStr">
        <is>
          <t>Kommuner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45302</v>
      </c>
      <c r="E584" s="1" t="n">
        <v>46242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Sveaskog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19691-2024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45432</v>
      </c>
      <c r="E585" s="1" t="n">
        <v>46242</v>
      </c>
      <c r="F585" t="inlineStr">
        <is>
          <t>VÄSTRA GÖTALANDS LÄN</t>
        </is>
      </c>
      <c r="G585" t="inlineStr">
        <is>
          <t>BORÅS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50359-2023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45216</v>
      </c>
      <c r="E586" s="1" t="n">
        <v>46242</v>
      </c>
      <c r="F586" t="inlineStr">
        <is>
          <t>VÄSTRA GÖTALANDS LÄN</t>
        </is>
      </c>
      <c r="G586" t="inlineStr">
        <is>
          <t>BORÅS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45321</v>
      </c>
      <c r="E587" s="1" t="n">
        <v>46242</v>
      </c>
      <c r="F587" t="inlineStr">
        <is>
          <t>VÄSTRA GÖTALANDS LÄN</t>
        </is>
      </c>
      <c r="G587" t="inlineStr">
        <is>
          <t>BORÅS</t>
        </is>
      </c>
      <c r="H587" t="inlineStr">
        <is>
          <t>Kommuner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60931-2022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44914</v>
      </c>
      <c r="E588" s="1" t="n">
        <v>46242</v>
      </c>
      <c r="F588" t="inlineStr">
        <is>
          <t>VÄSTRA GÖTALANDS LÄN</t>
        </is>
      </c>
      <c r="G588" t="inlineStr">
        <is>
          <t>BORÅS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40118-2023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45168</v>
      </c>
      <c r="E589" s="1" t="n">
        <v>46242</v>
      </c>
      <c r="F589" t="inlineStr">
        <is>
          <t>VÄSTRA GÖTALANDS LÄN</t>
        </is>
      </c>
      <c r="G589" t="inlineStr">
        <is>
          <t>BORÅS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45119</v>
      </c>
      <c r="E590" s="1" t="n">
        <v>46242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45741</v>
      </c>
      <c r="E591" s="1" t="n">
        <v>46242</v>
      </c>
      <c r="F591" t="inlineStr">
        <is>
          <t>VÄSTRA GÖTALANDS LÄN</t>
        </is>
      </c>
      <c r="G591" t="inlineStr">
        <is>
          <t>BORÅS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48508-2024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45593</v>
      </c>
      <c r="E592" s="1" t="n">
        <v>46242</v>
      </c>
      <c r="F592" t="inlineStr">
        <is>
          <t>VÄSTRA GÖTALANDS LÄN</t>
        </is>
      </c>
      <c r="G592" t="inlineStr">
        <is>
          <t>BORÅS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47624-2021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44448</v>
      </c>
      <c r="E593" s="1" t="n">
        <v>46242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46439-2024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45582</v>
      </c>
      <c r="E594" s="1" t="n">
        <v>46242</v>
      </c>
      <c r="F594" t="inlineStr">
        <is>
          <t>VÄSTRA GÖTALANDS LÄN</t>
        </is>
      </c>
      <c r="G594" t="inlineStr">
        <is>
          <t>BORÅS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45776</v>
      </c>
      <c r="E595" s="1" t="n">
        <v>46242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21673-2025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45783</v>
      </c>
      <c r="E596" s="1" t="n">
        <v>46242</v>
      </c>
      <c r="F596" t="inlineStr">
        <is>
          <t>VÄSTRA GÖTALANDS LÄN</t>
        </is>
      </c>
      <c r="G596" t="inlineStr">
        <is>
          <t>BORÅS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21388-2025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45782</v>
      </c>
      <c r="E597" s="1" t="n">
        <v>46242</v>
      </c>
      <c r="F597" t="inlineStr">
        <is>
          <t>VÄSTRA GÖTALANDS LÄN</t>
        </is>
      </c>
      <c r="G597" t="inlineStr">
        <is>
          <t>BORÅS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46242</v>
      </c>
      <c r="F598" t="inlineStr">
        <is>
          <t>VÄSTRA GÖTALANDS LÄN</t>
        </is>
      </c>
      <c r="G598" t="inlineStr">
        <is>
          <t>BORÅS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46242</v>
      </c>
      <c r="F599" t="inlineStr">
        <is>
          <t>VÄSTRA GÖTALANDS LÄN</t>
        </is>
      </c>
      <c r="G599" t="inlineStr">
        <is>
          <t>BORÅS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47358-2024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45587</v>
      </c>
      <c r="E600" s="1" t="n">
        <v>46242</v>
      </c>
      <c r="F600" t="inlineStr">
        <is>
          <t>VÄSTRA GÖTALANDS LÄN</t>
        </is>
      </c>
      <c r="G600" t="inlineStr">
        <is>
          <t>BORÅS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49004-2023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45209</v>
      </c>
      <c r="E601" s="1" t="n">
        <v>46242</v>
      </c>
      <c r="F601" t="inlineStr">
        <is>
          <t>VÄSTRA GÖTALANDS LÄN</t>
        </is>
      </c>
      <c r="G601" t="inlineStr">
        <is>
          <t>BORÅS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10681-2025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45721</v>
      </c>
      <c r="E602" s="1" t="n">
        <v>46242</v>
      </c>
      <c r="F602" t="inlineStr">
        <is>
          <t>VÄSTRA GÖTALANDS LÄN</t>
        </is>
      </c>
      <c r="G602" t="inlineStr">
        <is>
          <t>BORÅS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21903-2025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45784</v>
      </c>
      <c r="E603" s="1" t="n">
        <v>46242</v>
      </c>
      <c r="F603" t="inlineStr">
        <is>
          <t>VÄSTRA GÖTALANDS LÄN</t>
        </is>
      </c>
      <c r="G603" t="inlineStr">
        <is>
          <t>BORÅS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49584-2024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45596</v>
      </c>
      <c r="E604" s="1" t="n">
        <v>46242</v>
      </c>
      <c r="F604" t="inlineStr">
        <is>
          <t>VÄSTRA GÖTALANDS LÄN</t>
        </is>
      </c>
      <c r="G604" t="inlineStr">
        <is>
          <t>BORÅS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22734-2025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45789</v>
      </c>
      <c r="E605" s="1" t="n">
        <v>46242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22736-2025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45789</v>
      </c>
      <c r="E606" s="1" t="n">
        <v>46242</v>
      </c>
      <c r="F606" t="inlineStr">
        <is>
          <t>VÄSTRA GÖTALANDS LÄN</t>
        </is>
      </c>
      <c r="G606" t="inlineStr">
        <is>
          <t>BORÅS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45142</v>
      </c>
      <c r="E607" s="1" t="n">
        <v>46242</v>
      </c>
      <c r="F607" t="inlineStr">
        <is>
          <t>VÄSTRA GÖTALANDS LÄN</t>
        </is>
      </c>
      <c r="G607" t="inlineStr">
        <is>
          <t>BORÅS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46242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45792</v>
      </c>
      <c r="E609" s="1" t="n">
        <v>46242</v>
      </c>
      <c r="F609" t="inlineStr">
        <is>
          <t>VÄSTRA GÖTALANDS LÄN</t>
        </is>
      </c>
      <c r="G609" t="inlineStr">
        <is>
          <t>BORÅS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7249-2021</t>
        </is>
      </c>
      <c r="B610" t="inlineStr">
        <is>
          <t>samrådsanmälan</t>
        </is>
      </c>
      <c r="C610" t="inlineStr">
        <is>
          <t>Skogsbilväg</t>
        </is>
      </c>
      <c r="D610" s="1" t="n">
        <v>44467</v>
      </c>
      <c r="E610" s="1" t="n">
        <v>46242</v>
      </c>
      <c r="F610" t="inlineStr">
        <is>
          <t>VÄSTRA GÖTALANDS LÄN</t>
        </is>
      </c>
      <c r="G610" t="inlineStr">
        <is>
          <t>BORÅS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2978-2023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45174</v>
      </c>
      <c r="E611" s="1" t="n">
        <v>46242</v>
      </c>
      <c r="F611" t="inlineStr">
        <is>
          <t>VÄSTRA GÖTALANDS LÄN</t>
        </is>
      </c>
      <c r="G611" t="inlineStr">
        <is>
          <t>BORÅS</t>
        </is>
      </c>
      <c r="I611" t="n">
        <v>65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4414-2022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44785</v>
      </c>
      <c r="E612" s="1" t="n">
        <v>46242</v>
      </c>
      <c r="F612" t="inlineStr">
        <is>
          <t>VÄSTRA GÖTALANDS LÄN</t>
        </is>
      </c>
      <c r="G612" t="inlineStr">
        <is>
          <t>BORÅS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1019-2023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45008</v>
      </c>
      <c r="E613" s="1" t="n">
        <v>46242</v>
      </c>
      <c r="F613" t="inlineStr">
        <is>
          <t>VÄSTRA GÖTALANDS LÄN</t>
        </is>
      </c>
      <c r="G613" t="inlineStr">
        <is>
          <t>BORÅS</t>
        </is>
      </c>
      <c r="I613" t="n">
        <v>18.4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1252-2022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44624</v>
      </c>
      <c r="E614" s="1" t="n">
        <v>46242</v>
      </c>
      <c r="F614" t="inlineStr">
        <is>
          <t>VÄSTRA GÖTALANDS LÄN</t>
        </is>
      </c>
      <c r="G614" t="inlineStr">
        <is>
          <t>BORÅS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7239-2021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44466</v>
      </c>
      <c r="E615" s="1" t="n">
        <v>46242</v>
      </c>
      <c r="F615" t="inlineStr">
        <is>
          <t>VÄSTRA GÖTALANDS LÄN</t>
        </is>
      </c>
      <c r="G615" t="inlineStr">
        <is>
          <t>BORÅS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6936-2022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44900</v>
      </c>
      <c r="E616" s="1" t="n">
        <v>46242</v>
      </c>
      <c r="F616" t="inlineStr">
        <is>
          <t>VÄSTRA GÖTALANDS LÄN</t>
        </is>
      </c>
      <c r="G616" t="inlineStr">
        <is>
          <t>BORÅS</t>
        </is>
      </c>
      <c r="I616" t="n">
        <v>11.8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6156-2022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44865</v>
      </c>
      <c r="E617" s="1" t="n">
        <v>46242</v>
      </c>
      <c r="F617" t="inlineStr">
        <is>
          <t>VÄSTRA GÖTALANDS LÄN</t>
        </is>
      </c>
      <c r="G617" t="inlineStr">
        <is>
          <t>BORÅS</t>
        </is>
      </c>
      <c r="I617" t="n">
        <v>15.6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4259-2023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45257</v>
      </c>
      <c r="E618" s="1" t="n">
        <v>46242</v>
      </c>
      <c r="F618" t="inlineStr">
        <is>
          <t>VÄSTRA GÖTALANDS LÄN</t>
        </is>
      </c>
      <c r="G618" t="inlineStr">
        <is>
          <t>BORÅS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2970-2023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45173</v>
      </c>
      <c r="E619" s="1" t="n">
        <v>46242</v>
      </c>
      <c r="F619" t="inlineStr">
        <is>
          <t>VÄSTRA GÖTALANDS LÄN</t>
        </is>
      </c>
      <c r="G619" t="inlineStr">
        <is>
          <t>BORÅS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1559-2022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44642</v>
      </c>
      <c r="E620" s="1" t="n">
        <v>46242</v>
      </c>
      <c r="F620" t="inlineStr">
        <is>
          <t>VÄSTRA GÖTALANDS LÄN</t>
        </is>
      </c>
      <c r="G620" t="inlineStr">
        <is>
          <t>BORÅS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6934-2022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46242</v>
      </c>
      <c r="F621" t="inlineStr">
        <is>
          <t>VÄSTRA GÖTALANDS LÄN</t>
        </is>
      </c>
      <c r="G621" t="inlineStr">
        <is>
          <t>BORÅS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3027-2024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45513</v>
      </c>
      <c r="E622" s="1" t="n">
        <v>46242</v>
      </c>
      <c r="F622" t="inlineStr">
        <is>
          <t>VÄSTRA GÖTALANDS LÄN</t>
        </is>
      </c>
      <c r="G622" t="inlineStr">
        <is>
          <t>BORÅS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2814-2022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44706</v>
      </c>
      <c r="E623" s="1" t="n">
        <v>46242</v>
      </c>
      <c r="F623" t="inlineStr">
        <is>
          <t>VÄSTRA GÖTALANDS LÄN</t>
        </is>
      </c>
      <c r="G623" t="inlineStr">
        <is>
          <t>BORÅS</t>
        </is>
      </c>
      <c r="H623" t="inlineStr">
        <is>
          <t>Kyrkan</t>
        </is>
      </c>
      <c r="I623" t="n">
        <v>39.7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46242</v>
      </c>
      <c r="F624" t="inlineStr">
        <is>
          <t>VÄSTRA GÖTALANDS LÄN</t>
        </is>
      </c>
      <c r="G624" t="inlineStr">
        <is>
          <t>BORÅS</t>
        </is>
      </c>
      <c r="I624" t="n">
        <v>30.4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6937-2022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46242</v>
      </c>
      <c r="F625" t="inlineStr">
        <is>
          <t>VÄSTRA GÖTALANDS LÄN</t>
        </is>
      </c>
      <c r="G625" t="inlineStr">
        <is>
          <t>BORÅS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3398-2024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45534</v>
      </c>
      <c r="E626" s="1" t="n">
        <v>46242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7266-2021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44468</v>
      </c>
      <c r="E627" s="1" t="n">
        <v>46242</v>
      </c>
      <c r="F627" t="inlineStr">
        <is>
          <t>VÄSTRA GÖTALANDS LÄN</t>
        </is>
      </c>
      <c r="G627" t="inlineStr">
        <is>
          <t>BORÅS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1800-2025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46242</v>
      </c>
      <c r="F628" t="inlineStr">
        <is>
          <t>VÄSTRA GÖTALANDS LÄN</t>
        </is>
      </c>
      <c r="G628" t="inlineStr">
        <is>
          <t>BORÅS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1640-2024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45429</v>
      </c>
      <c r="E629" s="1" t="n">
        <v>46242</v>
      </c>
      <c r="F629" t="inlineStr">
        <is>
          <t>VÄSTRA GÖTALANDS LÄN</t>
        </is>
      </c>
      <c r="G629" t="inlineStr">
        <is>
          <t>BORÅS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1979-2025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45831</v>
      </c>
      <c r="E630" s="1" t="n">
        <v>46242</v>
      </c>
      <c r="F630" t="inlineStr">
        <is>
          <t>VÄSTRA GÖTALANDS LÄN</t>
        </is>
      </c>
      <c r="G630" t="inlineStr">
        <is>
          <t>BORÅS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2374-2025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45890</v>
      </c>
      <c r="E631" s="1" t="n">
        <v>46242</v>
      </c>
      <c r="F631" t="inlineStr">
        <is>
          <t>VÄSTRA GÖTALANDS LÄN</t>
        </is>
      </c>
      <c r="G631" t="inlineStr">
        <is>
          <t>BORÅS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3201-2025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45979</v>
      </c>
      <c r="E632" s="1" t="n">
        <v>46242</v>
      </c>
      <c r="F632" t="inlineStr">
        <is>
          <t>VÄSTRA GÖTALANDS LÄN</t>
        </is>
      </c>
      <c r="G632" t="inlineStr">
        <is>
          <t>BORÅS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944-2025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46242</v>
      </c>
      <c r="F633" t="inlineStr">
        <is>
          <t>VÄSTRA GÖTALANDS LÄN</t>
        </is>
      </c>
      <c r="G633" t="inlineStr">
        <is>
          <t>BORÅS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943-2025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46242</v>
      </c>
      <c r="F634" t="inlineStr">
        <is>
          <t>VÄSTRA GÖTALANDS LÄN</t>
        </is>
      </c>
      <c r="G634" t="inlineStr">
        <is>
          <t>BORÅS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2453-2023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45127</v>
      </c>
      <c r="E635" s="1" t="n">
        <v>46242</v>
      </c>
      <c r="F635" t="inlineStr">
        <is>
          <t>VÄSTRA GÖTALANDS LÄN</t>
        </is>
      </c>
      <c r="G635" t="inlineStr">
        <is>
          <t>BORÅS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46073</v>
      </c>
      <c r="E636" s="1" t="n">
        <v>46242</v>
      </c>
      <c r="F636" t="inlineStr">
        <is>
          <t>VÄSTRA GÖTALANDS LÄN</t>
        </is>
      </c>
      <c r="G636" t="inlineStr">
        <is>
          <t>BORÅS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560-2026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46083</v>
      </c>
      <c r="E637" s="1" t="n">
        <v>46242</v>
      </c>
      <c r="F637" t="inlineStr">
        <is>
          <t>VÄSTRA GÖTALANDS LÄN</t>
        </is>
      </c>
      <c r="G637" t="inlineStr">
        <is>
          <t>BORÅS</t>
        </is>
      </c>
      <c r="I637" t="n">
        <v>17.6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2026-08-08T01:58:42Z</dcterms:created>
  <dcterms:modified xmlns:dcterms="http://purl.org/dc/terms/" xmlns:xsi="http://www.w3.org/2001/XMLSchema-instance" xsi:type="dcterms:W3CDTF">2026-08-08T01:58:43Z</dcterms:modified>
</cp:coreProperties>
</file>