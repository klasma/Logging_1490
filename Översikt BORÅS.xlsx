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46304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46304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46304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46304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46304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46304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46304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46304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46304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46304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46304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46304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46304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46304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46304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46304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46304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46304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46304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46304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46304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46304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46304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46304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46304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46304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46304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46304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46304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46304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46304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46304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4362-2022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44589</v>
      </c>
      <c r="E43" s="1" t="n">
        <v>46304</v>
      </c>
      <c r="F43" t="inlineStr">
        <is>
          <t>VÄSTRA GÖTALANDS LÄN</t>
        </is>
      </c>
      <c r="G43" t="inlineStr">
        <is>
          <t>BORÅS</t>
        </is>
      </c>
      <c r="I43" t="n">
        <v>3.7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Gröngöling
Svartvit flugsnappare</t>
        </is>
      </c>
      <c r="W43">
        <f>HYPERLINK("https://klasma.github.io/Logging_1490/artfynd/A 4362-2022 artfynd.xlsx", "A 4362-2022")</f>
        <v/>
      </c>
      <c r="X43">
        <f>HYPERLINK("https://klasma.github.io/Logging_1490/kartor/A 4362-2022 karta.png", "A 4362-2022")</f>
        <v/>
      </c>
      <c r="Y43">
        <f>HYPERLINK("https://klasma.github.io/Logging_1490/kartor_geotiff/A 4362-2022 georefererad karta.tif", "A 4362-2022")</f>
        <v/>
      </c>
      <c r="AA43">
        <f>HYPERLINK("https://klasma.github.io/Logging_1490/klagomål/A 4362-2022 FSC-klagomål.docx", "A 4362-2022")</f>
        <v/>
      </c>
      <c r="AB43">
        <f>HYPERLINK("https://klasma.github.io/Logging_1490/klagomålsmail/A 4362-2022 FSC-klagomål mail.docx", "A 4362-2022")</f>
        <v/>
      </c>
      <c r="AC43">
        <f>HYPERLINK("https://klasma.github.io/Logging_1490/tillsyn/A 4362-2022 tillsynsbegäran.docx", "A 4362-2022")</f>
        <v/>
      </c>
      <c r="AD43">
        <f>HYPERLINK("https://klasma.github.io/Logging_1490/tillsynsmail/A 4362-2022 tillsynsbegäran mail.docx", "A 4362-2022")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46304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46304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46304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46304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46304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46304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46304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4933-2023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44958</v>
      </c>
      <c r="E51" s="1" t="n">
        <v>46304</v>
      </c>
      <c r="F51" t="inlineStr">
        <is>
          <t>VÄSTRA GÖTALANDS LÄN</t>
        </is>
      </c>
      <c r="G51" t="inlineStr">
        <is>
          <t>BORÅS</t>
        </is>
      </c>
      <c r="I51" t="n">
        <v>3.4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Vanlig groda</t>
        </is>
      </c>
      <c r="W51">
        <f>HYPERLINK("https://klasma.github.io/Logging_1490/artfynd/A 4933-2023 artfynd.xlsx", "A 4933-2023")</f>
        <v/>
      </c>
      <c r="X51">
        <f>HYPERLINK("https://klasma.github.io/Logging_1490/kartor/A 4933-2023 karta.png", "A 4933-2023")</f>
        <v/>
      </c>
      <c r="Y51">
        <f>HYPERLINK("https://klasma.github.io/Logging_1490/kartor_geotiff/A 4933-2023 georefererad karta.tif", "A 4933-2023")</f>
        <v/>
      </c>
      <c r="AA51">
        <f>HYPERLINK("https://klasma.github.io/Logging_1490/klagomål/A 4933-2023 FSC-klagomål.docx", "A 4933-2023")</f>
        <v/>
      </c>
      <c r="AB51">
        <f>HYPERLINK("https://klasma.github.io/Logging_1490/klagomålsmail/A 4933-2023 FSC-klagomål mail.docx", "A 4933-2023")</f>
        <v/>
      </c>
      <c r="AC51">
        <f>HYPERLINK("https://klasma.github.io/Logging_1490/tillsyn/A 4933-2023 tillsynsbegäran.docx", "A 4933-2023")</f>
        <v/>
      </c>
      <c r="AD51">
        <f>HYPERLINK("https://klasma.github.io/Logging_1490/tillsynsmail/A 4933-2023 tillsynsbegäran mail.docx", "A 4933-2023")</f>
        <v/>
      </c>
    </row>
    <row r="52" ht="15" customHeight="1">
      <c r="A52" t="inlineStr">
        <is>
          <t>A 31980-2024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46304</v>
      </c>
      <c r="F52" t="inlineStr">
        <is>
          <t>VÄSTRA GÖTALANDS LÄN</t>
        </is>
      </c>
      <c r="G52" t="inlineStr">
        <is>
          <t>BORÅS</t>
        </is>
      </c>
      <c r="I52" t="n">
        <v>2.8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HYPERLINK("https://klasma.github.io/Logging_1490/artfynd/A 31980-2024 artfynd.xlsx", "A 31980-2024")</f>
        <v/>
      </c>
      <c r="X52">
        <f>HYPERLINK("https://klasma.github.io/Logging_1490/kartor/A 31980-2024 karta.png", "A 31980-2024")</f>
        <v/>
      </c>
      <c r="Y52">
        <f>HYPERLINK("https://klasma.github.io/Logging_1490/kartor_geotiff/A 31980-2024 georefererad karta.tif", "A 31980-2024")</f>
        <v/>
      </c>
      <c r="AA52">
        <f>HYPERLINK("https://klasma.github.io/Logging_1490/klagomål/A 31980-2024 FSC-klagomål.docx", "A 31980-2024")</f>
        <v/>
      </c>
      <c r="AB52">
        <f>HYPERLINK("https://klasma.github.io/Logging_1490/klagomålsmail/A 31980-2024 FSC-klagomål mail.docx", "A 31980-2024")</f>
        <v/>
      </c>
      <c r="AC52">
        <f>HYPERLINK("https://klasma.github.io/Logging_1490/tillsyn/A 31980-2024 tillsynsbegäran.docx", "A 31980-2024")</f>
        <v/>
      </c>
      <c r="AD52">
        <f>HYPERLINK("https://klasma.github.io/Logging_1490/tillsynsmail/A 31980-2024 tillsynsbegäran mail.docx", "A 31980-2024")</f>
        <v/>
      </c>
    </row>
    <row r="53" ht="15" customHeight="1">
      <c r="A53" t="inlineStr">
        <is>
          <t>A 1922-2025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45671</v>
      </c>
      <c r="E53" s="1" t="n">
        <v>46304</v>
      </c>
      <c r="F53" t="inlineStr">
        <is>
          <t>VÄSTRA GÖTALANDS LÄN</t>
        </is>
      </c>
      <c r="G53" t="inlineStr">
        <is>
          <t>BORÅS</t>
        </is>
      </c>
      <c r="H53" t="inlineStr">
        <is>
          <t>Kyrkan</t>
        </is>
      </c>
      <c r="I53" t="n">
        <v>5.9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HYPERLINK("https://klasma.github.io/Logging_1490/artfynd/A 1922-2025 artfynd.xlsx", "A 1922-2025")</f>
        <v/>
      </c>
      <c r="X53">
        <f>HYPERLINK("https://klasma.github.io/Logging_1490/kartor/A 1922-2025 karta.png", "A 1922-2025")</f>
        <v/>
      </c>
      <c r="Y53">
        <f>HYPERLINK("https://klasma.github.io/Logging_1490/kartor_geotiff/A 1922-2025 georefererad karta.tif", "A 1922-2025")</f>
        <v/>
      </c>
      <c r="AA53">
        <f>HYPERLINK("https://klasma.github.io/Logging_1490/klagomål/A 1922-2025 FSC-klagomål.docx", "A 1922-2025")</f>
        <v/>
      </c>
      <c r="AB53">
        <f>HYPERLINK("https://klasma.github.io/Logging_1490/klagomålsmail/A 1922-2025 FSC-klagomål mail.docx", "A 1922-2025")</f>
        <v/>
      </c>
      <c r="AC53">
        <f>HYPERLINK("https://klasma.github.io/Logging_1490/tillsyn/A 1922-2025 tillsynsbegäran.docx", "A 1922-2025")</f>
        <v/>
      </c>
      <c r="AD53">
        <f>HYPERLINK("https://klasma.github.io/Logging_1490/tillsynsmail/A 1922-2025 tillsynsbegäran mail.docx", "A 1922-2025")</f>
        <v/>
      </c>
    </row>
    <row r="54" ht="15" customHeight="1">
      <c r="A54" t="inlineStr">
        <is>
          <t>A 33724-2025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45841</v>
      </c>
      <c r="E54" s="1" t="n">
        <v>46304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padda</t>
        </is>
      </c>
      <c r="W54">
        <f>HYPERLINK("https://klasma.github.io/Logging_1490/artfynd/A 33724-2025 artfynd.xlsx", "A 33724-2025")</f>
        <v/>
      </c>
      <c r="X54">
        <f>HYPERLINK("https://klasma.github.io/Logging_1490/kartor/A 33724-2025 karta.png", "A 33724-2025")</f>
        <v/>
      </c>
      <c r="Y54">
        <f>HYPERLINK("https://klasma.github.io/Logging_1490/kartor_geotiff/A 33724-2025 georefererad karta.tif", "A 33724-2025")</f>
        <v/>
      </c>
      <c r="AA54">
        <f>HYPERLINK("https://klasma.github.io/Logging_1490/klagomål/A 33724-2025 FSC-klagomål.docx", "A 33724-2025")</f>
        <v/>
      </c>
      <c r="AB54">
        <f>HYPERLINK("https://klasma.github.io/Logging_1490/klagomålsmail/A 33724-2025 FSC-klagomål mail.docx", "A 33724-2025")</f>
        <v/>
      </c>
      <c r="AC54">
        <f>HYPERLINK("https://klasma.github.io/Logging_1490/tillsyn/A 33724-2025 tillsynsbegäran.docx", "A 33724-2025")</f>
        <v/>
      </c>
      <c r="AD54">
        <f>HYPERLINK("https://klasma.github.io/Logging_1490/tillsynsmail/A 33724-2025 tillsynsbegäran mail.docx", "A 33724-2025")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46304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46304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46304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46304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27342-2022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44742</v>
      </c>
      <c r="E59" s="1" t="n">
        <v>46304</v>
      </c>
      <c r="F59" t="inlineStr">
        <is>
          <t>VÄSTRA GÖTALANDS LÄN</t>
        </is>
      </c>
      <c r="G59" t="inlineStr">
        <is>
          <t>BORÅS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HYPERLINK("https://klasma.github.io/Logging_1490/artfynd/A 27342-2022 artfynd.xlsx", "A 27342-2022")</f>
        <v/>
      </c>
      <c r="X59">
        <f>HYPERLINK("https://klasma.github.io/Logging_1490/kartor/A 27342-2022 karta.png", "A 27342-2022")</f>
        <v/>
      </c>
      <c r="Y59">
        <f>HYPERLINK("https://klasma.github.io/Logging_1490/kartor_geotiff/A 27342-2022 georefererad karta.tif", "A 27342-2022")</f>
        <v/>
      </c>
      <c r="AA59">
        <f>HYPERLINK("https://klasma.github.io/Logging_1490/klagomål/A 27342-2022 FSC-klagomål.docx", "A 27342-2022")</f>
        <v/>
      </c>
      <c r="AB59">
        <f>HYPERLINK("https://klasma.github.io/Logging_1490/klagomålsmail/A 27342-2022 FSC-klagomål mail.docx", "A 27342-2022")</f>
        <v/>
      </c>
      <c r="AC59">
        <f>HYPERLINK("https://klasma.github.io/Logging_1490/tillsyn/A 27342-2022 tillsynsbegäran.docx", "A 27342-2022")</f>
        <v/>
      </c>
      <c r="AD59">
        <f>HYPERLINK("https://klasma.github.io/Logging_1490/tillsynsmail/A 27342-2022 tillsynsbegäran mail.docx", "A 27342-2022")</f>
        <v/>
      </c>
      <c r="AE59">
        <f>HYPERLINK("https://klasma.github.io/Logging_1490/fåglar/A 27342-2022 prioriterade fågelarter.docx", "A 27342-2022")</f>
        <v/>
      </c>
    </row>
    <row r="60" ht="15" customHeight="1">
      <c r="A60" t="inlineStr">
        <is>
          <t>A 62645-2025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46008</v>
      </c>
      <c r="E60" s="1" t="n">
        <v>46304</v>
      </c>
      <c r="F60" t="inlineStr">
        <is>
          <t>VÄSTRA GÖTALANDS LÄN</t>
        </is>
      </c>
      <c r="G60" t="inlineStr">
        <is>
          <t>BORÅS</t>
        </is>
      </c>
      <c r="I60" t="n">
        <v>0.5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HYPERLINK("https://klasma.github.io/Logging_1490/artfynd/A 62645-2025 artfynd.xlsx", "A 62645-2025")</f>
        <v/>
      </c>
      <c r="X60">
        <f>HYPERLINK("https://klasma.github.io/Logging_1490/kartor/A 62645-2025 karta.png", "A 62645-2025")</f>
        <v/>
      </c>
      <c r="Y60">
        <f>HYPERLINK("https://klasma.github.io/Logging_1490/kartor_geotiff/A 62645-2025 georefererad karta.tif", "A 62645-2025")</f>
        <v/>
      </c>
      <c r="AA60">
        <f>HYPERLINK("https://klasma.github.io/Logging_1490/klagomål/A 62645-2025 FSC-klagomål.docx", "A 62645-2025")</f>
        <v/>
      </c>
      <c r="AB60">
        <f>HYPERLINK("https://klasma.github.io/Logging_1490/klagomålsmail/A 62645-2025 FSC-klagomål mail.docx", "A 62645-2025")</f>
        <v/>
      </c>
      <c r="AC60">
        <f>HYPERLINK("https://klasma.github.io/Logging_1490/tillsyn/A 62645-2025 tillsynsbegäran.docx", "A 62645-2025")</f>
        <v/>
      </c>
      <c r="AD60">
        <f>HYPERLINK("https://klasma.github.io/Logging_1490/tillsynsmail/A 62645-2025 tillsynsbegäran mail.docx", "A 62645-2025")</f>
        <v/>
      </c>
      <c r="AE60">
        <f>HYPERLINK("https://klasma.github.io/Logging_1490/fåglar/A 62645-2025 prioriterade fågelarter.docx", "A 62645-2025")</f>
        <v/>
      </c>
    </row>
    <row r="61" ht="15" customHeight="1">
      <c r="A61" t="inlineStr">
        <is>
          <t>A 3760-2024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46304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6.8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Kråka</t>
        </is>
      </c>
      <c r="W61">
        <f>HYPERLINK("https://klasma.github.io/Logging_1490/artfynd/A 3760-2024 artfynd.xlsx", "A 3760-2024")</f>
        <v/>
      </c>
      <c r="X61">
        <f>HYPERLINK("https://klasma.github.io/Logging_1490/kartor/A 3760-2024 karta.png", "A 3760-2024")</f>
        <v/>
      </c>
      <c r="Y61">
        <f>HYPERLINK("https://klasma.github.io/Logging_1490/kartor_geotiff/A 3760-2024 georefererad karta.tif", "A 3760-2024")</f>
        <v/>
      </c>
      <c r="AA61">
        <f>HYPERLINK("https://klasma.github.io/Logging_1490/klagomål/A 3760-2024 FSC-klagomål.docx", "A 3760-2024")</f>
        <v/>
      </c>
      <c r="AB61">
        <f>HYPERLINK("https://klasma.github.io/Logging_1490/klagomålsmail/A 3760-2024 FSC-klagomål mail.docx", "A 3760-2024")</f>
        <v/>
      </c>
      <c r="AC61">
        <f>HYPERLINK("https://klasma.github.io/Logging_1490/tillsyn/A 3760-2024 tillsynsbegäran.docx", "A 3760-2024")</f>
        <v/>
      </c>
      <c r="AD61">
        <f>HYPERLINK("https://klasma.github.io/Logging_1490/tillsynsmail/A 3760-2024 tillsynsbegäran mail.docx", "A 3760-2024")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46304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53533-2022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46304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Kungsfågel</t>
        </is>
      </c>
      <c r="W64">
        <f>HYPERLINK("https://klasma.github.io/Logging_1490/artfynd/A 53533-2022 artfynd.xlsx", "A 53533-2022")</f>
        <v/>
      </c>
      <c r="X64">
        <f>HYPERLINK("https://klasma.github.io/Logging_1490/kartor/A 53533-2022 karta.png", "A 53533-2022")</f>
        <v/>
      </c>
      <c r="Y64">
        <f>HYPERLINK("https://klasma.github.io/Logging_1490/kartor_geotiff/A 53533-2022 georefererad karta.tif", "A 53533-2022")</f>
        <v/>
      </c>
      <c r="AA64">
        <f>HYPERLINK("https://klasma.github.io/Logging_1490/klagomål/A 53533-2022 FSC-klagomål.docx", "A 53533-2022")</f>
        <v/>
      </c>
      <c r="AB64">
        <f>HYPERLINK("https://klasma.github.io/Logging_1490/klagomålsmail/A 53533-2022 FSC-klagomål mail.docx", "A 53533-2022")</f>
        <v/>
      </c>
      <c r="AC64">
        <f>HYPERLINK("https://klasma.github.io/Logging_1490/tillsyn/A 53533-2022 tillsynsbegäran.docx", "A 53533-2022")</f>
        <v/>
      </c>
      <c r="AD64">
        <f>HYPERLINK("https://klasma.github.io/Logging_1490/tillsynsmail/A 53533-2022 tillsynsbegäran mail.docx", "A 53533-2022")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46304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46304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46304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60816-2023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45260</v>
      </c>
      <c r="E68" s="1" t="n">
        <v>46304</v>
      </c>
      <c r="F68" t="inlineStr">
        <is>
          <t>VÄSTRA GÖTALANDS LÄN</t>
        </is>
      </c>
      <c r="G68" t="inlineStr">
        <is>
          <t>BORÅS</t>
        </is>
      </c>
      <c r="I68" t="n">
        <v>3.8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Springkorn</t>
        </is>
      </c>
      <c r="W68">
        <f>HYPERLINK("https://klasma.github.io/Logging_1490/artfynd/A 60816-2023 artfynd.xlsx", "A 60816-2023")</f>
        <v/>
      </c>
      <c r="X68">
        <f>HYPERLINK("https://klasma.github.io/Logging_1490/kartor/A 60816-2023 karta.png", "A 60816-2023")</f>
        <v/>
      </c>
      <c r="Y68">
        <f>HYPERLINK("https://klasma.github.io/Logging_1490/kartor_geotiff/A 60816-2023 georefererad karta.tif", "A 60816-2023")</f>
        <v/>
      </c>
      <c r="AA68">
        <f>HYPERLINK("https://klasma.github.io/Logging_1490/klagomål/A 60816-2023 FSC-klagomål.docx", "A 60816-2023")</f>
        <v/>
      </c>
      <c r="AB68">
        <f>HYPERLINK("https://klasma.github.io/Logging_1490/klagomålsmail/A 60816-2023 FSC-klagomål mail.docx", "A 60816-2023")</f>
        <v/>
      </c>
      <c r="AC68">
        <f>HYPERLINK("https://klasma.github.io/Logging_1490/tillsyn/A 60816-2023 tillsynsbegäran.docx", "A 60816-2023")</f>
        <v/>
      </c>
      <c r="AD68">
        <f>HYPERLINK("https://klasma.github.io/Logging_1490/tillsynsmail/A 60816-2023 tillsynsbegäran mail.docx", "A 60816-2023")</f>
        <v/>
      </c>
    </row>
    <row r="69" ht="15" customHeight="1">
      <c r="A69" t="inlineStr">
        <is>
          <t>A 4358-2025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45686</v>
      </c>
      <c r="E69" s="1" t="n">
        <v>46304</v>
      </c>
      <c r="F69" t="inlineStr">
        <is>
          <t>VÄSTRA GÖTALANDS LÄN</t>
        </is>
      </c>
      <c r="G69" t="inlineStr">
        <is>
          <t>BORÅS</t>
        </is>
      </c>
      <c r="H69" t="inlineStr">
        <is>
          <t>Sveaskog</t>
        </is>
      </c>
      <c r="I69" t="n">
        <v>4.7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Orre</t>
        </is>
      </c>
      <c r="W69">
        <f>HYPERLINK("https://klasma.github.io/Logging_1490/artfynd/A 4358-2025 artfynd.xlsx", "A 4358-2025")</f>
        <v/>
      </c>
      <c r="X69">
        <f>HYPERLINK("https://klasma.github.io/Logging_1490/kartor/A 4358-2025 karta.png", "A 4358-2025")</f>
        <v/>
      </c>
      <c r="Y69">
        <f>HYPERLINK("https://klasma.github.io/Logging_1490/kartor_geotiff/A 4358-2025 georefererad karta.tif", "A 4358-2025")</f>
        <v/>
      </c>
      <c r="AA69">
        <f>HYPERLINK("https://klasma.github.io/Logging_1490/klagomål/A 4358-2025 FSC-klagomål.docx", "A 4358-2025")</f>
        <v/>
      </c>
      <c r="AB69">
        <f>HYPERLINK("https://klasma.github.io/Logging_1490/klagomålsmail/A 4358-2025 FSC-klagomål mail.docx", "A 4358-2025")</f>
        <v/>
      </c>
      <c r="AC69">
        <f>HYPERLINK("https://klasma.github.io/Logging_1490/tillsyn/A 4358-2025 tillsynsbegäran.docx", "A 4358-2025")</f>
        <v/>
      </c>
      <c r="AD69">
        <f>HYPERLINK("https://klasma.github.io/Logging_1490/tillsynsmail/A 4358-2025 tillsynsbegäran mail.docx", "A 4358-2025")</f>
        <v/>
      </c>
      <c r="AE69">
        <f>HYPERLINK("https://klasma.github.io/Logging_1490/fåglar/A 4358-2025 prioriterade fågelarter.docx", "A 4358-2025")</f>
        <v/>
      </c>
    </row>
    <row r="70" ht="15" customHeight="1">
      <c r="A70" t="inlineStr">
        <is>
          <t>A 57439-2024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46304</v>
      </c>
      <c r="F70" t="inlineStr">
        <is>
          <t>VÄSTRA GÖTALANDS LÄN</t>
        </is>
      </c>
      <c r="G70" t="inlineStr">
        <is>
          <t>BORÅS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Tofsmes</t>
        </is>
      </c>
      <c r="W70">
        <f>HYPERLINK("https://klasma.github.io/Logging_1490/artfynd/A 57439-2024 artfynd.xlsx", "A 57439-2024")</f>
        <v/>
      </c>
      <c r="X70">
        <f>HYPERLINK("https://klasma.github.io/Logging_1490/kartor/A 57439-2024 karta.png", "A 57439-2024")</f>
        <v/>
      </c>
      <c r="Y70">
        <f>HYPERLINK("https://klasma.github.io/Logging_1490/kartor_geotiff/A 57439-2024 georefererad karta.tif", "A 57439-2024")</f>
        <v/>
      </c>
      <c r="AA70">
        <f>HYPERLINK("https://klasma.github.io/Logging_1490/klagomål/A 57439-2024 FSC-klagomål.docx", "A 57439-2024")</f>
        <v/>
      </c>
      <c r="AB70">
        <f>HYPERLINK("https://klasma.github.io/Logging_1490/klagomålsmail/A 57439-2024 FSC-klagomål mail.docx", "A 57439-2024")</f>
        <v/>
      </c>
      <c r="AC70">
        <f>HYPERLINK("https://klasma.github.io/Logging_1490/tillsyn/A 57439-2024 tillsynsbegäran.docx", "A 57439-2024")</f>
        <v/>
      </c>
      <c r="AD70">
        <f>HYPERLINK("https://klasma.github.io/Logging_1490/tillsynsmail/A 57439-2024 tillsynsbegäran mail.docx", "A 57439-2024")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23756-2025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45793</v>
      </c>
      <c r="E72" s="1" t="n">
        <v>46304</v>
      </c>
      <c r="F72" t="inlineStr">
        <is>
          <t>VÄSTRA GÖTALANDS LÄN</t>
        </is>
      </c>
      <c r="G72" t="inlineStr">
        <is>
          <t>BORÅS</t>
        </is>
      </c>
      <c r="I72" t="n">
        <v>1.9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HYPERLINK("https://klasma.github.io/Logging_1490/artfynd/A 23756-2025 artfynd.xlsx", "A 23756-2025")</f>
        <v/>
      </c>
      <c r="X72">
        <f>HYPERLINK("https://klasma.github.io/Logging_1490/kartor/A 23756-2025 karta.png", "A 23756-2025")</f>
        <v/>
      </c>
      <c r="Y72">
        <f>HYPERLINK("https://klasma.github.io/Logging_1490/kartor_geotiff/A 23756-2025 georefererad karta.tif", "A 23756-2025")</f>
        <v/>
      </c>
      <c r="AA72">
        <f>HYPERLINK("https://klasma.github.io/Logging_1490/klagomål/A 23756-2025 FSC-klagomål.docx", "A 23756-2025")</f>
        <v/>
      </c>
      <c r="AB72">
        <f>HYPERLINK("https://klasma.github.io/Logging_1490/klagomålsmail/A 23756-2025 FSC-klagomål mail.docx", "A 23756-2025")</f>
        <v/>
      </c>
      <c r="AC72">
        <f>HYPERLINK("https://klasma.github.io/Logging_1490/tillsyn/A 23756-2025 tillsynsbegäran.docx", "A 23756-2025")</f>
        <v/>
      </c>
      <c r="AD72">
        <f>HYPERLINK("https://klasma.github.io/Logging_1490/tillsynsmail/A 23756-2025 tillsynsbegäran mail.docx", "A 23756-2025")</f>
        <v/>
      </c>
      <c r="AE72">
        <f>HYPERLINK("https://klasma.github.io/Logging_1490/fåglar/A 23756-2025 prioriterade fågelarter.docx", "A 23756-2025")</f>
        <v/>
      </c>
    </row>
    <row r="73" ht="15" customHeight="1">
      <c r="A73" t="inlineStr">
        <is>
          <t>A 23755-2025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46304</v>
      </c>
      <c r="F73" t="inlineStr">
        <is>
          <t>VÄSTRA GÖTALANDS LÄN</t>
        </is>
      </c>
      <c r="G73" t="inlineStr">
        <is>
          <t>BORÅS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groda</t>
        </is>
      </c>
      <c r="W73">
        <f>HYPERLINK("https://klasma.github.io/Logging_1490/artfynd/A 23755-2025 artfynd.xlsx", "A 23755-2025")</f>
        <v/>
      </c>
      <c r="X73">
        <f>HYPERLINK("https://klasma.github.io/Logging_1490/kartor/A 23755-2025 karta.png", "A 23755-2025")</f>
        <v/>
      </c>
      <c r="Y73">
        <f>HYPERLINK("https://klasma.github.io/Logging_1490/kartor_geotiff/A 23755-2025 georefererad karta.tif", "A 23755-2025")</f>
        <v/>
      </c>
      <c r="AA73">
        <f>HYPERLINK("https://klasma.github.io/Logging_1490/klagomål/A 23755-2025 FSC-klagomål.docx", "A 23755-2025")</f>
        <v/>
      </c>
      <c r="AB73">
        <f>HYPERLINK("https://klasma.github.io/Logging_1490/klagomålsmail/A 23755-2025 FSC-klagomål mail.docx", "A 23755-2025")</f>
        <v/>
      </c>
      <c r="AC73">
        <f>HYPERLINK("https://klasma.github.io/Logging_1490/tillsyn/A 23755-2025 tillsynsbegäran.docx", "A 23755-2025")</f>
        <v/>
      </c>
      <c r="AD73">
        <f>HYPERLINK("https://klasma.github.io/Logging_1490/tillsynsmail/A 23755-2025 tillsynsbegäran mail.docx", "A 23755-2025")</f>
        <v/>
      </c>
    </row>
    <row r="74" ht="15" customHeight="1">
      <c r="A74" t="inlineStr">
        <is>
          <t>A 29911-2025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46304</v>
      </c>
      <c r="F74" t="inlineStr">
        <is>
          <t>VÄSTRA GÖTALANDS LÄN</t>
        </is>
      </c>
      <c r="G74" t="inlineStr">
        <is>
          <t>BORÅS</t>
        </is>
      </c>
      <c r="I74" t="n">
        <v>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Lönnlav</t>
        </is>
      </c>
      <c r="W74">
        <f>HYPERLINK("https://klasma.github.io/Logging_1490/artfynd/A 29911-2025 artfynd.xlsx", "A 29911-2025")</f>
        <v/>
      </c>
      <c r="X74">
        <f>HYPERLINK("https://klasma.github.io/Logging_1490/kartor/A 29911-2025 karta.png", "A 29911-2025")</f>
        <v/>
      </c>
      <c r="Y74">
        <f>HYPERLINK("https://klasma.github.io/Logging_1490/kartor_geotiff/A 29911-2025 georefererad karta.tif", "A 29911-2025")</f>
        <v/>
      </c>
      <c r="AA74">
        <f>HYPERLINK("https://klasma.github.io/Logging_1490/klagomål/A 29911-2025 FSC-klagomål.docx", "A 29911-2025")</f>
        <v/>
      </c>
      <c r="AB74">
        <f>HYPERLINK("https://klasma.github.io/Logging_1490/klagomålsmail/A 29911-2025 FSC-klagomål mail.docx", "A 29911-2025")</f>
        <v/>
      </c>
      <c r="AC74">
        <f>HYPERLINK("https://klasma.github.io/Logging_1490/tillsyn/A 29911-2025 tillsynsbegäran.docx", "A 29911-2025")</f>
        <v/>
      </c>
      <c r="AD74">
        <f>HYPERLINK("https://klasma.github.io/Logging_1490/tillsynsmail/A 29911-2025 tillsynsbegäran mail.docx", "A 29911-2025")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46304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46304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46304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46304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3610-2022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44586</v>
      </c>
      <c r="E79" s="1" t="n">
        <v>46304</v>
      </c>
      <c r="F79" t="inlineStr">
        <is>
          <t>VÄSTRA GÖTALANDS LÄN</t>
        </is>
      </c>
      <c r="G79" t="inlineStr">
        <is>
          <t>BORÅS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46304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46304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46304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46304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46304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46304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46304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46304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46304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46304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46304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46304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46304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46304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46304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46304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46304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46304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46304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46304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46304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46304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46304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46304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46304</v>
      </c>
      <c r="F104" t="inlineStr">
        <is>
          <t>VÄSTRA GÖTALANDS LÄN</t>
        </is>
      </c>
      <c r="G104" t="inlineStr">
        <is>
          <t>BORÅS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46304</v>
      </c>
      <c r="F105" t="inlineStr">
        <is>
          <t>VÄSTRA GÖTALANDS LÄN</t>
        </is>
      </c>
      <c r="G105" t="inlineStr">
        <is>
          <t>BORÅS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46304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46304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46304</v>
      </c>
      <c r="F108" t="inlineStr">
        <is>
          <t>VÄSTRA GÖTALANDS LÄN</t>
        </is>
      </c>
      <c r="G108" t="inlineStr">
        <is>
          <t>BORÅS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46304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46304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44673</v>
      </c>
      <c r="E111" s="1" t="n">
        <v>46304</v>
      </c>
      <c r="F111" t="inlineStr">
        <is>
          <t>VÄSTRA GÖTALANDS LÄN</t>
        </is>
      </c>
      <c r="G111" t="inlineStr">
        <is>
          <t>BORÅS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46304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46304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46304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46304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46304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46304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46304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46304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46304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46304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46304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46304</v>
      </c>
      <c r="F123" t="inlineStr">
        <is>
          <t>VÄSTRA GÖTALANDS LÄN</t>
        </is>
      </c>
      <c r="G123" t="inlineStr">
        <is>
          <t>BORÅS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46304</v>
      </c>
      <c r="F124" t="inlineStr">
        <is>
          <t>VÄSTRA GÖTALANDS LÄN</t>
        </is>
      </c>
      <c r="G124" t="inlineStr">
        <is>
          <t>BORÅS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46304</v>
      </c>
      <c r="F125" t="inlineStr">
        <is>
          <t>VÄSTRA GÖTALANDS LÄN</t>
        </is>
      </c>
      <c r="G125" t="inlineStr">
        <is>
          <t>BORÅS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46304</v>
      </c>
      <c r="F126" t="inlineStr">
        <is>
          <t>VÄSTRA GÖTALANDS LÄN</t>
        </is>
      </c>
      <c r="G126" t="inlineStr">
        <is>
          <t>BORÅS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46304</v>
      </c>
      <c r="F127" t="inlineStr">
        <is>
          <t>VÄSTRA GÖTALANDS LÄN</t>
        </is>
      </c>
      <c r="G127" t="inlineStr">
        <is>
          <t>BORÅS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44740</v>
      </c>
      <c r="E128" s="1" t="n">
        <v>46304</v>
      </c>
      <c r="F128" t="inlineStr">
        <is>
          <t>VÄSTRA GÖTALANDS LÄN</t>
        </is>
      </c>
      <c r="G128" t="inlineStr">
        <is>
          <t>BORÅS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46304</v>
      </c>
      <c r="F129" t="inlineStr">
        <is>
          <t>VÄSTRA GÖTALANDS LÄN</t>
        </is>
      </c>
      <c r="G129" t="inlineStr">
        <is>
          <t>BORÅS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46304</v>
      </c>
      <c r="F130" t="inlineStr">
        <is>
          <t>VÄSTRA GÖTALANDS LÄN</t>
        </is>
      </c>
      <c r="G130" t="inlineStr">
        <is>
          <t>BORÅS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46304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46304</v>
      </c>
      <c r="F132" t="inlineStr">
        <is>
          <t>VÄSTRA GÖTALANDS LÄN</t>
        </is>
      </c>
      <c r="G132" t="inlineStr">
        <is>
          <t>BORÅS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44958</v>
      </c>
      <c r="E133" s="1" t="n">
        <v>46304</v>
      </c>
      <c r="F133" t="inlineStr">
        <is>
          <t>VÄSTRA GÖTALANDS LÄN</t>
        </is>
      </c>
      <c r="G133" t="inlineStr">
        <is>
          <t>BORÅS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46304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19481-2023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45050</v>
      </c>
      <c r="E135" s="1" t="n">
        <v>46304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46304</v>
      </c>
      <c r="F136" t="inlineStr">
        <is>
          <t>VÄSTRA GÖTALANDS LÄN</t>
        </is>
      </c>
      <c r="G136" t="inlineStr">
        <is>
          <t>BORÅS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46304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45034</v>
      </c>
      <c r="E138" s="1" t="n">
        <v>46304</v>
      </c>
      <c r="F138" t="inlineStr">
        <is>
          <t>VÄSTRA GÖTALANDS LÄN</t>
        </is>
      </c>
      <c r="G138" t="inlineStr">
        <is>
          <t>BORÅS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46304</v>
      </c>
      <c r="F139" t="inlineStr">
        <is>
          <t>VÄSTRA GÖTALANDS LÄN</t>
        </is>
      </c>
      <c r="G139" t="inlineStr">
        <is>
          <t>BORÅS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45054</v>
      </c>
      <c r="E140" s="1" t="n">
        <v>46304</v>
      </c>
      <c r="F140" t="inlineStr">
        <is>
          <t>VÄSTRA GÖTALANDS LÄN</t>
        </is>
      </c>
      <c r="G140" t="inlineStr">
        <is>
          <t>BORÅS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45351</v>
      </c>
      <c r="E141" s="1" t="n">
        <v>46304</v>
      </c>
      <c r="F141" t="inlineStr">
        <is>
          <t>VÄSTRA GÖTALANDS LÄN</t>
        </is>
      </c>
      <c r="G141" t="inlineStr">
        <is>
          <t>BORÅS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46304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46304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46304</v>
      </c>
      <c r="F144" t="inlineStr">
        <is>
          <t>VÄSTRA GÖTALANDS LÄN</t>
        </is>
      </c>
      <c r="G144" t="inlineStr">
        <is>
          <t>BORÅS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46304</v>
      </c>
      <c r="F145" t="inlineStr">
        <is>
          <t>VÄSTRA GÖTALANDS LÄN</t>
        </is>
      </c>
      <c r="G145" t="inlineStr">
        <is>
          <t>BORÅS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46304</v>
      </c>
      <c r="F146" t="inlineStr">
        <is>
          <t>VÄSTRA GÖTALANDS LÄN</t>
        </is>
      </c>
      <c r="G146" t="inlineStr">
        <is>
          <t>BORÅS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46304</v>
      </c>
      <c r="F147" t="inlineStr">
        <is>
          <t>VÄSTRA GÖTALANDS LÄN</t>
        </is>
      </c>
      <c r="G147" t="inlineStr">
        <is>
          <t>BORÅS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46304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46304</v>
      </c>
      <c r="F149" t="inlineStr">
        <is>
          <t>VÄSTRA GÖTALANDS LÄN</t>
        </is>
      </c>
      <c r="G149" t="inlineStr">
        <is>
          <t>BORÅS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57430-2024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46304</v>
      </c>
      <c r="F150" t="inlineStr">
        <is>
          <t>VÄSTRA GÖTALANDS LÄN</t>
        </is>
      </c>
      <c r="G150" t="inlineStr">
        <is>
          <t>BORÅS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45650</v>
      </c>
      <c r="E151" s="1" t="n">
        <v>46304</v>
      </c>
      <c r="F151" t="inlineStr">
        <is>
          <t>VÄSTRA GÖTALANDS LÄN</t>
        </is>
      </c>
      <c r="G151" t="inlineStr">
        <is>
          <t>BORÅS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46304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44639</v>
      </c>
      <c r="E153" s="1" t="n">
        <v>46304</v>
      </c>
      <c r="F153" t="inlineStr">
        <is>
          <t>VÄSTRA GÖTALANDS LÄN</t>
        </is>
      </c>
      <c r="G153" t="inlineStr">
        <is>
          <t>BORÅS</t>
        </is>
      </c>
      <c r="I153" t="n">
        <v>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46304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46304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45462</v>
      </c>
      <c r="E156" s="1" t="n">
        <v>46304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45749</v>
      </c>
      <c r="E157" s="1" t="n">
        <v>46304</v>
      </c>
      <c r="F157" t="inlineStr">
        <is>
          <t>VÄSTRA GÖTALANDS LÄN</t>
        </is>
      </c>
      <c r="G157" t="inlineStr">
        <is>
          <t>BORÅS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46304</v>
      </c>
      <c r="F158" t="inlineStr">
        <is>
          <t>VÄSTRA GÖTALANDS LÄN</t>
        </is>
      </c>
      <c r="G158" t="inlineStr">
        <is>
          <t>BORÅS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46304</v>
      </c>
      <c r="F159" t="inlineStr">
        <is>
          <t>VÄSTRA GÖTALANDS LÄN</t>
        </is>
      </c>
      <c r="G159" t="inlineStr">
        <is>
          <t>BORÅS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45666</v>
      </c>
      <c r="E160" s="1" t="n">
        <v>46304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Sveaskog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44910</v>
      </c>
      <c r="E161" s="1" t="n">
        <v>46304</v>
      </c>
      <c r="F161" t="inlineStr">
        <is>
          <t>VÄSTRA GÖTALANDS LÄN</t>
        </is>
      </c>
      <c r="G161" t="inlineStr">
        <is>
          <t>BORÅS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46304</v>
      </c>
      <c r="F162" t="inlineStr">
        <is>
          <t>VÄSTRA GÖTALANDS LÄN</t>
        </is>
      </c>
      <c r="G162" t="inlineStr">
        <is>
          <t>BORÅS</t>
        </is>
      </c>
      <c r="H162" t="inlineStr">
        <is>
          <t>Kyrkan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44916</v>
      </c>
      <c r="E163" s="1" t="n">
        <v>46304</v>
      </c>
      <c r="F163" t="inlineStr">
        <is>
          <t>VÄSTRA GÖTALANDS LÄN</t>
        </is>
      </c>
      <c r="G163" t="inlineStr">
        <is>
          <t>BORÅS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46304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46304</v>
      </c>
      <c r="F165" t="inlineStr">
        <is>
          <t>VÄSTRA GÖTALANDS LÄN</t>
        </is>
      </c>
      <c r="G165" t="inlineStr">
        <is>
          <t>BORÅS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46304</v>
      </c>
      <c r="F166" t="inlineStr">
        <is>
          <t>VÄSTRA GÖTALANDS LÄN</t>
        </is>
      </c>
      <c r="G166" t="inlineStr">
        <is>
          <t>BORÅS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46304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46304</v>
      </c>
      <c r="F168" t="inlineStr">
        <is>
          <t>VÄSTRA GÖTALANDS LÄN</t>
        </is>
      </c>
      <c r="G168" t="inlineStr">
        <is>
          <t>BORÅS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45294</v>
      </c>
      <c r="E169" s="1" t="n">
        <v>46304</v>
      </c>
      <c r="F169" t="inlineStr">
        <is>
          <t>VÄSTRA GÖTALANDS LÄN</t>
        </is>
      </c>
      <c r="G169" t="inlineStr">
        <is>
          <t>BORÅS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46304</v>
      </c>
      <c r="F170" t="inlineStr">
        <is>
          <t>VÄSTRA GÖTALANDS LÄN</t>
        </is>
      </c>
      <c r="G170" t="inlineStr">
        <is>
          <t>BORÅS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46304</v>
      </c>
      <c r="F171" t="inlineStr">
        <is>
          <t>VÄSTRA GÖTALANDS LÄN</t>
        </is>
      </c>
      <c r="G171" t="inlineStr">
        <is>
          <t>BORÅS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46304</v>
      </c>
      <c r="F172" t="inlineStr">
        <is>
          <t>VÄSTRA GÖTALANDS LÄN</t>
        </is>
      </c>
      <c r="G172" t="inlineStr">
        <is>
          <t>BORÅS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36975-2024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45538</v>
      </c>
      <c r="E173" s="1" t="n">
        <v>46304</v>
      </c>
      <c r="F173" t="inlineStr">
        <is>
          <t>VÄSTRA GÖTALANDS LÄN</t>
        </is>
      </c>
      <c r="G173" t="inlineStr">
        <is>
          <t>BORÅS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46304</v>
      </c>
      <c r="F174" t="inlineStr">
        <is>
          <t>VÄSTRA GÖTALANDS LÄN</t>
        </is>
      </c>
      <c r="G174" t="inlineStr">
        <is>
          <t>BORÅS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57670-2022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46304</v>
      </c>
      <c r="F175" t="inlineStr">
        <is>
          <t>VÄSTRA GÖTALANDS LÄN</t>
        </is>
      </c>
      <c r="G175" t="inlineStr">
        <is>
          <t>BORÅS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46304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46304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45126</v>
      </c>
      <c r="E178" s="1" t="n">
        <v>46304</v>
      </c>
      <c r="F178" t="inlineStr">
        <is>
          <t>VÄSTRA GÖTALANDS LÄN</t>
        </is>
      </c>
      <c r="G178" t="inlineStr">
        <is>
          <t>BORÅS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45321</v>
      </c>
      <c r="E179" s="1" t="n">
        <v>46304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Kommuner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46304</v>
      </c>
      <c r="F180" t="inlineStr">
        <is>
          <t>VÄSTRA GÖTALANDS LÄN</t>
        </is>
      </c>
      <c r="G180" t="inlineStr">
        <is>
          <t>BORÅS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46304</v>
      </c>
      <c r="F181" t="inlineStr">
        <is>
          <t>VÄSTRA GÖTALANDS LÄN</t>
        </is>
      </c>
      <c r="G181" t="inlineStr">
        <is>
          <t>BORÅS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46304</v>
      </c>
      <c r="F182" t="inlineStr">
        <is>
          <t>VÄSTRA GÖTALANDS LÄN</t>
        </is>
      </c>
      <c r="G182" t="inlineStr">
        <is>
          <t>BORÅS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46304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45233</v>
      </c>
      <c r="E184" s="1" t="n">
        <v>46304</v>
      </c>
      <c r="F184" t="inlineStr">
        <is>
          <t>VÄSTRA GÖTALANDS LÄN</t>
        </is>
      </c>
      <c r="G184" t="inlineStr">
        <is>
          <t>BORÅS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46304</v>
      </c>
      <c r="F185" t="inlineStr">
        <is>
          <t>VÄSTRA GÖTALANDS LÄN</t>
        </is>
      </c>
      <c r="G185" t="inlineStr">
        <is>
          <t>BORÅS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46304</v>
      </c>
      <c r="F186" t="inlineStr">
        <is>
          <t>VÄSTRA GÖTALANDS LÄN</t>
        </is>
      </c>
      <c r="G186" t="inlineStr">
        <is>
          <t>BORÅS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46304</v>
      </c>
      <c r="F187" t="inlineStr">
        <is>
          <t>VÄSTRA GÖTALANDS LÄN</t>
        </is>
      </c>
      <c r="G187" t="inlineStr">
        <is>
          <t>BORÅS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46304</v>
      </c>
      <c r="F188" t="inlineStr">
        <is>
          <t>VÄSTRA GÖTALANDS LÄN</t>
        </is>
      </c>
      <c r="G188" t="inlineStr">
        <is>
          <t>BORÅS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45836</v>
      </c>
      <c r="E189" s="1" t="n">
        <v>46304</v>
      </c>
      <c r="F189" t="inlineStr">
        <is>
          <t>VÄSTRA GÖTALANDS LÄN</t>
        </is>
      </c>
      <c r="G189" t="inlineStr">
        <is>
          <t>BORÅS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46304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45836</v>
      </c>
      <c r="E191" s="1" t="n">
        <v>46304</v>
      </c>
      <c r="F191" t="inlineStr">
        <is>
          <t>VÄSTRA GÖTALANDS LÄN</t>
        </is>
      </c>
      <c r="G191" t="inlineStr">
        <is>
          <t>BORÅS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46304</v>
      </c>
      <c r="F192" t="inlineStr">
        <is>
          <t>VÄSTRA GÖTALANDS LÄN</t>
        </is>
      </c>
      <c r="G192" t="inlineStr">
        <is>
          <t>BORÅS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45120</v>
      </c>
      <c r="E193" s="1" t="n">
        <v>46304</v>
      </c>
      <c r="F193" t="inlineStr">
        <is>
          <t>VÄSTRA GÖTALANDS LÄN</t>
        </is>
      </c>
      <c r="G193" t="inlineStr">
        <is>
          <t>BORÅS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32482-2023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45120</v>
      </c>
      <c r="E194" s="1" t="n">
        <v>46304</v>
      </c>
      <c r="F194" t="inlineStr">
        <is>
          <t>VÄSTRA GÖTALANDS LÄN</t>
        </is>
      </c>
      <c r="G194" t="inlineStr">
        <is>
          <t>BORÅS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46304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Kyrkan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45194</v>
      </c>
      <c r="E196" s="1" t="n">
        <v>46304</v>
      </c>
      <c r="F196" t="inlineStr">
        <is>
          <t>VÄSTRA GÖTALANDS LÄN</t>
        </is>
      </c>
      <c r="G196" t="inlineStr">
        <is>
          <t>BORÅS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46304</v>
      </c>
      <c r="F197" t="inlineStr">
        <is>
          <t>VÄSTRA GÖTALANDS LÄN</t>
        </is>
      </c>
      <c r="G197" t="inlineStr">
        <is>
          <t>BORÅS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45392</v>
      </c>
      <c r="E198" s="1" t="n">
        <v>46304</v>
      </c>
      <c r="F198" t="inlineStr">
        <is>
          <t>VÄSTRA GÖTALANDS LÄN</t>
        </is>
      </c>
      <c r="G198" t="inlineStr">
        <is>
          <t>BORÅS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46304</v>
      </c>
      <c r="F199" t="inlineStr">
        <is>
          <t>VÄSTRA GÖTALANDS LÄN</t>
        </is>
      </c>
      <c r="G199" t="inlineStr">
        <is>
          <t>BORÅS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45412</v>
      </c>
      <c r="E200" s="1" t="n">
        <v>46304</v>
      </c>
      <c r="F200" t="inlineStr">
        <is>
          <t>VÄSTRA GÖTALANDS LÄN</t>
        </is>
      </c>
      <c r="G200" t="inlineStr">
        <is>
          <t>BORÅS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46304</v>
      </c>
      <c r="F201" t="inlineStr">
        <is>
          <t>VÄSTRA GÖTALANDS LÄN</t>
        </is>
      </c>
      <c r="G201" t="inlineStr">
        <is>
          <t>BORÅS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46304</v>
      </c>
      <c r="F202" t="inlineStr">
        <is>
          <t>VÄSTRA GÖTALANDS LÄN</t>
        </is>
      </c>
      <c r="G202" t="inlineStr">
        <is>
          <t>BORÅS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46304</v>
      </c>
      <c r="F203" t="inlineStr">
        <is>
          <t>VÄSTRA GÖTALANDS LÄN</t>
        </is>
      </c>
      <c r="G203" t="inlineStr">
        <is>
          <t>BORÅS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46304</v>
      </c>
      <c r="F204" t="inlineStr">
        <is>
          <t>VÄSTRA GÖTALANDS LÄN</t>
        </is>
      </c>
      <c r="G204" t="inlineStr">
        <is>
          <t>BORÅS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56684-2022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44888</v>
      </c>
      <c r="E205" s="1" t="n">
        <v>46304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Kyrkan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45120</v>
      </c>
      <c r="E206" s="1" t="n">
        <v>46304</v>
      </c>
      <c r="F206" t="inlineStr">
        <is>
          <t>VÄSTRA GÖTALANDS LÄN</t>
        </is>
      </c>
      <c r="G206" t="inlineStr">
        <is>
          <t>BORÅS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45120</v>
      </c>
      <c r="E207" s="1" t="n">
        <v>46304</v>
      </c>
      <c r="F207" t="inlineStr">
        <is>
          <t>VÄSTRA GÖTALANDS LÄN</t>
        </is>
      </c>
      <c r="G207" t="inlineStr">
        <is>
          <t>BORÅS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46304</v>
      </c>
      <c r="F208" t="inlineStr">
        <is>
          <t>VÄSTRA GÖTALANDS LÄN</t>
        </is>
      </c>
      <c r="G208" t="inlineStr">
        <is>
          <t>BORÅS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46304</v>
      </c>
      <c r="F209" t="inlineStr">
        <is>
          <t>VÄSTRA GÖTALANDS LÄN</t>
        </is>
      </c>
      <c r="G209" t="inlineStr">
        <is>
          <t>BORÅS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46304</v>
      </c>
      <c r="F210" t="inlineStr">
        <is>
          <t>VÄSTRA GÖTALANDS LÄN</t>
        </is>
      </c>
      <c r="G210" t="inlineStr">
        <is>
          <t>BORÅS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46304</v>
      </c>
      <c r="F211" t="inlineStr">
        <is>
          <t>VÄSTRA GÖTALANDS LÄN</t>
        </is>
      </c>
      <c r="G211" t="inlineStr">
        <is>
          <t>BORÅS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46304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46304</v>
      </c>
      <c r="F213" t="inlineStr">
        <is>
          <t>VÄSTRA GÖTALANDS LÄN</t>
        </is>
      </c>
      <c r="G213" t="inlineStr">
        <is>
          <t>BORÅS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46304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46304</v>
      </c>
      <c r="F215" t="inlineStr">
        <is>
          <t>VÄSTRA GÖTALANDS LÄN</t>
        </is>
      </c>
      <c r="G215" t="inlineStr">
        <is>
          <t>BORÅS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46304</v>
      </c>
      <c r="F216" t="inlineStr">
        <is>
          <t>VÄSTRA GÖTALANDS LÄN</t>
        </is>
      </c>
      <c r="G216" t="inlineStr">
        <is>
          <t>BORÅS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46304</v>
      </c>
      <c r="F217" t="inlineStr">
        <is>
          <t>VÄSTRA GÖTALANDS LÄN</t>
        </is>
      </c>
      <c r="G217" t="inlineStr">
        <is>
          <t>BORÅS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46304</v>
      </c>
      <c r="F218" t="inlineStr">
        <is>
          <t>VÄSTRA GÖTALANDS LÄN</t>
        </is>
      </c>
      <c r="G218" t="inlineStr">
        <is>
          <t>BORÅS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46304</v>
      </c>
      <c r="F219" t="inlineStr">
        <is>
          <t>VÄSTRA GÖTALANDS LÄN</t>
        </is>
      </c>
      <c r="G219" t="inlineStr">
        <is>
          <t>BORÅS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46304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46304</v>
      </c>
      <c r="F221" t="inlineStr">
        <is>
          <t>VÄSTRA GÖTALANDS LÄN</t>
        </is>
      </c>
      <c r="G221" t="inlineStr">
        <is>
          <t>BORÅS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46304</v>
      </c>
      <c r="F222" t="inlineStr">
        <is>
          <t>VÄSTRA GÖTALANDS LÄN</t>
        </is>
      </c>
      <c r="G222" t="inlineStr">
        <is>
          <t>BORÅS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45612</v>
      </c>
      <c r="E223" s="1" t="n">
        <v>46304</v>
      </c>
      <c r="F223" t="inlineStr">
        <is>
          <t>VÄSTRA GÖTALANDS LÄN</t>
        </is>
      </c>
      <c r="G223" t="inlineStr">
        <is>
          <t>BORÅS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12635-2026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46091</v>
      </c>
      <c r="E224" s="1" t="n">
        <v>46304</v>
      </c>
      <c r="F224" t="inlineStr">
        <is>
          <t>VÄSTRA GÖTALANDS LÄN</t>
        </is>
      </c>
      <c r="G224" t="inlineStr">
        <is>
          <t>BORÅS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46304</v>
      </c>
      <c r="F225" t="inlineStr">
        <is>
          <t>VÄSTRA GÖTALANDS LÄN</t>
        </is>
      </c>
      <c r="G225" t="inlineStr">
        <is>
          <t>BORÅS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46304</v>
      </c>
      <c r="F226" t="inlineStr">
        <is>
          <t>VÄSTRA GÖTALANDS LÄN</t>
        </is>
      </c>
      <c r="G226" t="inlineStr">
        <is>
          <t>BORÅS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46304</v>
      </c>
      <c r="F227" t="inlineStr">
        <is>
          <t>VÄSTRA GÖTALANDS LÄN</t>
        </is>
      </c>
      <c r="G227" t="inlineStr">
        <is>
          <t>BORÅS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46304</v>
      </c>
      <c r="F228" t="inlineStr">
        <is>
          <t>VÄSTRA GÖTALANDS LÄN</t>
        </is>
      </c>
      <c r="G228" t="inlineStr">
        <is>
          <t>BORÅS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45264</v>
      </c>
      <c r="E229" s="1" t="n">
        <v>46304</v>
      </c>
      <c r="F229" t="inlineStr">
        <is>
          <t>VÄSTRA GÖTALANDS LÄN</t>
        </is>
      </c>
      <c r="G229" t="inlineStr">
        <is>
          <t>BORÅS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46304</v>
      </c>
      <c r="F230" t="inlineStr">
        <is>
          <t>VÄSTRA GÖTALANDS LÄN</t>
        </is>
      </c>
      <c r="G230" t="inlineStr">
        <is>
          <t>BORÅS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46304</v>
      </c>
      <c r="F231" t="inlineStr">
        <is>
          <t>VÄSTRA GÖTALANDS LÄN</t>
        </is>
      </c>
      <c r="G231" t="inlineStr">
        <is>
          <t>BORÅS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42928-2025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46304</v>
      </c>
      <c r="F232" t="inlineStr">
        <is>
          <t>VÄSTRA GÖTALANDS LÄN</t>
        </is>
      </c>
      <c r="G232" t="inlineStr">
        <is>
          <t>BORÅS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46304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46304</v>
      </c>
      <c r="F234" t="inlineStr">
        <is>
          <t>VÄSTRA GÖTALANDS LÄN</t>
        </is>
      </c>
      <c r="G234" t="inlineStr">
        <is>
          <t>BORÅS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46097</v>
      </c>
      <c r="E235" s="1" t="n">
        <v>46304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14230-2026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46099</v>
      </c>
      <c r="E236" s="1" t="n">
        <v>46304</v>
      </c>
      <c r="F236" t="inlineStr">
        <is>
          <t>VÄSTRA GÖTALANDS LÄN</t>
        </is>
      </c>
      <c r="G236" t="inlineStr">
        <is>
          <t>BORÅS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50382-2022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44866</v>
      </c>
      <c r="E237" s="1" t="n">
        <v>46304</v>
      </c>
      <c r="F237" t="inlineStr">
        <is>
          <t>VÄSTRA GÖTALANDS LÄN</t>
        </is>
      </c>
      <c r="G237" t="inlineStr">
        <is>
          <t>BORÅS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44886</v>
      </c>
      <c r="E238" s="1" t="n">
        <v>46304</v>
      </c>
      <c r="F238" t="inlineStr">
        <is>
          <t>VÄSTRA GÖTALANDS LÄN</t>
        </is>
      </c>
      <c r="G238" t="inlineStr">
        <is>
          <t>BORÅS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46304</v>
      </c>
      <c r="F239" t="inlineStr">
        <is>
          <t>VÄSTRA GÖTALANDS LÄN</t>
        </is>
      </c>
      <c r="G239" t="inlineStr">
        <is>
          <t>BORÅS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46304</v>
      </c>
      <c r="F240" t="inlineStr">
        <is>
          <t>VÄSTRA GÖTALANDS LÄN</t>
        </is>
      </c>
      <c r="G240" t="inlineStr">
        <is>
          <t>BORÅS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46304</v>
      </c>
      <c r="F241" t="inlineStr">
        <is>
          <t>VÄSTRA GÖTALANDS LÄN</t>
        </is>
      </c>
      <c r="G241" t="inlineStr">
        <is>
          <t>BORÅS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54871-2022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44886</v>
      </c>
      <c r="E242" s="1" t="n">
        <v>46304</v>
      </c>
      <c r="F242" t="inlineStr">
        <is>
          <t>VÄSTRA GÖTALANDS LÄN</t>
        </is>
      </c>
      <c r="G242" t="inlineStr">
        <is>
          <t>BORÅS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46304</v>
      </c>
      <c r="F243" t="inlineStr">
        <is>
          <t>VÄSTRA GÖTALANDS LÄN</t>
        </is>
      </c>
      <c r="G243" t="inlineStr">
        <is>
          <t>BORÅS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46304</v>
      </c>
      <c r="F244" t="inlineStr">
        <is>
          <t>VÄSTRA GÖTALANDS LÄN</t>
        </is>
      </c>
      <c r="G244" t="inlineStr">
        <is>
          <t>BORÅS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46304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44854</v>
      </c>
      <c r="E246" s="1" t="n">
        <v>46304</v>
      </c>
      <c r="F246" t="inlineStr">
        <is>
          <t>VÄSTRA GÖTALANDS LÄN</t>
        </is>
      </c>
      <c r="G246" t="inlineStr">
        <is>
          <t>BORÅS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46304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46304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Kommuner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46304</v>
      </c>
      <c r="F249" t="inlineStr">
        <is>
          <t>VÄSTRA GÖTALANDS LÄN</t>
        </is>
      </c>
      <c r="G249" t="inlineStr">
        <is>
          <t>BORÅS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31940-2024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45510</v>
      </c>
      <c r="E250" s="1" t="n">
        <v>46304</v>
      </c>
      <c r="F250" t="inlineStr">
        <is>
          <t>VÄSTRA GÖTALANDS LÄN</t>
        </is>
      </c>
      <c r="G250" t="inlineStr">
        <is>
          <t>BORÅS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46304</v>
      </c>
      <c r="F251" t="inlineStr">
        <is>
          <t>VÄSTRA GÖTALANDS LÄN</t>
        </is>
      </c>
      <c r="G251" t="inlineStr">
        <is>
          <t>BORÅS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72806-2021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44547</v>
      </c>
      <c r="E252" s="1" t="n">
        <v>46304</v>
      </c>
      <c r="F252" t="inlineStr">
        <is>
          <t>VÄSTRA GÖTALANDS LÄN</t>
        </is>
      </c>
      <c r="G252" t="inlineStr">
        <is>
          <t>BORÅS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46304</v>
      </c>
      <c r="F253" t="inlineStr">
        <is>
          <t>VÄSTRA GÖTALANDS LÄN</t>
        </is>
      </c>
      <c r="G253" t="inlineStr">
        <is>
          <t>BORÅS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46304</v>
      </c>
      <c r="F254" t="inlineStr">
        <is>
          <t>VÄSTRA GÖTALANDS LÄN</t>
        </is>
      </c>
      <c r="G254" t="inlineStr">
        <is>
          <t>BORÅS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45104</v>
      </c>
      <c r="E255" s="1" t="n">
        <v>46304</v>
      </c>
      <c r="F255" t="inlineStr">
        <is>
          <t>VÄSTRA GÖTALANDS LÄN</t>
        </is>
      </c>
      <c r="G255" t="inlineStr">
        <is>
          <t>BORÅS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46304</v>
      </c>
      <c r="F256" t="inlineStr">
        <is>
          <t>VÄSTRA GÖTALANDS LÄN</t>
        </is>
      </c>
      <c r="G256" t="inlineStr">
        <is>
          <t>BORÅS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44630</v>
      </c>
      <c r="E257" s="1" t="n">
        <v>46304</v>
      </c>
      <c r="F257" t="inlineStr">
        <is>
          <t>VÄSTRA GÖTALANDS LÄN</t>
        </is>
      </c>
      <c r="G257" t="inlineStr">
        <is>
          <t>BORÅS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46426-2023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46304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46304</v>
      </c>
      <c r="F259" t="inlineStr">
        <is>
          <t>VÄSTRA GÖTALANDS LÄN</t>
        </is>
      </c>
      <c r="G259" t="inlineStr">
        <is>
          <t>BORÅS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13107-2022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44644</v>
      </c>
      <c r="E260" s="1" t="n">
        <v>46304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15193-2026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46105</v>
      </c>
      <c r="E261" s="1" t="n">
        <v>46304</v>
      </c>
      <c r="F261" t="inlineStr">
        <is>
          <t>VÄSTRA GÖTALANDS LÄN</t>
        </is>
      </c>
      <c r="G261" t="inlineStr">
        <is>
          <t>BORÅS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46304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46304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46304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46304</v>
      </c>
      <c r="F265" t="inlineStr">
        <is>
          <t>VÄSTRA GÖTALANDS LÄN</t>
        </is>
      </c>
      <c r="G265" t="inlineStr">
        <is>
          <t>BORÅS</t>
        </is>
      </c>
      <c r="H265" t="inlineStr">
        <is>
          <t>Kommuner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45196</v>
      </c>
      <c r="E266" s="1" t="n">
        <v>46304</v>
      </c>
      <c r="F266" t="inlineStr">
        <is>
          <t>VÄSTRA GÖTALANDS LÄN</t>
        </is>
      </c>
      <c r="G266" t="inlineStr">
        <is>
          <t>BORÅS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14783-2022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44656</v>
      </c>
      <c r="E267" s="1" t="n">
        <v>46304</v>
      </c>
      <c r="F267" t="inlineStr">
        <is>
          <t>VÄSTRA GÖTALANDS LÄN</t>
        </is>
      </c>
      <c r="G267" t="inlineStr">
        <is>
          <t>BORÅS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46304</v>
      </c>
      <c r="F268" t="inlineStr">
        <is>
          <t>VÄSTRA GÖTALANDS LÄN</t>
        </is>
      </c>
      <c r="G268" t="inlineStr">
        <is>
          <t>BORÅS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45316</v>
      </c>
      <c r="E269" s="1" t="n">
        <v>46304</v>
      </c>
      <c r="F269" t="inlineStr">
        <is>
          <t>VÄSTRA GÖTALANDS LÄN</t>
        </is>
      </c>
      <c r="G269" t="inlineStr">
        <is>
          <t>BORÅS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46304</v>
      </c>
      <c r="F270" t="inlineStr">
        <is>
          <t>VÄSTRA GÖTALANDS LÄN</t>
        </is>
      </c>
      <c r="G270" t="inlineStr">
        <is>
          <t>BORÅS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47262-2023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46304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46304</v>
      </c>
      <c r="F272" t="inlineStr">
        <is>
          <t>VÄSTRA GÖTALANDS LÄN</t>
        </is>
      </c>
      <c r="G272" t="inlineStr">
        <is>
          <t>BORÅS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24183-2024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45456</v>
      </c>
      <c r="E273" s="1" t="n">
        <v>46304</v>
      </c>
      <c r="F273" t="inlineStr">
        <is>
          <t>VÄSTRA GÖTALANDS LÄN</t>
        </is>
      </c>
      <c r="G273" t="inlineStr">
        <is>
          <t>BORÅS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46304</v>
      </c>
      <c r="F274" t="inlineStr">
        <is>
          <t>VÄSTRA GÖTALANDS LÄN</t>
        </is>
      </c>
      <c r="G274" t="inlineStr">
        <is>
          <t>BORÅS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45483</v>
      </c>
      <c r="E275" s="1" t="n">
        <v>46304</v>
      </c>
      <c r="F275" t="inlineStr">
        <is>
          <t>VÄSTRA GÖTALANDS LÄN</t>
        </is>
      </c>
      <c r="G275" t="inlineStr">
        <is>
          <t>BORÅS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45483</v>
      </c>
      <c r="E276" s="1" t="n">
        <v>46304</v>
      </c>
      <c r="F276" t="inlineStr">
        <is>
          <t>VÄSTRA GÖTALANDS LÄN</t>
        </is>
      </c>
      <c r="G276" t="inlineStr">
        <is>
          <t>BORÅS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46304</v>
      </c>
      <c r="F277" t="inlineStr">
        <is>
          <t>VÄSTRA GÖTALANDS LÄN</t>
        </is>
      </c>
      <c r="G277" t="inlineStr">
        <is>
          <t>BORÅS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44571</v>
      </c>
      <c r="E278" s="1" t="n">
        <v>46304</v>
      </c>
      <c r="F278" t="inlineStr">
        <is>
          <t>VÄSTRA GÖTALANDS LÄN</t>
        </is>
      </c>
      <c r="G278" t="inlineStr">
        <is>
          <t>BORÅS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46304</v>
      </c>
      <c r="F279" t="inlineStr">
        <is>
          <t>VÄSTRA GÖTALANDS LÄN</t>
        </is>
      </c>
      <c r="G279" t="inlineStr">
        <is>
          <t>BORÅS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46304</v>
      </c>
      <c r="F280" t="inlineStr">
        <is>
          <t>VÄSTRA GÖTALANDS LÄN</t>
        </is>
      </c>
      <c r="G280" t="inlineStr">
        <is>
          <t>BORÅS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46304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46304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46304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46304</v>
      </c>
      <c r="F284" t="inlineStr">
        <is>
          <t>VÄSTRA GÖTALANDS LÄN</t>
        </is>
      </c>
      <c r="G284" t="inlineStr">
        <is>
          <t>BORÅS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45343</v>
      </c>
      <c r="E285" s="1" t="n">
        <v>46304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46304</v>
      </c>
      <c r="F286" t="inlineStr">
        <is>
          <t>VÄSTRA GÖTALANDS LÄN</t>
        </is>
      </c>
      <c r="G286" t="inlineStr">
        <is>
          <t>BORÅS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46304</v>
      </c>
      <c r="F287" t="inlineStr">
        <is>
          <t>VÄSTRA GÖTALANDS LÄN</t>
        </is>
      </c>
      <c r="G287" t="inlineStr">
        <is>
          <t>BORÅS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45947</v>
      </c>
      <c r="E288" s="1" t="n">
        <v>46304</v>
      </c>
      <c r="F288" t="inlineStr">
        <is>
          <t>VÄSTRA GÖTALANDS LÄN</t>
        </is>
      </c>
      <c r="G288" t="inlineStr">
        <is>
          <t>BORÅS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44964</v>
      </c>
      <c r="E289" s="1" t="n">
        <v>46304</v>
      </c>
      <c r="F289" t="inlineStr">
        <is>
          <t>VÄSTRA GÖTALANDS LÄN</t>
        </is>
      </c>
      <c r="G289" t="inlineStr">
        <is>
          <t>BORÅS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46304</v>
      </c>
      <c r="F290" t="inlineStr">
        <is>
          <t>VÄSTRA GÖTALANDS LÄN</t>
        </is>
      </c>
      <c r="G290" t="inlineStr">
        <is>
          <t>BORÅS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48358-2023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45205</v>
      </c>
      <c r="E291" s="1" t="n">
        <v>46304</v>
      </c>
      <c r="F291" t="inlineStr">
        <is>
          <t>VÄSTRA GÖTALANDS LÄN</t>
        </is>
      </c>
      <c r="G291" t="inlineStr">
        <is>
          <t>BORÅS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17234-2026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46119</v>
      </c>
      <c r="E292" s="1" t="n">
        <v>46304</v>
      </c>
      <c r="F292" t="inlineStr">
        <is>
          <t>VÄSTRA GÖTALANDS LÄN</t>
        </is>
      </c>
      <c r="G292" t="inlineStr">
        <is>
          <t>BORÅS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46304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46304</v>
      </c>
      <c r="F294" t="inlineStr">
        <is>
          <t>VÄSTRA GÖTALANDS LÄN</t>
        </is>
      </c>
      <c r="G294" t="inlineStr">
        <is>
          <t>BORÅS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46304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46304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45961</v>
      </c>
      <c r="E297" s="1" t="n">
        <v>46304</v>
      </c>
      <c r="F297" t="inlineStr">
        <is>
          <t>VÄSTRA GÖTALANDS LÄN</t>
        </is>
      </c>
      <c r="G297" t="inlineStr">
        <is>
          <t>BORÅS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45301</v>
      </c>
      <c r="E298" s="1" t="n">
        <v>46304</v>
      </c>
      <c r="F298" t="inlineStr">
        <is>
          <t>VÄSTRA GÖTALANDS LÄN</t>
        </is>
      </c>
      <c r="G298" t="inlineStr">
        <is>
          <t>BORÅS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46304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46304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45308</v>
      </c>
      <c r="E301" s="1" t="n">
        <v>46304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Kommuner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45685</v>
      </c>
      <c r="E302" s="1" t="n">
        <v>46304</v>
      </c>
      <c r="F302" t="inlineStr">
        <is>
          <t>VÄSTRA GÖTALANDS LÄN</t>
        </is>
      </c>
      <c r="G302" t="inlineStr">
        <is>
          <t>BORÅS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46304</v>
      </c>
      <c r="F303" t="inlineStr">
        <is>
          <t>VÄSTRA GÖTALANDS LÄN</t>
        </is>
      </c>
      <c r="G303" t="inlineStr">
        <is>
          <t>BORÅS</t>
        </is>
      </c>
      <c r="I303" t="n">
        <v>9.199999999999999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56376-2025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46304</v>
      </c>
      <c r="F304" t="inlineStr">
        <is>
          <t>VÄSTRA GÖTALANDS LÄN</t>
        </is>
      </c>
      <c r="G304" t="inlineStr">
        <is>
          <t>BORÅS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45053</v>
      </c>
      <c r="E305" s="1" t="n">
        <v>46304</v>
      </c>
      <c r="F305" t="inlineStr">
        <is>
          <t>VÄSTRA GÖTALANDS LÄN</t>
        </is>
      </c>
      <c r="G305" t="inlineStr">
        <is>
          <t>BORÅS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48886-2022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44859</v>
      </c>
      <c r="E306" s="1" t="n">
        <v>46304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46574-2022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44848</v>
      </c>
      <c r="E307" s="1" t="n">
        <v>46304</v>
      </c>
      <c r="F307" t="inlineStr">
        <is>
          <t>VÄSTRA GÖTALANDS LÄN</t>
        </is>
      </c>
      <c r="G307" t="inlineStr">
        <is>
          <t>BORÅS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46304</v>
      </c>
      <c r="F308" t="inlineStr">
        <is>
          <t>VÄSTRA GÖTALANDS LÄN</t>
        </is>
      </c>
      <c r="G308" t="inlineStr">
        <is>
          <t>BORÅS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19112-2026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46304</v>
      </c>
      <c r="F309" t="inlineStr">
        <is>
          <t>VÄSTRA GÖTALANDS LÄN</t>
        </is>
      </c>
      <c r="G309" t="inlineStr">
        <is>
          <t>BORÅS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45982</v>
      </c>
      <c r="E310" s="1" t="n">
        <v>46304</v>
      </c>
      <c r="F310" t="inlineStr">
        <is>
          <t>VÄSTRA GÖTALANDS LÄN</t>
        </is>
      </c>
      <c r="G310" t="inlineStr">
        <is>
          <t>BORÅS</t>
        </is>
      </c>
      <c r="H310" t="inlineStr">
        <is>
          <t>Kommuner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46304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Kommuner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46304</v>
      </c>
      <c r="F312" t="inlineStr">
        <is>
          <t>VÄSTRA GÖTALANDS LÄN</t>
        </is>
      </c>
      <c r="G312" t="inlineStr">
        <is>
          <t>BORÅS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45982</v>
      </c>
      <c r="E313" s="1" t="n">
        <v>46304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  <c r="X313">
        <f>HYPERLINK("https://klasma.github.io/Logging_1490/kartor/A 58304-2025 karta.png", "A 58304-2025")</f>
        <v/>
      </c>
      <c r="Y313">
        <f>HYPERLINK("https://klasma.github.io/Logging_1490/kartor_geotiff/A 58304-2025 georefererad karta.tif", "A 58304-2025")</f>
        <v/>
      </c>
      <c r="AA313">
        <f>HYPERLINK("https://klasma.github.io/Logging_1490/klagomål/A 58304-2025 FSC-klagomål.docx", "A 58304-2025")</f>
        <v/>
      </c>
      <c r="AB313">
        <f>HYPERLINK("https://klasma.github.io/Logging_1490/klagomålsmail/A 58304-2025 FSC-klagomål mail.docx", "A 58304-2025")</f>
        <v/>
      </c>
      <c r="AC313">
        <f>HYPERLINK("https://klasma.github.io/Logging_1490/tillsyn/A 58304-2025 tillsynsbegäran.docx", "A 58304-2025")</f>
        <v/>
      </c>
      <c r="AD313">
        <f>HYPERLINK("https://klasma.github.io/Logging_1490/tillsynsmail/A 58304-2025 tillsynsbegäran mail.docx", "A 58304-2025")</f>
        <v/>
      </c>
    </row>
    <row r="314" ht="15" customHeight="1">
      <c r="A314" t="inlineStr">
        <is>
          <t>A 4617-2022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44592</v>
      </c>
      <c r="E314" s="1" t="n">
        <v>46304</v>
      </c>
      <c r="F314" t="inlineStr">
        <is>
          <t>VÄSTRA GÖTALANDS LÄN</t>
        </is>
      </c>
      <c r="G314" t="inlineStr">
        <is>
          <t>BORÅS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45315</v>
      </c>
      <c r="E315" s="1" t="n">
        <v>46304</v>
      </c>
      <c r="F315" t="inlineStr">
        <is>
          <t>VÄSTRA GÖTALANDS LÄN</t>
        </is>
      </c>
      <c r="G315" t="inlineStr">
        <is>
          <t>BORÅS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45989</v>
      </c>
      <c r="E316" s="1" t="n">
        <v>46304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Kyrkan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57365-2022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44896</v>
      </c>
      <c r="E317" s="1" t="n">
        <v>46304</v>
      </c>
      <c r="F317" t="inlineStr">
        <is>
          <t>VÄSTRA GÖTALANDS LÄN</t>
        </is>
      </c>
      <c r="G317" t="inlineStr">
        <is>
          <t>BORÅS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46304</v>
      </c>
      <c r="F318" t="inlineStr">
        <is>
          <t>VÄSTRA GÖTALANDS LÄN</t>
        </is>
      </c>
      <c r="G318" t="inlineStr">
        <is>
          <t>BORÅS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46304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45085</v>
      </c>
      <c r="E320" s="1" t="n">
        <v>46304</v>
      </c>
      <c r="F320" t="inlineStr">
        <is>
          <t>VÄSTRA GÖTALANDS LÄN</t>
        </is>
      </c>
      <c r="G320" t="inlineStr">
        <is>
          <t>BORÅS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27334-2024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45472</v>
      </c>
      <c r="E321" s="1" t="n">
        <v>46304</v>
      </c>
      <c r="F321" t="inlineStr">
        <is>
          <t>VÄSTRA GÖTALANDS LÄN</t>
        </is>
      </c>
      <c r="G321" t="inlineStr">
        <is>
          <t>BORÅS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46304</v>
      </c>
      <c r="F322" t="inlineStr">
        <is>
          <t>VÄSTRA GÖTALANDS LÄN</t>
        </is>
      </c>
      <c r="G322" t="inlineStr">
        <is>
          <t>BORÅS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46304</v>
      </c>
      <c r="F323" t="inlineStr">
        <is>
          <t>VÄSTRA GÖTALANDS LÄN</t>
        </is>
      </c>
      <c r="G323" t="inlineStr">
        <is>
          <t>BORÅS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46304</v>
      </c>
      <c r="F324" t="inlineStr">
        <is>
          <t>VÄSTRA GÖTALANDS LÄN</t>
        </is>
      </c>
      <c r="G324" t="inlineStr">
        <is>
          <t>BORÅS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46304</v>
      </c>
      <c r="F325" t="inlineStr">
        <is>
          <t>VÄSTRA GÖTALANDS LÄN</t>
        </is>
      </c>
      <c r="G325" t="inlineStr">
        <is>
          <t>BORÅS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46304</v>
      </c>
      <c r="F326" t="inlineStr">
        <is>
          <t>VÄSTRA GÖTALANDS LÄN</t>
        </is>
      </c>
      <c r="G326" t="inlineStr">
        <is>
          <t>BORÅS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45996</v>
      </c>
      <c r="E327" s="1" t="n">
        <v>46304</v>
      </c>
      <c r="F327" t="inlineStr">
        <is>
          <t>VÄSTRA GÖTALANDS LÄN</t>
        </is>
      </c>
      <c r="G327" t="inlineStr">
        <is>
          <t>BORÅS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70988-2021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44538</v>
      </c>
      <c r="E328" s="1" t="n">
        <v>46304</v>
      </c>
      <c r="F328" t="inlineStr">
        <is>
          <t>VÄSTRA GÖTALANDS LÄN</t>
        </is>
      </c>
      <c r="G328" t="inlineStr">
        <is>
          <t>BORÅS</t>
        </is>
      </c>
      <c r="H328" t="inlineStr">
        <is>
          <t>Kommuner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46304</v>
      </c>
      <c r="F329" t="inlineStr">
        <is>
          <t>VÄSTRA GÖTALANDS LÄN</t>
        </is>
      </c>
      <c r="G329" t="inlineStr">
        <is>
          <t>BORÅS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45863</v>
      </c>
      <c r="E330" s="1" t="n">
        <v>46304</v>
      </c>
      <c r="F330" t="inlineStr">
        <is>
          <t>VÄSTRA GÖTALANDS LÄN</t>
        </is>
      </c>
      <c r="G330" t="inlineStr">
        <is>
          <t>BORÅS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45546</v>
      </c>
      <c r="E331" s="1" t="n">
        <v>46304</v>
      </c>
      <c r="F331" t="inlineStr">
        <is>
          <t>VÄSTRA GÖTALANDS LÄN</t>
        </is>
      </c>
      <c r="G331" t="inlineStr">
        <is>
          <t>BORÅS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45870</v>
      </c>
      <c r="E332" s="1" t="n">
        <v>46304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45453</v>
      </c>
      <c r="E333" s="1" t="n">
        <v>46304</v>
      </c>
      <c r="F333" t="inlineStr">
        <is>
          <t>VÄSTRA GÖTALANDS LÄN</t>
        </is>
      </c>
      <c r="G333" t="inlineStr">
        <is>
          <t>BORÅS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46304</v>
      </c>
      <c r="F334" t="inlineStr">
        <is>
          <t>VÄSTRA GÖTALANDS LÄN</t>
        </is>
      </c>
      <c r="G334" t="inlineStr">
        <is>
          <t>BORÅS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46304</v>
      </c>
      <c r="F335" t="inlineStr">
        <is>
          <t>VÄSTRA GÖTALANDS LÄN</t>
        </is>
      </c>
      <c r="G335" t="inlineStr">
        <is>
          <t>BORÅS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46304</v>
      </c>
      <c r="F336" t="inlineStr">
        <is>
          <t>VÄSTRA GÖTALANDS LÄN</t>
        </is>
      </c>
      <c r="G336" t="inlineStr">
        <is>
          <t>BORÅS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21739-2026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46147</v>
      </c>
      <c r="E337" s="1" t="n">
        <v>46304</v>
      </c>
      <c r="F337" t="inlineStr">
        <is>
          <t>VÄSTRA GÖTALANDS LÄN</t>
        </is>
      </c>
      <c r="G337" t="inlineStr">
        <is>
          <t>BORÅS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46304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52410-2023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45224</v>
      </c>
      <c r="E339" s="1" t="n">
        <v>46304</v>
      </c>
      <c r="F339" t="inlineStr">
        <is>
          <t>VÄSTRA GÖTALANDS LÄN</t>
        </is>
      </c>
      <c r="G339" t="inlineStr">
        <is>
          <t>BORÅS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45762</v>
      </c>
      <c r="E340" s="1" t="n">
        <v>46304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45688</v>
      </c>
      <c r="E341" s="1" t="n">
        <v>46304</v>
      </c>
      <c r="F341" t="inlineStr">
        <is>
          <t>VÄSTRA GÖTALANDS LÄN</t>
        </is>
      </c>
      <c r="G341" t="inlineStr">
        <is>
          <t>BORÅS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46304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45688</v>
      </c>
      <c r="E343" s="1" t="n">
        <v>46304</v>
      </c>
      <c r="F343" t="inlineStr">
        <is>
          <t>VÄSTRA GÖTALANDS LÄN</t>
        </is>
      </c>
      <c r="G343" t="inlineStr">
        <is>
          <t>BORÅS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45688</v>
      </c>
      <c r="E344" s="1" t="n">
        <v>46304</v>
      </c>
      <c r="F344" t="inlineStr">
        <is>
          <t>VÄSTRA GÖTALANDS LÄN</t>
        </is>
      </c>
      <c r="G344" t="inlineStr">
        <is>
          <t>BORÅS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46304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46304</v>
      </c>
      <c r="F346" t="inlineStr">
        <is>
          <t>VÄSTRA GÖTALANDS LÄN</t>
        </is>
      </c>
      <c r="G346" t="inlineStr">
        <is>
          <t>BORÅS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46304</v>
      </c>
      <c r="F347" t="inlineStr">
        <is>
          <t>VÄSTRA GÖTALANDS LÄN</t>
        </is>
      </c>
      <c r="G347" t="inlineStr">
        <is>
          <t>BORÅS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46304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45699</v>
      </c>
      <c r="E349" s="1" t="n">
        <v>46304</v>
      </c>
      <c r="F349" t="inlineStr">
        <is>
          <t>VÄSTRA GÖTALANDS LÄN</t>
        </is>
      </c>
      <c r="G349" t="inlineStr">
        <is>
          <t>BORÅS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46304</v>
      </c>
      <c r="F350" t="inlineStr">
        <is>
          <t>VÄSTRA GÖTALANDS LÄN</t>
        </is>
      </c>
      <c r="G350" t="inlineStr">
        <is>
          <t>BORÅS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57419-2024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45629</v>
      </c>
      <c r="E351" s="1" t="n">
        <v>46304</v>
      </c>
      <c r="F351" t="inlineStr">
        <is>
          <t>VÄSTRA GÖTALANDS LÄN</t>
        </is>
      </c>
      <c r="G351" t="inlineStr">
        <is>
          <t>BORÅS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46304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46304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32234-2023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45119</v>
      </c>
      <c r="E354" s="1" t="n">
        <v>46304</v>
      </c>
      <c r="F354" t="inlineStr">
        <is>
          <t>VÄSTRA GÖTALANDS LÄN</t>
        </is>
      </c>
      <c r="G354" t="inlineStr">
        <is>
          <t>BORÅS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46304</v>
      </c>
      <c r="F355" t="inlineStr">
        <is>
          <t>VÄSTRA GÖTALANDS LÄN</t>
        </is>
      </c>
      <c r="G355" t="inlineStr">
        <is>
          <t>BORÅS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46304</v>
      </c>
      <c r="F356" t="inlineStr">
        <is>
          <t>VÄSTRA GÖTALANDS LÄN</t>
        </is>
      </c>
      <c r="G356" t="inlineStr">
        <is>
          <t>BORÅS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51160-2024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46304</v>
      </c>
      <c r="F357" t="inlineStr">
        <is>
          <t>VÄSTRA GÖTALANDS LÄN</t>
        </is>
      </c>
      <c r="G357" t="inlineStr">
        <is>
          <t>BORÅS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46304</v>
      </c>
      <c r="F358" t="inlineStr">
        <is>
          <t>VÄSTRA GÖTALANDS LÄN</t>
        </is>
      </c>
      <c r="G358" t="inlineStr">
        <is>
          <t>BORÅS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45308</v>
      </c>
      <c r="E359" s="1" t="n">
        <v>46304</v>
      </c>
      <c r="F359" t="inlineStr">
        <is>
          <t>VÄSTRA GÖTALANDS LÄN</t>
        </is>
      </c>
      <c r="G359" t="inlineStr">
        <is>
          <t>BORÅS</t>
        </is>
      </c>
      <c r="H359" t="inlineStr">
        <is>
          <t>Kommuner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46304</v>
      </c>
      <c r="F360" t="inlineStr">
        <is>
          <t>VÄSTRA GÖTALANDS LÄN</t>
        </is>
      </c>
      <c r="G360" t="inlineStr">
        <is>
          <t>BORÅS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45770</v>
      </c>
      <c r="E361" s="1" t="n">
        <v>46304</v>
      </c>
      <c r="F361" t="inlineStr">
        <is>
          <t>VÄSTRA GÖTALANDS LÄN</t>
        </is>
      </c>
      <c r="G361" t="inlineStr">
        <is>
          <t>BORÅS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55146-2025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45968</v>
      </c>
      <c r="E362" s="1" t="n">
        <v>46304</v>
      </c>
      <c r="F362" t="inlineStr">
        <is>
          <t>VÄSTRA GÖTALANDS LÄN</t>
        </is>
      </c>
      <c r="G362" t="inlineStr">
        <is>
          <t>BORÅS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46304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46304</v>
      </c>
      <c r="F364" t="inlineStr">
        <is>
          <t>VÄSTRA GÖTALANDS LÄN</t>
        </is>
      </c>
      <c r="G364" t="inlineStr">
        <is>
          <t>BORÅS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46304</v>
      </c>
      <c r="F365" t="inlineStr">
        <is>
          <t>VÄSTRA GÖTALANDS LÄN</t>
        </is>
      </c>
      <c r="G365" t="inlineStr">
        <is>
          <t>BORÅS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46304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52367-2025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46304</v>
      </c>
      <c r="F367" t="inlineStr">
        <is>
          <t>VÄSTRA GÖTALANDS LÄN</t>
        </is>
      </c>
      <c r="G367" t="inlineStr">
        <is>
          <t>BORÅS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44941</v>
      </c>
      <c r="E368" s="1" t="n">
        <v>46304</v>
      </c>
      <c r="F368" t="inlineStr">
        <is>
          <t>VÄSTRA GÖTALANDS LÄN</t>
        </is>
      </c>
      <c r="G368" t="inlineStr">
        <is>
          <t>BORÅS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46304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46304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46304</v>
      </c>
      <c r="F371" t="inlineStr">
        <is>
          <t>VÄSTRA GÖTALANDS LÄN</t>
        </is>
      </c>
      <c r="G371" t="inlineStr">
        <is>
          <t>BORÅS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46304</v>
      </c>
      <c r="F372" t="inlineStr">
        <is>
          <t>VÄSTRA GÖTALANDS LÄN</t>
        </is>
      </c>
      <c r="G372" t="inlineStr">
        <is>
          <t>BORÅS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45268</v>
      </c>
      <c r="E373" s="1" t="n">
        <v>46304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46304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46304</v>
      </c>
      <c r="F375" t="inlineStr">
        <is>
          <t>VÄSTRA GÖTALANDS LÄN</t>
        </is>
      </c>
      <c r="G375" t="inlineStr">
        <is>
          <t>BORÅS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20653-2026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46141</v>
      </c>
      <c r="E376" s="1" t="n">
        <v>46304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45294</v>
      </c>
      <c r="E377" s="1" t="n">
        <v>46304</v>
      </c>
      <c r="F377" t="inlineStr">
        <is>
          <t>VÄSTRA GÖTALANDS LÄN</t>
        </is>
      </c>
      <c r="G377" t="inlineStr">
        <is>
          <t>BORÅS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46304</v>
      </c>
      <c r="F378" t="inlineStr">
        <is>
          <t>VÄSTRA GÖTALANDS LÄN</t>
        </is>
      </c>
      <c r="G378" t="inlineStr">
        <is>
          <t>BORÅS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46304</v>
      </c>
      <c r="F379" t="inlineStr">
        <is>
          <t>VÄSTRA GÖTALANDS LÄN</t>
        </is>
      </c>
      <c r="G379" t="inlineStr">
        <is>
          <t>BORÅS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57906-2022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44900</v>
      </c>
      <c r="E380" s="1" t="n">
        <v>46304</v>
      </c>
      <c r="F380" t="inlineStr">
        <is>
          <t>VÄSTRA GÖTALANDS LÄN</t>
        </is>
      </c>
      <c r="G380" t="inlineStr">
        <is>
          <t>BORÅS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46304</v>
      </c>
      <c r="F381" t="inlineStr">
        <is>
          <t>VÄSTRA GÖTALANDS LÄN</t>
        </is>
      </c>
      <c r="G381" t="inlineStr">
        <is>
          <t>BORÅS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46304</v>
      </c>
      <c r="F382" t="inlineStr">
        <is>
          <t>VÄSTRA GÖTALANDS LÄN</t>
        </is>
      </c>
      <c r="G382" t="inlineStr">
        <is>
          <t>BORÅS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45321</v>
      </c>
      <c r="E383" s="1" t="n">
        <v>46304</v>
      </c>
      <c r="F383" t="inlineStr">
        <is>
          <t>VÄSTRA GÖTALANDS LÄN</t>
        </is>
      </c>
      <c r="G383" t="inlineStr">
        <is>
          <t>BORÅS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45321</v>
      </c>
      <c r="E384" s="1" t="n">
        <v>46304</v>
      </c>
      <c r="F384" t="inlineStr">
        <is>
          <t>VÄSTRA GÖTALANDS LÄN</t>
        </is>
      </c>
      <c r="G384" t="inlineStr">
        <is>
          <t>BORÅS</t>
        </is>
      </c>
      <c r="H384" t="inlineStr">
        <is>
          <t>Kommuner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45120</v>
      </c>
      <c r="E385" s="1" t="n">
        <v>46304</v>
      </c>
      <c r="F385" t="inlineStr">
        <is>
          <t>VÄSTRA GÖTALANDS LÄN</t>
        </is>
      </c>
      <c r="G385" t="inlineStr">
        <is>
          <t>BORÅS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46304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46304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44704</v>
      </c>
      <c r="E388" s="1" t="n">
        <v>46304</v>
      </c>
      <c r="F388" t="inlineStr">
        <is>
          <t>VÄSTRA GÖTALANDS LÄN</t>
        </is>
      </c>
      <c r="G388" t="inlineStr">
        <is>
          <t>BORÅS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57782-2022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44897</v>
      </c>
      <c r="E389" s="1" t="n">
        <v>46304</v>
      </c>
      <c r="F389" t="inlineStr">
        <is>
          <t>VÄSTRA GÖTALANDS LÄN</t>
        </is>
      </c>
      <c r="G389" t="inlineStr">
        <is>
          <t>BORÅS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14309-2022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44652</v>
      </c>
      <c r="E390" s="1" t="n">
        <v>46304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38421-2024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45546</v>
      </c>
      <c r="E391" s="1" t="n">
        <v>46304</v>
      </c>
      <c r="F391" t="inlineStr">
        <is>
          <t>VÄSTRA GÖTALANDS LÄN</t>
        </is>
      </c>
      <c r="G391" t="inlineStr">
        <is>
          <t>BORÅS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46304</v>
      </c>
      <c r="F392" t="inlineStr">
        <is>
          <t>VÄSTRA GÖTALANDS LÄN</t>
        </is>
      </c>
      <c r="G392" t="inlineStr">
        <is>
          <t>BORÅS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45772</v>
      </c>
      <c r="E393" s="1" t="n">
        <v>46304</v>
      </c>
      <c r="F393" t="inlineStr">
        <is>
          <t>VÄSTRA GÖTALANDS LÄN</t>
        </is>
      </c>
      <c r="G393" t="inlineStr">
        <is>
          <t>BORÅS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46304</v>
      </c>
      <c r="F394" t="inlineStr">
        <is>
          <t>VÄSTRA GÖTALANDS LÄN</t>
        </is>
      </c>
      <c r="G394" t="inlineStr">
        <is>
          <t>BORÅS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46304</v>
      </c>
      <c r="F395" t="inlineStr">
        <is>
          <t>VÄSTRA GÖTALANDS LÄN</t>
        </is>
      </c>
      <c r="G395" t="inlineStr">
        <is>
          <t>BORÅS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19482-2023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45050</v>
      </c>
      <c r="E396" s="1" t="n">
        <v>46304</v>
      </c>
      <c r="F396" t="inlineStr">
        <is>
          <t>VÄSTRA GÖTALANDS LÄN</t>
        </is>
      </c>
      <c r="G396" t="inlineStr">
        <is>
          <t>BORÅS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45870</v>
      </c>
      <c r="E397" s="1" t="n">
        <v>46304</v>
      </c>
      <c r="F397" t="inlineStr">
        <is>
          <t>VÄSTRA GÖTALANDS LÄN</t>
        </is>
      </c>
      <c r="G397" t="inlineStr">
        <is>
          <t>BORÅS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44155-2022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44839</v>
      </c>
      <c r="E398" s="1" t="n">
        <v>46304</v>
      </c>
      <c r="F398" t="inlineStr">
        <is>
          <t>VÄSTRA GÖTALANDS LÄN</t>
        </is>
      </c>
      <c r="G398" t="inlineStr">
        <is>
          <t>BORÅS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46304</v>
      </c>
      <c r="F399" t="inlineStr">
        <is>
          <t>VÄSTRA GÖTALANDS LÄN</t>
        </is>
      </c>
      <c r="G399" t="inlineStr">
        <is>
          <t>BORÅS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41778-2023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46304</v>
      </c>
      <c r="F400" t="inlineStr">
        <is>
          <t>VÄSTRA GÖTALANDS LÄN</t>
        </is>
      </c>
      <c r="G400" t="inlineStr">
        <is>
          <t>BORÅS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45817</v>
      </c>
      <c r="E401" s="1" t="n">
        <v>46304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32483-2023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45120</v>
      </c>
      <c r="E402" s="1" t="n">
        <v>46304</v>
      </c>
      <c r="F402" t="inlineStr">
        <is>
          <t>VÄSTRA GÖTALANDS LÄN</t>
        </is>
      </c>
      <c r="G402" t="inlineStr">
        <is>
          <t>BORÅS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44959</v>
      </c>
      <c r="E403" s="1" t="n">
        <v>46304</v>
      </c>
      <c r="F403" t="inlineStr">
        <is>
          <t>VÄSTRA GÖTALANDS LÄN</t>
        </is>
      </c>
      <c r="G403" t="inlineStr">
        <is>
          <t>BORÅS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46304</v>
      </c>
      <c r="F404" t="inlineStr">
        <is>
          <t>VÄSTRA GÖTALANDS LÄN</t>
        </is>
      </c>
      <c r="G404" t="inlineStr">
        <is>
          <t>BORÅS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44964</v>
      </c>
      <c r="E405" s="1" t="n">
        <v>46304</v>
      </c>
      <c r="F405" t="inlineStr">
        <is>
          <t>VÄSTRA GÖTALANDS LÄN</t>
        </is>
      </c>
      <c r="G405" t="inlineStr">
        <is>
          <t>BORÅS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44639</v>
      </c>
      <c r="E406" s="1" t="n">
        <v>46304</v>
      </c>
      <c r="F406" t="inlineStr">
        <is>
          <t>VÄSTRA GÖTALANDS LÄN</t>
        </is>
      </c>
      <c r="G406" t="inlineStr">
        <is>
          <t>BORÅS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49729-2023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45212</v>
      </c>
      <c r="E407" s="1" t="n">
        <v>46304</v>
      </c>
      <c r="F407" t="inlineStr">
        <is>
          <t>VÄSTRA GÖTALANDS LÄN</t>
        </is>
      </c>
      <c r="G407" t="inlineStr">
        <is>
          <t>BORÅS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46304</v>
      </c>
      <c r="F408" t="inlineStr">
        <is>
          <t>VÄSTRA GÖTALANDS LÄN</t>
        </is>
      </c>
      <c r="G408" t="inlineStr">
        <is>
          <t>BORÅS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46304</v>
      </c>
      <c r="F409" t="inlineStr">
        <is>
          <t>VÄSTRA GÖTALANDS LÄN</t>
        </is>
      </c>
      <c r="G409" t="inlineStr">
        <is>
          <t>BORÅS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20279-2026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46136</v>
      </c>
      <c r="E410" s="1" t="n">
        <v>46304</v>
      </c>
      <c r="F410" t="inlineStr">
        <is>
          <t>VÄSTRA GÖTALANDS LÄN</t>
        </is>
      </c>
      <c r="G410" t="inlineStr">
        <is>
          <t>BORÅS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45935</v>
      </c>
      <c r="E411" s="1" t="n">
        <v>46304</v>
      </c>
      <c r="F411" t="inlineStr">
        <is>
          <t>VÄSTRA GÖTALANDS LÄN</t>
        </is>
      </c>
      <c r="G411" t="inlineStr">
        <is>
          <t>BORÅS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46304</v>
      </c>
      <c r="F412" t="inlineStr">
        <is>
          <t>VÄSTRA GÖTALANDS LÄN</t>
        </is>
      </c>
      <c r="G412" t="inlineStr">
        <is>
          <t>BORÅS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46304</v>
      </c>
      <c r="F413" t="inlineStr">
        <is>
          <t>VÄSTRA GÖTALANDS LÄN</t>
        </is>
      </c>
      <c r="G413" t="inlineStr">
        <is>
          <t>BORÅS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46304</v>
      </c>
      <c r="F414" t="inlineStr">
        <is>
          <t>VÄSTRA GÖTALANDS LÄN</t>
        </is>
      </c>
      <c r="G414" t="inlineStr">
        <is>
          <t>BORÅS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46304</v>
      </c>
      <c r="F415" t="inlineStr">
        <is>
          <t>VÄSTRA GÖTALANDS LÄN</t>
        </is>
      </c>
      <c r="G415" t="inlineStr">
        <is>
          <t>BORÅS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46304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45148</v>
      </c>
      <c r="E417" s="1" t="n">
        <v>46304</v>
      </c>
      <c r="F417" t="inlineStr">
        <is>
          <t>VÄSTRA GÖTALANDS LÄN</t>
        </is>
      </c>
      <c r="G417" t="inlineStr">
        <is>
          <t>BORÅS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46304</v>
      </c>
      <c r="F418" t="inlineStr">
        <is>
          <t>VÄSTRA GÖTALANDS LÄN</t>
        </is>
      </c>
      <c r="G418" t="inlineStr">
        <is>
          <t>BORÅS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45015</v>
      </c>
      <c r="E419" s="1" t="n">
        <v>46304</v>
      </c>
      <c r="F419" t="inlineStr">
        <is>
          <t>VÄSTRA GÖTALANDS LÄN</t>
        </is>
      </c>
      <c r="G419" t="inlineStr">
        <is>
          <t>BORÅS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72566-2021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44546</v>
      </c>
      <c r="E420" s="1" t="n">
        <v>46304</v>
      </c>
      <c r="F420" t="inlineStr">
        <is>
          <t>VÄSTRA GÖTALANDS LÄN</t>
        </is>
      </c>
      <c r="G420" t="inlineStr">
        <is>
          <t>BORÅS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48150-2023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46304</v>
      </c>
      <c r="F421" t="inlineStr">
        <is>
          <t>VÄSTRA GÖTALANDS LÄN</t>
        </is>
      </c>
      <c r="G421" t="inlineStr">
        <is>
          <t>BORÅS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46304</v>
      </c>
      <c r="F422" t="inlineStr">
        <is>
          <t>VÄSTRA GÖTALANDS LÄN</t>
        </is>
      </c>
      <c r="G422" t="inlineStr">
        <is>
          <t>BORÅS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46304</v>
      </c>
      <c r="F423" t="inlineStr">
        <is>
          <t>VÄSTRA GÖTALANDS LÄN</t>
        </is>
      </c>
      <c r="G423" t="inlineStr">
        <is>
          <t>BORÅS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46154</v>
      </c>
      <c r="E424" s="1" t="n">
        <v>46304</v>
      </c>
      <c r="F424" t="inlineStr">
        <is>
          <t>VÄSTRA GÖTALANDS LÄN</t>
        </is>
      </c>
      <c r="G424" t="inlineStr">
        <is>
          <t>BORÅS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46304</v>
      </c>
      <c r="F425" t="inlineStr">
        <is>
          <t>VÄSTRA GÖTALANDS LÄN</t>
        </is>
      </c>
      <c r="G425" t="inlineStr">
        <is>
          <t>BORÅS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45044</v>
      </c>
      <c r="E426" s="1" t="n">
        <v>46304</v>
      </c>
      <c r="F426" t="inlineStr">
        <is>
          <t>VÄSTRA GÖTALANDS LÄN</t>
        </is>
      </c>
      <c r="G426" t="inlineStr">
        <is>
          <t>BORÅS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46453-2024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45582</v>
      </c>
      <c r="E427" s="1" t="n">
        <v>46304</v>
      </c>
      <c r="F427" t="inlineStr">
        <is>
          <t>VÄSTRA GÖTALANDS LÄN</t>
        </is>
      </c>
      <c r="G427" t="inlineStr">
        <is>
          <t>BORÅS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44506-2023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45189</v>
      </c>
      <c r="E428" s="1" t="n">
        <v>46304</v>
      </c>
      <c r="F428" t="inlineStr">
        <is>
          <t>VÄSTRA GÖTALANDS LÄN</t>
        </is>
      </c>
      <c r="G428" t="inlineStr">
        <is>
          <t>BORÅS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19852-2025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45771</v>
      </c>
      <c r="E429" s="1" t="n">
        <v>46304</v>
      </c>
      <c r="F429" t="inlineStr">
        <is>
          <t>VÄSTRA GÖTALANDS LÄN</t>
        </is>
      </c>
      <c r="G429" t="inlineStr">
        <is>
          <t>BORÅS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46304</v>
      </c>
      <c r="F430" t="inlineStr">
        <is>
          <t>VÄSTRA GÖTALANDS LÄN</t>
        </is>
      </c>
      <c r="G430" t="inlineStr">
        <is>
          <t>BORÅS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45337</v>
      </c>
      <c r="E431" s="1" t="n">
        <v>46304</v>
      </c>
      <c r="F431" t="inlineStr">
        <is>
          <t>VÄSTRA GÖTALANDS LÄN</t>
        </is>
      </c>
      <c r="G431" t="inlineStr">
        <is>
          <t>BORÅS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38970-2024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45548</v>
      </c>
      <c r="E432" s="1" t="n">
        <v>46304</v>
      </c>
      <c r="F432" t="inlineStr">
        <is>
          <t>VÄSTRA GÖTALANDS LÄN</t>
        </is>
      </c>
      <c r="G432" t="inlineStr">
        <is>
          <t>BORÅS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44825</v>
      </c>
      <c r="E433" s="1" t="n">
        <v>46304</v>
      </c>
      <c r="F433" t="inlineStr">
        <is>
          <t>VÄSTRA GÖTALANDS LÄN</t>
        </is>
      </c>
      <c r="G433" t="inlineStr">
        <is>
          <t>BORÅS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45756</v>
      </c>
      <c r="E434" s="1" t="n">
        <v>46304</v>
      </c>
      <c r="F434" t="inlineStr">
        <is>
          <t>VÄSTRA GÖTALANDS LÄN</t>
        </is>
      </c>
      <c r="G434" t="inlineStr">
        <is>
          <t>BORÅS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45440</v>
      </c>
      <c r="E435" s="1" t="n">
        <v>46304</v>
      </c>
      <c r="F435" t="inlineStr">
        <is>
          <t>VÄSTRA GÖTALANDS LÄN</t>
        </is>
      </c>
      <c r="G435" t="inlineStr">
        <is>
          <t>BORÅS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45670</v>
      </c>
      <c r="E436" s="1" t="n">
        <v>46304</v>
      </c>
      <c r="F436" t="inlineStr">
        <is>
          <t>VÄSTRA GÖTALANDS LÄN</t>
        </is>
      </c>
      <c r="G436" t="inlineStr">
        <is>
          <t>BORÅS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20724-2023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45058</v>
      </c>
      <c r="E437" s="1" t="n">
        <v>46304</v>
      </c>
      <c r="F437" t="inlineStr">
        <is>
          <t>VÄSTRA GÖTALANDS LÄN</t>
        </is>
      </c>
      <c r="G437" t="inlineStr">
        <is>
          <t>BORÅS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46304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50605-2022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44866</v>
      </c>
      <c r="E439" s="1" t="n">
        <v>46304</v>
      </c>
      <c r="F439" t="inlineStr">
        <is>
          <t>VÄSTRA GÖTALANDS LÄN</t>
        </is>
      </c>
      <c r="G439" t="inlineStr">
        <is>
          <t>BORÅS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46304</v>
      </c>
      <c r="F440" t="inlineStr">
        <is>
          <t>VÄSTRA GÖTALANDS LÄN</t>
        </is>
      </c>
      <c r="G440" t="inlineStr">
        <is>
          <t>BORÅS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44782-2025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45917</v>
      </c>
      <c r="E441" s="1" t="n">
        <v>46304</v>
      </c>
      <c r="F441" t="inlineStr">
        <is>
          <t>VÄSTRA GÖTALANDS LÄN</t>
        </is>
      </c>
      <c r="G441" t="inlineStr">
        <is>
          <t>BORÅS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34195-2025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45845</v>
      </c>
      <c r="E442" s="1" t="n">
        <v>46304</v>
      </c>
      <c r="F442" t="inlineStr">
        <is>
          <t>VÄSTRA GÖTALANDS LÄN</t>
        </is>
      </c>
      <c r="G442" t="inlineStr">
        <is>
          <t>BORÅS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46304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46176</v>
      </c>
      <c r="E444" s="1" t="n">
        <v>46304</v>
      </c>
      <c r="F444" t="inlineStr">
        <is>
          <t>VÄSTRA GÖTALANDS LÄN</t>
        </is>
      </c>
      <c r="G444" t="inlineStr">
        <is>
          <t>BORÅS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25238-2026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46175</v>
      </c>
      <c r="E445" s="1" t="n">
        <v>46304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46382-2023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45197</v>
      </c>
      <c r="E446" s="1" t="n">
        <v>46304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45186</v>
      </c>
      <c r="E447" s="1" t="n">
        <v>46304</v>
      </c>
      <c r="F447" t="inlineStr">
        <is>
          <t>VÄSTRA GÖTALANDS LÄN</t>
        </is>
      </c>
      <c r="G447" t="inlineStr">
        <is>
          <t>BORÅS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46304</v>
      </c>
      <c r="F448" t="inlineStr">
        <is>
          <t>VÄSTRA GÖTALANDS LÄN</t>
        </is>
      </c>
      <c r="G448" t="inlineStr">
        <is>
          <t>BORÅS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28410-2024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45477</v>
      </c>
      <c r="E449" s="1" t="n">
        <v>46304</v>
      </c>
      <c r="F449" t="inlineStr">
        <is>
          <t>VÄSTRA GÖTALANDS LÄN</t>
        </is>
      </c>
      <c r="G449" t="inlineStr">
        <is>
          <t>BORÅS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46304</v>
      </c>
      <c r="F450" t="inlineStr">
        <is>
          <t>VÄSTRA GÖTALANDS LÄN</t>
        </is>
      </c>
      <c r="G450" t="inlineStr">
        <is>
          <t>BORÅS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32163-2023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45119</v>
      </c>
      <c r="E451" s="1" t="n">
        <v>46304</v>
      </c>
      <c r="F451" t="inlineStr">
        <is>
          <t>VÄSTRA GÖTALANDS LÄN</t>
        </is>
      </c>
      <c r="G451" t="inlineStr">
        <is>
          <t>BORÅS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44771</v>
      </c>
      <c r="E452" s="1" t="n">
        <v>46304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Kyrkan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46304</v>
      </c>
      <c r="F453" t="inlineStr">
        <is>
          <t>VÄSTRA GÖTALANDS LÄN</t>
        </is>
      </c>
      <c r="G453" t="inlineStr">
        <is>
          <t>BORÅS</t>
        </is>
      </c>
      <c r="H453" t="inlineStr">
        <is>
          <t>Kyrkan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46304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Kyrkan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46304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46304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45225</v>
      </c>
      <c r="E457" s="1" t="n">
        <v>46304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46304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44875</v>
      </c>
      <c r="E459" s="1" t="n">
        <v>46304</v>
      </c>
      <c r="F459" t="inlineStr">
        <is>
          <t>VÄSTRA GÖTALANDS LÄN</t>
        </is>
      </c>
      <c r="G459" t="inlineStr">
        <is>
          <t>BORÅS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46304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46304</v>
      </c>
      <c r="F461" t="inlineStr">
        <is>
          <t>VÄSTRA GÖTALANDS LÄN</t>
        </is>
      </c>
      <c r="G461" t="inlineStr">
        <is>
          <t>BORÅS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45631</v>
      </c>
      <c r="E462" s="1" t="n">
        <v>46304</v>
      </c>
      <c r="F462" t="inlineStr">
        <is>
          <t>VÄSTRA GÖTALANDS LÄN</t>
        </is>
      </c>
      <c r="G462" t="inlineStr">
        <is>
          <t>BORÅS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46304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45120</v>
      </c>
      <c r="E464" s="1" t="n">
        <v>46304</v>
      </c>
      <c r="F464" t="inlineStr">
        <is>
          <t>VÄSTRA GÖTALANDS LÄN</t>
        </is>
      </c>
      <c r="G464" t="inlineStr">
        <is>
          <t>BORÅS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44995</v>
      </c>
      <c r="E465" s="1" t="n">
        <v>46304</v>
      </c>
      <c r="F465" t="inlineStr">
        <is>
          <t>VÄSTRA GÖTALANDS LÄN</t>
        </is>
      </c>
      <c r="G465" t="inlineStr">
        <is>
          <t>BORÅS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65200-2023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45289</v>
      </c>
      <c r="E466" s="1" t="n">
        <v>46304</v>
      </c>
      <c r="F466" t="inlineStr">
        <is>
          <t>VÄSTRA GÖTALANDS LÄN</t>
        </is>
      </c>
      <c r="G466" t="inlineStr">
        <is>
          <t>BORÅS</t>
        </is>
      </c>
      <c r="I466" t="n">
        <v>12.5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46304</v>
      </c>
      <c r="F467" t="inlineStr">
        <is>
          <t>VÄSTRA GÖTALANDS LÄN</t>
        </is>
      </c>
      <c r="G467" t="inlineStr">
        <is>
          <t>BORÅS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45769</v>
      </c>
      <c r="E468" s="1" t="n">
        <v>46304</v>
      </c>
      <c r="F468" t="inlineStr">
        <is>
          <t>VÄSTRA GÖTALANDS LÄN</t>
        </is>
      </c>
      <c r="G468" t="inlineStr">
        <is>
          <t>BORÅS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45618-2024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46304</v>
      </c>
      <c r="F469" t="inlineStr">
        <is>
          <t>VÄSTRA GÖTALANDS LÄN</t>
        </is>
      </c>
      <c r="G469" t="inlineStr">
        <is>
          <t>BORÅS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46198</v>
      </c>
      <c r="E470" s="1" t="n">
        <v>46304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46304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Kommuner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46304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45609-2024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45579</v>
      </c>
      <c r="E473" s="1" t="n">
        <v>46304</v>
      </c>
      <c r="F473" t="inlineStr">
        <is>
          <t>VÄSTRA GÖTALANDS LÄN</t>
        </is>
      </c>
      <c r="G473" t="inlineStr">
        <is>
          <t>BORÅS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29513-2026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46304</v>
      </c>
      <c r="F474" t="inlineStr">
        <is>
          <t>VÄSTRA GÖTALANDS LÄN</t>
        </is>
      </c>
      <c r="G474" t="inlineStr">
        <is>
          <t>BORÅS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46304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44564</v>
      </c>
      <c r="E476" s="1" t="n">
        <v>46304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46304</v>
      </c>
      <c r="F477" t="inlineStr">
        <is>
          <t>VÄSTRA GÖTALANDS LÄN</t>
        </is>
      </c>
      <c r="G477" t="inlineStr">
        <is>
          <t>BORÅS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21333-2023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46304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26540-2026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46304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Kyrkan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45611</v>
      </c>
      <c r="E480" s="1" t="n">
        <v>46304</v>
      </c>
      <c r="F480" t="inlineStr">
        <is>
          <t>VÄSTRA GÖTALANDS LÄN</t>
        </is>
      </c>
      <c r="G480" t="inlineStr">
        <is>
          <t>BORÅS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46304</v>
      </c>
      <c r="F481" t="inlineStr">
        <is>
          <t>VÄSTRA GÖTALANDS LÄN</t>
        </is>
      </c>
      <c r="G481" t="inlineStr">
        <is>
          <t>BORÅS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29626-2026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46304</v>
      </c>
      <c r="F482" t="inlineStr">
        <is>
          <t>VÄSTRA GÖTALANDS LÄN</t>
        </is>
      </c>
      <c r="G482" t="inlineStr">
        <is>
          <t>BORÅS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46304</v>
      </c>
      <c r="F483" t="inlineStr">
        <is>
          <t>VÄSTRA GÖTALANDS LÄN</t>
        </is>
      </c>
      <c r="G483" t="inlineStr">
        <is>
          <t>BORÅS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46304</v>
      </c>
      <c r="F484" t="inlineStr">
        <is>
          <t>VÄSTRA GÖTALANDS LÄN</t>
        </is>
      </c>
      <c r="G484" t="inlineStr">
        <is>
          <t>BORÅS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46304</v>
      </c>
      <c r="F485" t="inlineStr">
        <is>
          <t>VÄSTRA GÖTALANDS LÄN</t>
        </is>
      </c>
      <c r="G485" t="inlineStr">
        <is>
          <t>BORÅS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46304</v>
      </c>
      <c r="F486" t="inlineStr">
        <is>
          <t>VÄSTRA GÖTALANDS LÄN</t>
        </is>
      </c>
      <c r="G486" t="inlineStr">
        <is>
          <t>BORÅS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45670</v>
      </c>
      <c r="E487" s="1" t="n">
        <v>46304</v>
      </c>
      <c r="F487" t="inlineStr">
        <is>
          <t>VÄSTRA GÖTALANDS LÄN</t>
        </is>
      </c>
      <c r="G487" t="inlineStr">
        <is>
          <t>BORÅS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45364</v>
      </c>
      <c r="E488" s="1" t="n">
        <v>46304</v>
      </c>
      <c r="F488" t="inlineStr">
        <is>
          <t>VÄSTRA GÖTALANDS LÄN</t>
        </is>
      </c>
      <c r="G488" t="inlineStr">
        <is>
          <t>BORÅS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46304</v>
      </c>
      <c r="F489" t="inlineStr">
        <is>
          <t>VÄSTRA GÖTALANDS LÄN</t>
        </is>
      </c>
      <c r="G489" t="inlineStr">
        <is>
          <t>BORÅS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46216</v>
      </c>
      <c r="E490" s="1" t="n">
        <v>46304</v>
      </c>
      <c r="F490" t="inlineStr">
        <is>
          <t>VÄSTRA GÖTALANDS LÄN</t>
        </is>
      </c>
      <c r="G490" t="inlineStr">
        <is>
          <t>BORÅS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45671</v>
      </c>
      <c r="E491" s="1" t="n">
        <v>46304</v>
      </c>
      <c r="F491" t="inlineStr">
        <is>
          <t>VÄSTRA GÖTALANDS LÄN</t>
        </is>
      </c>
      <c r="G491" t="inlineStr">
        <is>
          <t>BORÅS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46216</v>
      </c>
      <c r="E492" s="1" t="n">
        <v>46304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44577</v>
      </c>
      <c r="E493" s="1" t="n">
        <v>46304</v>
      </c>
      <c r="F493" t="inlineStr">
        <is>
          <t>VÄSTRA GÖTALANDS LÄN</t>
        </is>
      </c>
      <c r="G493" t="inlineStr">
        <is>
          <t>BORÅS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27335-2024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45472</v>
      </c>
      <c r="E494" s="1" t="n">
        <v>46304</v>
      </c>
      <c r="F494" t="inlineStr">
        <is>
          <t>VÄSTRA GÖTALANDS LÄN</t>
        </is>
      </c>
      <c r="G494" t="inlineStr">
        <is>
          <t>BORÅS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46304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58895-2024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45636</v>
      </c>
      <c r="E496" s="1" t="n">
        <v>46304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46304</v>
      </c>
      <c r="F497" t="inlineStr">
        <is>
          <t>VÄSTRA GÖTALANDS LÄN</t>
        </is>
      </c>
      <c r="G497" t="inlineStr">
        <is>
          <t>BORÅS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46304</v>
      </c>
      <c r="F498" t="inlineStr">
        <is>
          <t>VÄSTRA GÖTALANDS LÄN</t>
        </is>
      </c>
      <c r="G498" t="inlineStr">
        <is>
          <t>BORÅS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45119</v>
      </c>
      <c r="E499" s="1" t="n">
        <v>46304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62532-2022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46304</v>
      </c>
      <c r="F500" t="inlineStr">
        <is>
          <t>VÄSTRA GÖTALANDS LÄN</t>
        </is>
      </c>
      <c r="G500" t="inlineStr">
        <is>
          <t>BORÅS</t>
        </is>
      </c>
      <c r="I500" t="n">
        <v>9.800000000000001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45120</v>
      </c>
      <c r="E501" s="1" t="n">
        <v>46304</v>
      </c>
      <c r="F501" t="inlineStr">
        <is>
          <t>VÄSTRA GÖTALANDS LÄN</t>
        </is>
      </c>
      <c r="G501" t="inlineStr">
        <is>
          <t>BORÅS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45120</v>
      </c>
      <c r="E502" s="1" t="n">
        <v>46304</v>
      </c>
      <c r="F502" t="inlineStr">
        <is>
          <t>VÄSTRA GÖTALANDS LÄN</t>
        </is>
      </c>
      <c r="G502" t="inlineStr">
        <is>
          <t>BORÅS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46304</v>
      </c>
      <c r="F503" t="inlineStr">
        <is>
          <t>VÄSTRA GÖTALANDS LÄN</t>
        </is>
      </c>
      <c r="G503" t="inlineStr">
        <is>
          <t>BORÅS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43573-2022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44837</v>
      </c>
      <c r="E504" s="1" t="n">
        <v>46304</v>
      </c>
      <c r="F504" t="inlineStr">
        <is>
          <t>VÄSTRA GÖTALANDS LÄN</t>
        </is>
      </c>
      <c r="G504" t="inlineStr">
        <is>
          <t>BORÅS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45048</v>
      </c>
      <c r="E505" s="1" t="n">
        <v>46304</v>
      </c>
      <c r="F505" t="inlineStr">
        <is>
          <t>VÄSTRA GÖTALANDS LÄN</t>
        </is>
      </c>
      <c r="G505" t="inlineStr">
        <is>
          <t>BORÅS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28171-2022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44746</v>
      </c>
      <c r="E506" s="1" t="n">
        <v>46304</v>
      </c>
      <c r="F506" t="inlineStr">
        <is>
          <t>VÄSTRA GÖTALANDS LÄN</t>
        </is>
      </c>
      <c r="G506" t="inlineStr">
        <is>
          <t>BORÅS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46304</v>
      </c>
      <c r="F507" t="inlineStr">
        <is>
          <t>VÄSTRA GÖTALANDS LÄN</t>
        </is>
      </c>
      <c r="G507" t="inlineStr">
        <is>
          <t>BORÅS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36210-2026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46304</v>
      </c>
      <c r="F508" t="inlineStr">
        <is>
          <t>VÄSTRA GÖTALANDS LÄN</t>
        </is>
      </c>
      <c r="G508" t="inlineStr">
        <is>
          <t>BORÅS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46304</v>
      </c>
      <c r="F509" t="inlineStr">
        <is>
          <t>VÄSTRA GÖTALANDS LÄN</t>
        </is>
      </c>
      <c r="G509" t="inlineStr">
        <is>
          <t>BORÅS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46224</v>
      </c>
      <c r="E510" s="1" t="n">
        <v>46304</v>
      </c>
      <c r="F510" t="inlineStr">
        <is>
          <t>VÄSTRA GÖTALANDS LÄN</t>
        </is>
      </c>
      <c r="G510" t="inlineStr">
        <is>
          <t>BORÅS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32742-2024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45516</v>
      </c>
      <c r="E511" s="1" t="n">
        <v>46304</v>
      </c>
      <c r="F511" t="inlineStr">
        <is>
          <t>VÄSTRA GÖTALANDS LÄN</t>
        </is>
      </c>
      <c r="G511" t="inlineStr">
        <is>
          <t>BORÅS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46268</v>
      </c>
      <c r="E512" s="1" t="n">
        <v>46304</v>
      </c>
      <c r="F512" t="inlineStr">
        <is>
          <t>VÄSTRA GÖTALANDS LÄN</t>
        </is>
      </c>
      <c r="G512" t="inlineStr">
        <is>
          <t>BORÅS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45216</v>
      </c>
      <c r="E513" s="1" t="n">
        <v>46304</v>
      </c>
      <c r="F513" t="inlineStr">
        <is>
          <t>VÄSTRA GÖTALANDS LÄN</t>
        </is>
      </c>
      <c r="G513" t="inlineStr">
        <is>
          <t>BORÅS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46304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46304</v>
      </c>
      <c r="F515" t="inlineStr">
        <is>
          <t>VÄSTRA GÖTALANDS LÄN</t>
        </is>
      </c>
      <c r="G515" t="inlineStr">
        <is>
          <t>BORÅS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63178-2023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45273</v>
      </c>
      <c r="E516" s="1" t="n">
        <v>46304</v>
      </c>
      <c r="F516" t="inlineStr">
        <is>
          <t>VÄSTRA GÖTALANDS LÄN</t>
        </is>
      </c>
      <c r="G516" t="inlineStr">
        <is>
          <t>BORÅS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32241-2023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46304</v>
      </c>
      <c r="F517" t="inlineStr">
        <is>
          <t>VÄSTRA GÖTALANDS LÄN</t>
        </is>
      </c>
      <c r="G517" t="inlineStr">
        <is>
          <t>BORÅS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45421</v>
      </c>
      <c r="E518" s="1" t="n">
        <v>46304</v>
      </c>
      <c r="F518" t="inlineStr">
        <is>
          <t>VÄSTRA GÖTALANDS LÄN</t>
        </is>
      </c>
      <c r="G518" t="inlineStr">
        <is>
          <t>BORÅS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46304</v>
      </c>
      <c r="F519" t="inlineStr">
        <is>
          <t>VÄSTRA GÖTALANDS LÄN</t>
        </is>
      </c>
      <c r="G519" t="inlineStr">
        <is>
          <t>BORÅS</t>
        </is>
      </c>
      <c r="I519" t="n">
        <v>11.7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45119</v>
      </c>
      <c r="E520" s="1" t="n">
        <v>46304</v>
      </c>
      <c r="F520" t="inlineStr">
        <is>
          <t>VÄSTRA GÖTALANDS LÄN</t>
        </is>
      </c>
      <c r="G520" t="inlineStr">
        <is>
          <t>BORÅS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28552-2022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44748</v>
      </c>
      <c r="E521" s="1" t="n">
        <v>46304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Kommuner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45302</v>
      </c>
      <c r="E522" s="1" t="n">
        <v>46304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Sveaskog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45432</v>
      </c>
      <c r="E523" s="1" t="n">
        <v>46304</v>
      </c>
      <c r="F523" t="inlineStr">
        <is>
          <t>VÄSTRA GÖTALANDS LÄN</t>
        </is>
      </c>
      <c r="G523" t="inlineStr">
        <is>
          <t>BORÅS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50359-2023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46304</v>
      </c>
      <c r="F524" t="inlineStr">
        <is>
          <t>VÄSTRA GÖTALANDS LÄN</t>
        </is>
      </c>
      <c r="G524" t="inlineStr">
        <is>
          <t>BORÅS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45321</v>
      </c>
      <c r="E525" s="1" t="n">
        <v>46304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Kommuner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60931-2022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44914</v>
      </c>
      <c r="E526" s="1" t="n">
        <v>46304</v>
      </c>
      <c r="F526" t="inlineStr">
        <is>
          <t>VÄSTRA GÖTALANDS LÄN</t>
        </is>
      </c>
      <c r="G526" t="inlineStr">
        <is>
          <t>BORÅS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40118-2023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46304</v>
      </c>
      <c r="F527" t="inlineStr">
        <is>
          <t>VÄSTRA GÖTALANDS LÄN</t>
        </is>
      </c>
      <c r="G527" t="inlineStr">
        <is>
          <t>BORÅS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32193-2023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46304</v>
      </c>
      <c r="F528" t="inlineStr">
        <is>
          <t>VÄSTRA GÖTALANDS LÄN</t>
        </is>
      </c>
      <c r="G528" t="inlineStr">
        <is>
          <t>BORÅS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14396-2025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45741</v>
      </c>
      <c r="E529" s="1" t="n">
        <v>46304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48508-2024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45593</v>
      </c>
      <c r="E530" s="1" t="n">
        <v>46304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46304</v>
      </c>
      <c r="F531" t="inlineStr">
        <is>
          <t>VÄSTRA GÖTALANDS LÄN</t>
        </is>
      </c>
      <c r="G531" t="inlineStr">
        <is>
          <t>BORÅS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46280</v>
      </c>
      <c r="E532" s="1" t="n">
        <v>46304</v>
      </c>
      <c r="F532" t="inlineStr">
        <is>
          <t>VÄSTRA GÖTALANDS LÄN</t>
        </is>
      </c>
      <c r="G532" t="inlineStr">
        <is>
          <t>BORÅS</t>
        </is>
      </c>
      <c r="H532" t="inlineStr">
        <is>
          <t>Kommuner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46304</v>
      </c>
      <c r="F533" t="inlineStr">
        <is>
          <t>VÄSTRA GÖTALANDS LÄN</t>
        </is>
      </c>
      <c r="G533" t="inlineStr">
        <is>
          <t>BORÅS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46304</v>
      </c>
      <c r="F534" t="inlineStr">
        <is>
          <t>VÄSTRA GÖTALANDS LÄN</t>
        </is>
      </c>
      <c r="G534" t="inlineStr">
        <is>
          <t>BORÅS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21673-2025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45783</v>
      </c>
      <c r="E535" s="1" t="n">
        <v>46304</v>
      </c>
      <c r="F535" t="inlineStr">
        <is>
          <t>VÄSTRA GÖTALANDS LÄN</t>
        </is>
      </c>
      <c r="G535" t="inlineStr">
        <is>
          <t>BORÅS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21388-2025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46304</v>
      </c>
      <c r="F536" t="inlineStr">
        <is>
          <t>VÄSTRA GÖTALANDS LÄN</t>
        </is>
      </c>
      <c r="G536" t="inlineStr">
        <is>
          <t>BORÅS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46304</v>
      </c>
      <c r="F537" t="inlineStr">
        <is>
          <t>VÄSTRA GÖTALANDS LÄN</t>
        </is>
      </c>
      <c r="G537" t="inlineStr">
        <is>
          <t>BORÅS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27752-2024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45475</v>
      </c>
      <c r="E538" s="1" t="n">
        <v>46304</v>
      </c>
      <c r="F538" t="inlineStr">
        <is>
          <t>VÄSTRA GÖTALANDS LÄN</t>
        </is>
      </c>
      <c r="G538" t="inlineStr">
        <is>
          <t>BORÅS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47358-2024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46304</v>
      </c>
      <c r="F539" t="inlineStr">
        <is>
          <t>VÄSTRA GÖTALANDS LÄN</t>
        </is>
      </c>
      <c r="G539" t="inlineStr">
        <is>
          <t>BORÅS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49004-2023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45209</v>
      </c>
      <c r="E540" s="1" t="n">
        <v>46304</v>
      </c>
      <c r="F540" t="inlineStr">
        <is>
          <t>VÄSTRA GÖTALANDS LÄN</t>
        </is>
      </c>
      <c r="G540" t="inlineStr">
        <is>
          <t>BORÅS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45721</v>
      </c>
      <c r="E541" s="1" t="n">
        <v>46304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46304</v>
      </c>
      <c r="F542" t="inlineStr">
        <is>
          <t>VÄSTRA GÖTALANDS LÄN</t>
        </is>
      </c>
      <c r="G542" t="inlineStr">
        <is>
          <t>BORÅS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46304</v>
      </c>
      <c r="F543" t="inlineStr">
        <is>
          <t>VÄSTRA GÖTALANDS LÄN</t>
        </is>
      </c>
      <c r="G543" t="inlineStr">
        <is>
          <t>BORÅS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49584-2024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46304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23504-2025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45792</v>
      </c>
      <c r="E545" s="1" t="n">
        <v>46304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45789</v>
      </c>
      <c r="E546" s="1" t="n">
        <v>46304</v>
      </c>
      <c r="F546" t="inlineStr">
        <is>
          <t>VÄSTRA GÖTALANDS LÄN</t>
        </is>
      </c>
      <c r="G546" t="inlineStr">
        <is>
          <t>BORÅS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46304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40322-2025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45895</v>
      </c>
      <c r="E548" s="1" t="n">
        <v>46304</v>
      </c>
      <c r="F548" t="inlineStr">
        <is>
          <t>VÄSTRA GÖTALANDS LÄN</t>
        </is>
      </c>
      <c r="G548" t="inlineStr">
        <is>
          <t>BORÅS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46304</v>
      </c>
      <c r="F549" t="inlineStr">
        <is>
          <t>VÄSTRA GÖTALANDS LÄN</t>
        </is>
      </c>
      <c r="G549" t="inlineStr">
        <is>
          <t>BORÅS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45142</v>
      </c>
      <c r="E550" s="1" t="n">
        <v>46304</v>
      </c>
      <c r="F550" t="inlineStr">
        <is>
          <t>VÄSTRA GÖTALANDS LÄN</t>
        </is>
      </c>
      <c r="G550" t="inlineStr">
        <is>
          <t>BORÅS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46304</v>
      </c>
      <c r="F551" t="inlineStr">
        <is>
          <t>VÄSTRA GÖTALANDS LÄN</t>
        </is>
      </c>
      <c r="G551" t="inlineStr">
        <is>
          <t>BORÅS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46304</v>
      </c>
      <c r="F552" t="inlineStr">
        <is>
          <t>VÄSTRA GÖTALANDS LÄN</t>
        </is>
      </c>
      <c r="G552" t="inlineStr">
        <is>
          <t>BORÅS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46304</v>
      </c>
      <c r="F553" t="inlineStr">
        <is>
          <t>VÄSTRA GÖTALANDS LÄN</t>
        </is>
      </c>
      <c r="G553" t="inlineStr">
        <is>
          <t>BORÅS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46304</v>
      </c>
      <c r="F554" t="inlineStr">
        <is>
          <t>VÄSTRA GÖTALANDS LÄN</t>
        </is>
      </c>
      <c r="G554" t="inlineStr">
        <is>
          <t>BORÅS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46304</v>
      </c>
      <c r="F555" t="inlineStr">
        <is>
          <t>VÄSTRA GÖTALANDS LÄN</t>
        </is>
      </c>
      <c r="G555" t="inlineStr">
        <is>
          <t>BORÅS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46246</v>
      </c>
      <c r="E556" s="1" t="n">
        <v>46304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46304</v>
      </c>
      <c r="F557" t="inlineStr">
        <is>
          <t>VÄSTRA GÖTALANDS LÄN</t>
        </is>
      </c>
      <c r="G557" t="inlineStr">
        <is>
          <t>BORÅS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45798</v>
      </c>
      <c r="E558" s="1" t="n">
        <v>46304</v>
      </c>
      <c r="F558" t="inlineStr">
        <is>
          <t>VÄSTRA GÖTALANDS LÄN</t>
        </is>
      </c>
      <c r="G558" t="inlineStr">
        <is>
          <t>BORÅS</t>
        </is>
      </c>
      <c r="H558" t="inlineStr">
        <is>
          <t>Kommuner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46304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25338-2025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45800</v>
      </c>
      <c r="E560" s="1" t="n">
        <v>46304</v>
      </c>
      <c r="F560" t="inlineStr">
        <is>
          <t>VÄSTRA GÖTALANDS LÄN</t>
        </is>
      </c>
      <c r="G560" t="inlineStr">
        <is>
          <t>BORÅS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25705-2025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45803</v>
      </c>
      <c r="E561" s="1" t="n">
        <v>46304</v>
      </c>
      <c r="F561" t="inlineStr">
        <is>
          <t>VÄSTRA GÖTALANDS LÄN</t>
        </is>
      </c>
      <c r="G561" t="inlineStr">
        <is>
          <t>BORÅS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45803</v>
      </c>
      <c r="E562" s="1" t="n">
        <v>46304</v>
      </c>
      <c r="F562" t="inlineStr">
        <is>
          <t>VÄSTRA GÖTALANDS LÄN</t>
        </is>
      </c>
      <c r="G562" t="inlineStr">
        <is>
          <t>BORÅS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45964</v>
      </c>
      <c r="E563" s="1" t="n">
        <v>46304</v>
      </c>
      <c r="F563" t="inlineStr">
        <is>
          <t>VÄSTRA GÖTALANDS LÄN</t>
        </is>
      </c>
      <c r="G563" t="inlineStr">
        <is>
          <t>BORÅS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10291-2025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45720</v>
      </c>
      <c r="E564" s="1" t="n">
        <v>46304</v>
      </c>
      <c r="F564" t="inlineStr">
        <is>
          <t>VÄSTRA GÖTALANDS LÄN</t>
        </is>
      </c>
      <c r="G564" t="inlineStr">
        <is>
          <t>BORÅS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46304</v>
      </c>
      <c r="F565" t="inlineStr">
        <is>
          <t>VÄSTRA GÖTALANDS LÄN</t>
        </is>
      </c>
      <c r="G565" t="inlineStr">
        <is>
          <t>BORÅS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45274</v>
      </c>
      <c r="E566" s="1" t="n">
        <v>46304</v>
      </c>
      <c r="F566" t="inlineStr">
        <is>
          <t>VÄSTRA GÖTALANDS LÄN</t>
        </is>
      </c>
      <c r="G566" t="inlineStr">
        <is>
          <t>BORÅS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45812</v>
      </c>
      <c r="E567" s="1" t="n">
        <v>46304</v>
      </c>
      <c r="F567" t="inlineStr">
        <is>
          <t>VÄSTRA GÖTALANDS LÄN</t>
        </is>
      </c>
      <c r="G567" t="inlineStr">
        <is>
          <t>BORÅS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14777-2022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44656</v>
      </c>
      <c r="E568" s="1" t="n">
        <v>46304</v>
      </c>
      <c r="F568" t="inlineStr">
        <is>
          <t>VÄSTRA GÖTALANDS LÄN</t>
        </is>
      </c>
      <c r="G568" t="inlineStr">
        <is>
          <t>BORÅS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45812</v>
      </c>
      <c r="E569" s="1" t="n">
        <v>46304</v>
      </c>
      <c r="F569" t="inlineStr">
        <is>
          <t>VÄSTRA GÖTALANDS LÄN</t>
        </is>
      </c>
      <c r="G569" t="inlineStr">
        <is>
          <t>BORÅS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45812</v>
      </c>
      <c r="E570" s="1" t="n">
        <v>46304</v>
      </c>
      <c r="F570" t="inlineStr">
        <is>
          <t>VÄSTRA GÖTALANDS LÄN</t>
        </is>
      </c>
      <c r="G570" t="inlineStr">
        <is>
          <t>BORÅS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27370-2025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45812</v>
      </c>
      <c r="E571" s="1" t="n">
        <v>46304</v>
      </c>
      <c r="F571" t="inlineStr">
        <is>
          <t>VÄSTRA GÖTALANDS LÄN</t>
        </is>
      </c>
      <c r="G571" t="inlineStr">
        <is>
          <t>BORÅS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46420-2024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45582</v>
      </c>
      <c r="E572" s="1" t="n">
        <v>46304</v>
      </c>
      <c r="F572" t="inlineStr">
        <is>
          <t>VÄSTRA GÖTALANDS LÄN</t>
        </is>
      </c>
      <c r="G572" t="inlineStr">
        <is>
          <t>BORÅS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45817</v>
      </c>
      <c r="E573" s="1" t="n">
        <v>46304</v>
      </c>
      <c r="F573" t="inlineStr">
        <is>
          <t>VÄSTRA GÖTALANDS LÄN</t>
        </is>
      </c>
      <c r="G573" t="inlineStr">
        <is>
          <t>BORÅS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45817</v>
      </c>
      <c r="E574" s="1" t="n">
        <v>46304</v>
      </c>
      <c r="F574" t="inlineStr">
        <is>
          <t>VÄSTRA GÖTALANDS LÄN</t>
        </is>
      </c>
      <c r="G574" t="inlineStr">
        <is>
          <t>BORÅS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13436-2025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45735</v>
      </c>
      <c r="E575" s="1" t="n">
        <v>46304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45819</v>
      </c>
      <c r="E576" s="1" t="n">
        <v>46304</v>
      </c>
      <c r="F576" t="inlineStr">
        <is>
          <t>VÄSTRA GÖTALANDS LÄN</t>
        </is>
      </c>
      <c r="G576" t="inlineStr">
        <is>
          <t>BORÅS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45821</v>
      </c>
      <c r="E577" s="1" t="n">
        <v>46304</v>
      </c>
      <c r="F577" t="inlineStr">
        <is>
          <t>VÄSTRA GÖTALANDS LÄN</t>
        </is>
      </c>
      <c r="G577" t="inlineStr">
        <is>
          <t>BORÅS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29126-2025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45821</v>
      </c>
      <c r="E578" s="1" t="n">
        <v>46304</v>
      </c>
      <c r="F578" t="inlineStr">
        <is>
          <t>VÄSTRA GÖTALANDS LÄN</t>
        </is>
      </c>
      <c r="G578" t="inlineStr">
        <is>
          <t>BORÅS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46304</v>
      </c>
      <c r="F579" t="inlineStr">
        <is>
          <t>VÄSTRA GÖTALANDS LÄN</t>
        </is>
      </c>
      <c r="G579" t="inlineStr">
        <is>
          <t>BORÅS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27339-2024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45472</v>
      </c>
      <c r="E580" s="1" t="n">
        <v>46304</v>
      </c>
      <c r="F580" t="inlineStr">
        <is>
          <t>VÄSTRA GÖTALANDS LÄN</t>
        </is>
      </c>
      <c r="G580" t="inlineStr">
        <is>
          <t>BORÅS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29209-2025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45823</v>
      </c>
      <c r="E581" s="1" t="n">
        <v>46304</v>
      </c>
      <c r="F581" t="inlineStr">
        <is>
          <t>VÄSTRA GÖTALANDS LÄN</t>
        </is>
      </c>
      <c r="G581" t="inlineStr">
        <is>
          <t>BORÅS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46252</v>
      </c>
      <c r="E582" s="1" t="n">
        <v>46304</v>
      </c>
      <c r="F582" t="inlineStr">
        <is>
          <t>VÄSTRA GÖTALANDS LÄN</t>
        </is>
      </c>
      <c r="G582" t="inlineStr">
        <is>
          <t>BORÅS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11755-2025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45727</v>
      </c>
      <c r="E583" s="1" t="n">
        <v>46304</v>
      </c>
      <c r="F583" t="inlineStr">
        <is>
          <t>VÄSTRA GÖTALANDS LÄN</t>
        </is>
      </c>
      <c r="G583" t="inlineStr">
        <is>
          <t>BORÅS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46304</v>
      </c>
      <c r="F584" t="inlineStr">
        <is>
          <t>VÄSTRA GÖTALANDS LÄN</t>
        </is>
      </c>
      <c r="G584" t="inlineStr">
        <is>
          <t>BORÅS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45741</v>
      </c>
      <c r="E585" s="1" t="n">
        <v>46304</v>
      </c>
      <c r="F585" t="inlineStr">
        <is>
          <t>VÄSTRA GÖTALANDS LÄN</t>
        </is>
      </c>
      <c r="G585" t="inlineStr">
        <is>
          <t>BORÅS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14379-2025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45741</v>
      </c>
      <c r="E586" s="1" t="n">
        <v>46304</v>
      </c>
      <c r="F586" t="inlineStr">
        <is>
          <t>VÄSTRA GÖTALANDS LÄN</t>
        </is>
      </c>
      <c r="G586" t="inlineStr">
        <is>
          <t>BORÅS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40575-2026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46295</v>
      </c>
      <c r="E587" s="1" t="n">
        <v>46304</v>
      </c>
      <c r="F587" t="inlineStr">
        <is>
          <t>VÄSTRA GÖTALANDS LÄN</t>
        </is>
      </c>
      <c r="G587" t="inlineStr">
        <is>
          <t>BORÅS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46304</v>
      </c>
      <c r="F588" t="inlineStr">
        <is>
          <t>VÄSTRA GÖTALANDS LÄN</t>
        </is>
      </c>
      <c r="G588" t="inlineStr">
        <is>
          <t>BORÅS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30312-2025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45827</v>
      </c>
      <c r="E589" s="1" t="n">
        <v>46304</v>
      </c>
      <c r="F589" t="inlineStr">
        <is>
          <t>VÄSTRA GÖTALANDS LÄN</t>
        </is>
      </c>
      <c r="G589" t="inlineStr">
        <is>
          <t>BORÅS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46304</v>
      </c>
      <c r="F590" t="inlineStr">
        <is>
          <t>VÄSTRA GÖTALANDS LÄN</t>
        </is>
      </c>
      <c r="G590" t="inlineStr">
        <is>
          <t>BORÅS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46304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46304</v>
      </c>
      <c r="F592" t="inlineStr">
        <is>
          <t>VÄSTRA GÖTALANDS LÄN</t>
        </is>
      </c>
      <c r="G592" t="inlineStr">
        <is>
          <t>BORÅS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46304</v>
      </c>
      <c r="F593" t="inlineStr">
        <is>
          <t>VÄSTRA GÖTALANDS LÄN</t>
        </is>
      </c>
      <c r="G593" t="inlineStr">
        <is>
          <t>BORÅS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46304</v>
      </c>
      <c r="F594" t="inlineStr">
        <is>
          <t>VÄSTRA GÖTALANDS LÄN</t>
        </is>
      </c>
      <c r="G594" t="inlineStr">
        <is>
          <t>BORÅS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46304</v>
      </c>
      <c r="F595" t="inlineStr">
        <is>
          <t>VÄSTRA GÖTALANDS LÄN</t>
        </is>
      </c>
      <c r="G595" t="inlineStr">
        <is>
          <t>BORÅS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46304</v>
      </c>
      <c r="F596" t="inlineStr">
        <is>
          <t>VÄSTRA GÖTALANDS LÄN</t>
        </is>
      </c>
      <c r="G596" t="inlineStr">
        <is>
          <t>BORÅS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45937</v>
      </c>
      <c r="E597" s="1" t="n">
        <v>46304</v>
      </c>
      <c r="F597" t="inlineStr">
        <is>
          <t>VÄSTRA GÖTALANDS LÄN</t>
        </is>
      </c>
      <c r="G597" t="inlineStr">
        <is>
          <t>BORÅS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46304</v>
      </c>
      <c r="F598" t="inlineStr">
        <is>
          <t>VÄSTRA GÖTALANDS LÄN</t>
        </is>
      </c>
      <c r="G598" t="inlineStr">
        <is>
          <t>BORÅS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45294</v>
      </c>
      <c r="E599" s="1" t="n">
        <v>46304</v>
      </c>
      <c r="F599" t="inlineStr">
        <is>
          <t>VÄSTRA GÖTALANDS LÄN</t>
        </is>
      </c>
      <c r="G599" t="inlineStr">
        <is>
          <t>BORÅS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46304</v>
      </c>
      <c r="F600" t="inlineStr">
        <is>
          <t>VÄSTRA GÖTALANDS LÄN</t>
        </is>
      </c>
      <c r="G600" t="inlineStr">
        <is>
          <t>BORÅS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45308</v>
      </c>
      <c r="E601" s="1" t="n">
        <v>46304</v>
      </c>
      <c r="F601" t="inlineStr">
        <is>
          <t>VÄSTRA GÖTALANDS LÄN</t>
        </is>
      </c>
      <c r="G601" t="inlineStr">
        <is>
          <t>BORÅS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45294</v>
      </c>
      <c r="E602" s="1" t="n">
        <v>46304</v>
      </c>
      <c r="F602" t="inlineStr">
        <is>
          <t>VÄSTRA GÖTALANDS LÄN</t>
        </is>
      </c>
      <c r="G602" t="inlineStr">
        <is>
          <t>BORÅS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46304</v>
      </c>
      <c r="F603" t="inlineStr">
        <is>
          <t>VÄSTRA GÖTALANDS LÄN</t>
        </is>
      </c>
      <c r="G603" t="inlineStr">
        <is>
          <t>BORÅS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42000-2026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46304</v>
      </c>
      <c r="F604" t="inlineStr">
        <is>
          <t>VÄSTRA GÖTALANDS LÄN</t>
        </is>
      </c>
      <c r="G604" t="inlineStr">
        <is>
          <t>BORÅS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46304</v>
      </c>
      <c r="F605" t="inlineStr">
        <is>
          <t>VÄSTRA GÖTALANDS LÄN</t>
        </is>
      </c>
      <c r="G605" t="inlineStr">
        <is>
          <t>BORÅS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46260</v>
      </c>
      <c r="E606" s="1" t="n">
        <v>46304</v>
      </c>
      <c r="F606" t="inlineStr">
        <is>
          <t>VÄSTRA GÖTALANDS LÄN</t>
        </is>
      </c>
      <c r="G606" t="inlineStr">
        <is>
          <t>BORÅS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46304</v>
      </c>
      <c r="F607" t="inlineStr">
        <is>
          <t>VÄSTRA GÖTALANDS LÄN</t>
        </is>
      </c>
      <c r="G607" t="inlineStr">
        <is>
          <t>BORÅS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46304</v>
      </c>
      <c r="F608" t="inlineStr">
        <is>
          <t>VÄSTRA GÖTALANDS LÄN</t>
        </is>
      </c>
      <c r="G608" t="inlineStr">
        <is>
          <t>BORÅS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46260</v>
      </c>
      <c r="E609" s="1" t="n">
        <v>46304</v>
      </c>
      <c r="F609" t="inlineStr">
        <is>
          <t>VÄSTRA GÖTALANDS LÄN</t>
        </is>
      </c>
      <c r="G609" t="inlineStr">
        <is>
          <t>BORÅS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46304</v>
      </c>
      <c r="F610" t="inlineStr">
        <is>
          <t>VÄSTRA GÖTALANDS LÄN</t>
        </is>
      </c>
      <c r="G610" t="inlineStr">
        <is>
          <t>BORÅS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46304</v>
      </c>
      <c r="F611" t="inlineStr">
        <is>
          <t>VÄSTRA GÖTALANDS LÄN</t>
        </is>
      </c>
      <c r="G611" t="inlineStr">
        <is>
          <t>BORÅS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2978-2023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45174</v>
      </c>
      <c r="E612" s="1" t="n">
        <v>46304</v>
      </c>
      <c r="F612" t="inlineStr">
        <is>
          <t>VÄSTRA GÖTALANDS LÄN</t>
        </is>
      </c>
      <c r="G612" t="inlineStr">
        <is>
          <t>BORÅS</t>
        </is>
      </c>
      <c r="I612" t="n">
        <v>65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4414-2022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44785</v>
      </c>
      <c r="E613" s="1" t="n">
        <v>46304</v>
      </c>
      <c r="F613" t="inlineStr">
        <is>
          <t>VÄSTRA GÖTALANDS LÄN</t>
        </is>
      </c>
      <c r="G613" t="inlineStr">
        <is>
          <t>BORÅS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1019-2023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45008</v>
      </c>
      <c r="E614" s="1" t="n">
        <v>46304</v>
      </c>
      <c r="F614" t="inlineStr">
        <is>
          <t>VÄSTRA GÖTALANDS LÄN</t>
        </is>
      </c>
      <c r="G614" t="inlineStr">
        <is>
          <t>BORÅS</t>
        </is>
      </c>
      <c r="I614" t="n">
        <v>18.4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1252-2022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44624</v>
      </c>
      <c r="E615" s="1" t="n">
        <v>46304</v>
      </c>
      <c r="F615" t="inlineStr">
        <is>
          <t>VÄSTRA GÖTALANDS LÄN</t>
        </is>
      </c>
      <c r="G615" t="inlineStr">
        <is>
          <t>BORÅS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6936-2022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44900</v>
      </c>
      <c r="E616" s="1" t="n">
        <v>46304</v>
      </c>
      <c r="F616" t="inlineStr">
        <is>
          <t>VÄSTRA GÖTALANDS LÄN</t>
        </is>
      </c>
      <c r="G616" t="inlineStr">
        <is>
          <t>BORÅS</t>
        </is>
      </c>
      <c r="I616" t="n">
        <v>11.8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6156-2022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44865</v>
      </c>
      <c r="E617" s="1" t="n">
        <v>46304</v>
      </c>
      <c r="F617" t="inlineStr">
        <is>
          <t>VÄSTRA GÖTALANDS LÄN</t>
        </is>
      </c>
      <c r="G617" t="inlineStr">
        <is>
          <t>BORÅS</t>
        </is>
      </c>
      <c r="I617" t="n">
        <v>15.6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4259-2023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45257</v>
      </c>
      <c r="E618" s="1" t="n">
        <v>46304</v>
      </c>
      <c r="F618" t="inlineStr">
        <is>
          <t>VÄSTRA GÖTALANDS LÄN</t>
        </is>
      </c>
      <c r="G618" t="inlineStr">
        <is>
          <t>BORÅS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2970-2023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45173</v>
      </c>
      <c r="E619" s="1" t="n">
        <v>46304</v>
      </c>
      <c r="F619" t="inlineStr">
        <is>
          <t>VÄSTRA GÖTALANDS LÄN</t>
        </is>
      </c>
      <c r="G619" t="inlineStr">
        <is>
          <t>BORÅS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1559-2022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44642</v>
      </c>
      <c r="E620" s="1" t="n">
        <v>46304</v>
      </c>
      <c r="F620" t="inlineStr">
        <is>
          <t>VÄSTRA GÖTALANDS LÄN</t>
        </is>
      </c>
      <c r="G620" t="inlineStr">
        <is>
          <t>BORÅS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6934-2022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46304</v>
      </c>
      <c r="F621" t="inlineStr">
        <is>
          <t>VÄSTRA GÖTALANDS LÄN</t>
        </is>
      </c>
      <c r="G621" t="inlineStr">
        <is>
          <t>BORÅS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3027-2024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45513</v>
      </c>
      <c r="E622" s="1" t="n">
        <v>46304</v>
      </c>
      <c r="F622" t="inlineStr">
        <is>
          <t>VÄSTRA GÖTALANDS LÄN</t>
        </is>
      </c>
      <c r="G622" t="inlineStr">
        <is>
          <t>BORÅS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2814-2022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44706</v>
      </c>
      <c r="E623" s="1" t="n">
        <v>46304</v>
      </c>
      <c r="F623" t="inlineStr">
        <is>
          <t>VÄSTRA GÖTALANDS LÄN</t>
        </is>
      </c>
      <c r="G623" t="inlineStr">
        <is>
          <t>BORÅS</t>
        </is>
      </c>
      <c r="H623" t="inlineStr">
        <is>
          <t>Kyrkan</t>
        </is>
      </c>
      <c r="I623" t="n">
        <v>39.7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46304</v>
      </c>
      <c r="F624" t="inlineStr">
        <is>
          <t>VÄSTRA GÖTALANDS LÄN</t>
        </is>
      </c>
      <c r="G624" t="inlineStr">
        <is>
          <t>BORÅS</t>
        </is>
      </c>
      <c r="I624" t="n">
        <v>30.4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6937-2022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46304</v>
      </c>
      <c r="F625" t="inlineStr">
        <is>
          <t>VÄSTRA GÖTALANDS LÄN</t>
        </is>
      </c>
      <c r="G625" t="inlineStr">
        <is>
          <t>BORÅS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3398-2024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45534</v>
      </c>
      <c r="E626" s="1" t="n">
        <v>46304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1800-2025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45814</v>
      </c>
      <c r="E627" s="1" t="n">
        <v>46304</v>
      </c>
      <c r="F627" t="inlineStr">
        <is>
          <t>VÄSTRA GÖTALANDS LÄN</t>
        </is>
      </c>
      <c r="G627" t="inlineStr">
        <is>
          <t>BORÅS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1640-2024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45429</v>
      </c>
      <c r="E628" s="1" t="n">
        <v>46304</v>
      </c>
      <c r="F628" t="inlineStr">
        <is>
          <t>VÄSTRA GÖTALANDS LÄN</t>
        </is>
      </c>
      <c r="G628" t="inlineStr">
        <is>
          <t>BORÅS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1979-2025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45831</v>
      </c>
      <c r="E629" s="1" t="n">
        <v>46304</v>
      </c>
      <c r="F629" t="inlineStr">
        <is>
          <t>VÄSTRA GÖTALANDS LÄN</t>
        </is>
      </c>
      <c r="G629" t="inlineStr">
        <is>
          <t>BORÅS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2374-2025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45890</v>
      </c>
      <c r="E630" s="1" t="n">
        <v>46304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3201-2025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45979</v>
      </c>
      <c r="E631" s="1" t="n">
        <v>46304</v>
      </c>
      <c r="F631" t="inlineStr">
        <is>
          <t>VÄSTRA GÖTALANDS LÄN</t>
        </is>
      </c>
      <c r="G631" t="inlineStr">
        <is>
          <t>BORÅS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944-2025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45740</v>
      </c>
      <c r="E632" s="1" t="n">
        <v>46304</v>
      </c>
      <c r="F632" t="inlineStr">
        <is>
          <t>VÄSTRA GÖTALANDS LÄN</t>
        </is>
      </c>
      <c r="G632" t="inlineStr">
        <is>
          <t>BORÅS</t>
        </is>
      </c>
      <c r="I632" t="n">
        <v>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943-2025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46304</v>
      </c>
      <c r="F633" t="inlineStr">
        <is>
          <t>VÄSTRA GÖTALANDS LÄN</t>
        </is>
      </c>
      <c r="G633" t="inlineStr">
        <is>
          <t>BORÅS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2453-2023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45127</v>
      </c>
      <c r="E634" s="1" t="n">
        <v>46304</v>
      </c>
      <c r="F634" t="inlineStr">
        <is>
          <t>VÄSTRA GÖTALANDS LÄN</t>
        </is>
      </c>
      <c r="G634" t="inlineStr">
        <is>
          <t>BORÅS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46073</v>
      </c>
      <c r="E635" s="1" t="n">
        <v>46304</v>
      </c>
      <c r="F635" t="inlineStr">
        <is>
          <t>VÄSTRA GÖTALANDS LÄN</t>
        </is>
      </c>
      <c r="G635" t="inlineStr">
        <is>
          <t>BORÅS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560-2026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46083</v>
      </c>
      <c r="E636" s="1" t="n">
        <v>46304</v>
      </c>
      <c r="F636" t="inlineStr">
        <is>
          <t>VÄSTRA GÖTALANDS LÄN</t>
        </is>
      </c>
      <c r="G636" t="inlineStr">
        <is>
          <t>BORÅS</t>
        </is>
      </c>
      <c r="I636" t="n">
        <v>17.6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2026-10-09T02:08:40Z</dcterms:created>
  <dcterms:modified xmlns:dcterms="http://purl.org/dc/terms/" xmlns:xsi="http://www.w3.org/2001/XMLSchema-instance" xsi:type="dcterms:W3CDTF">2026-10-09T02:08:41Z</dcterms:modified>
</cp:coreProperties>
</file>