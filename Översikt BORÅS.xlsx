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46255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46255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46255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46255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46255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46255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46255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46255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46255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46255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46255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46255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46255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46255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46255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46255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46255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46255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46255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46255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46255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46255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46255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46255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46255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46255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46255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46255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46255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46255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46255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4362-2022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44589</v>
      </c>
      <c r="E39" s="1" t="n">
        <v>46255</v>
      </c>
      <c r="F39" t="inlineStr">
        <is>
          <t>VÄSTRA GÖTALANDS LÄN</t>
        </is>
      </c>
      <c r="G39" t="inlineStr">
        <is>
          <t>BORÅS</t>
        </is>
      </c>
      <c r="I39" t="n">
        <v>3.7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Gröngöling
Svartvit flugsnappare</t>
        </is>
      </c>
      <c r="W39">
        <f>HYPERLINK("https://klasma.github.io/Logging_1490/artfynd/A 4362-2022 artfynd.xlsx", "A 4362-2022")</f>
        <v/>
      </c>
      <c r="X39">
        <f>HYPERLINK("https://klasma.github.io/Logging_1490/kartor/A 4362-2022 karta.png", "A 4362-2022")</f>
        <v/>
      </c>
      <c r="Y39">
        <f>HYPERLINK("https://klasma.github.io/Logging_1490/kartor_geotiff/A 4362-2022 georefererad karta.tif", "A 4362-2022")</f>
        <v/>
      </c>
      <c r="AA39">
        <f>HYPERLINK("https://klasma.github.io/Logging_1490/klagomål/A 4362-2022 FSC-klagomål.docx", "A 4362-2022")</f>
        <v/>
      </c>
      <c r="AB39">
        <f>HYPERLINK("https://klasma.github.io/Logging_1490/klagomålsmail/A 4362-2022 FSC-klagomål mail.docx", "A 4362-2022")</f>
        <v/>
      </c>
      <c r="AC39">
        <f>HYPERLINK("https://klasma.github.io/Logging_1490/tillsyn/A 4362-2022 tillsynsbegäran.docx", "A 4362-2022")</f>
        <v/>
      </c>
      <c r="AD39">
        <f>HYPERLINK("https://klasma.github.io/Logging_1490/tillsynsmail/A 4362-2022 tillsynsbegäran mail.docx", "A 4362-2022")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46255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46255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46255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46255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46255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46255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46255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46255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12385-2024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45379</v>
      </c>
      <c r="E48" s="1" t="n">
        <v>46255</v>
      </c>
      <c r="F48" t="inlineStr">
        <is>
          <t>VÄSTRA GÖTALANDS LÄN</t>
        </is>
      </c>
      <c r="G48" t="inlineStr">
        <is>
          <t>BORÅS</t>
        </is>
      </c>
      <c r="H48" t="inlineStr">
        <is>
          <t>Sveaskog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Tofsmes</t>
        </is>
      </c>
      <c r="W48">
        <f>HYPERLINK("https://klasma.github.io/Logging_1490/artfynd/A 12385-2024 artfynd.xlsx", "A 12385-2024")</f>
        <v/>
      </c>
      <c r="X48">
        <f>HYPERLINK("https://klasma.github.io/Logging_1490/kartor/A 12385-2024 karta.png", "A 12385-2024")</f>
        <v/>
      </c>
      <c r="Y48">
        <f>HYPERLINK("https://klasma.github.io/Logging_1490/kartor_geotiff/A 12385-2024 georefererad karta.tif", "A 12385-2024")</f>
        <v/>
      </c>
      <c r="AA48">
        <f>HYPERLINK("https://klasma.github.io/Logging_1490/klagomål/A 12385-2024 FSC-klagomål.docx", "A 12385-2024")</f>
        <v/>
      </c>
      <c r="AB48">
        <f>HYPERLINK("https://klasma.github.io/Logging_1490/klagomålsmail/A 12385-2024 FSC-klagomål mail.docx", "A 12385-2024")</f>
        <v/>
      </c>
      <c r="AC48">
        <f>HYPERLINK("https://klasma.github.io/Logging_1490/tillsyn/A 12385-2024 tillsynsbegäran.docx", "A 12385-2024")</f>
        <v/>
      </c>
      <c r="AD48">
        <f>HYPERLINK("https://klasma.github.io/Logging_1490/tillsynsmail/A 12385-2024 tillsynsbegäran mail.docx", "A 12385-2024")</f>
        <v/>
      </c>
      <c r="AE48">
        <f>HYPERLINK("https://klasma.github.io/Logging_1490/fåglar/A 12385-2024 prioriterade fågelarter.docx", "A 12385-2024")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46255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46255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46255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46255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46255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46255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46255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46255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46255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46255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padda</t>
        </is>
      </c>
      <c r="W58">
        <f>HYPERLINK("https://klasma.github.io/Logging_1490/artfynd/A 19911-2023 artfynd.xlsx", "A 19911-2023")</f>
        <v/>
      </c>
      <c r="X58">
        <f>HYPERLINK("https://klasma.github.io/Logging_1490/kartor/A 19911-2023 karta.png", "A 19911-2023")</f>
        <v/>
      </c>
      <c r="Y58">
        <f>HYPERLINK("https://klasma.github.io/Logging_1490/kartor_geotiff/A 19911-2023 georefererad karta.tif", "A 19911-2023")</f>
        <v/>
      </c>
      <c r="AA58">
        <f>HYPERLINK("https://klasma.github.io/Logging_1490/klagomål/A 19911-2023 FSC-klagomål.docx", "A 19911-2023")</f>
        <v/>
      </c>
      <c r="AB58">
        <f>HYPERLINK("https://klasma.github.io/Logging_1490/klagomålsmail/A 19911-2023 FSC-klagomål mail.docx", "A 19911-2023")</f>
        <v/>
      </c>
      <c r="AC58">
        <f>HYPERLINK("https://klasma.github.io/Logging_1490/tillsyn/A 19911-2023 tillsynsbegäran.docx", "A 19911-2023")</f>
        <v/>
      </c>
      <c r="AD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46255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62162-2023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46255</v>
      </c>
      <c r="F60" t="inlineStr">
        <is>
          <t>VÄSTRA GÖTALANDS LÄN</t>
        </is>
      </c>
      <c r="G60" t="inlineStr">
        <is>
          <t>BORÅS</t>
        </is>
      </c>
      <c r="I60" t="n">
        <v>2.2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Gulsparv</t>
        </is>
      </c>
      <c r="W60">
        <f>HYPERLINK("https://klasma.github.io/Logging_1490/artfynd/A 62162-2023 artfynd.xlsx", "A 62162-2023")</f>
        <v/>
      </c>
      <c r="X60">
        <f>HYPERLINK("https://klasma.github.io/Logging_1490/kartor/A 62162-2023 karta.png", "A 62162-2023")</f>
        <v/>
      </c>
      <c r="Y60">
        <f>HYPERLINK("https://klasma.github.io/Logging_1490/kartor_geotiff/A 62162-2023 georefererad karta.tif", "A 62162-2023")</f>
        <v/>
      </c>
      <c r="AA60">
        <f>HYPERLINK("https://klasma.github.io/Logging_1490/klagomål/A 62162-2023 FSC-klagomål.docx", "A 62162-2023")</f>
        <v/>
      </c>
      <c r="AB60">
        <f>HYPERLINK("https://klasma.github.io/Logging_1490/klagomålsmail/A 62162-2023 FSC-klagomål mail.docx", "A 62162-2023")</f>
        <v/>
      </c>
      <c r="AC60">
        <f>HYPERLINK("https://klasma.github.io/Logging_1490/tillsyn/A 62162-2023 tillsynsbegäran.docx", "A 62162-2023")</f>
        <v/>
      </c>
      <c r="AD60">
        <f>HYPERLINK("https://klasma.github.io/Logging_1490/tillsynsmail/A 62162-2023 tillsynsbegäran mail.docx", "A 62162-2023")</f>
        <v/>
      </c>
      <c r="AE60">
        <f>HYPERLINK("https://klasma.github.io/Logging_1490/fåglar/A 62162-2023 prioriterade fågelarter.docx", "A 62162-2023")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46255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46255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Hasselmus</t>
        </is>
      </c>
      <c r="W62">
        <f>HYPERLINK("https://klasma.github.io/Logging_1490/artfynd/A 3719-2024 artfynd.xlsx", "A 3719-2024")</f>
        <v/>
      </c>
      <c r="X62">
        <f>HYPERLINK("https://klasma.github.io/Logging_1490/kartor/A 3719-2024 karta.png", "A 3719-2024")</f>
        <v/>
      </c>
      <c r="Y62">
        <f>HYPERLINK("https://klasma.github.io/Logging_1490/kartor_geotiff/A 3719-2024 georefererad karta.tif", "A 3719-2024")</f>
        <v/>
      </c>
      <c r="AA62">
        <f>HYPERLINK("https://klasma.github.io/Logging_1490/klagomål/A 3719-2024 FSC-klagomål.docx", "A 3719-2024")</f>
        <v/>
      </c>
      <c r="AB62">
        <f>HYPERLINK("https://klasma.github.io/Logging_1490/klagomålsmail/A 3719-2024 FSC-klagomål mail.docx", "A 3719-2024")</f>
        <v/>
      </c>
      <c r="AC62">
        <f>HYPERLINK("https://klasma.github.io/Logging_1490/tillsyn/A 3719-2024 tillsynsbegäran.docx", "A 3719-2024")</f>
        <v/>
      </c>
      <c r="AD62">
        <f>HYPERLINK("https://klasma.github.io/Logging_1490/tillsynsmail/A 3719-2024 tillsynsbegäran mail.docx", "A 3719-2024")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46255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46255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46255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Vågbandad barkbock</t>
        </is>
      </c>
      <c r="W65">
        <f>HYPERLINK("https://klasma.github.io/Logging_1490/artfynd/A 3772-2024 artfynd.xlsx", "A 3772-2024")</f>
        <v/>
      </c>
      <c r="X65">
        <f>HYPERLINK("https://klasma.github.io/Logging_1490/kartor/A 3772-2024 karta.png", "A 3772-2024")</f>
        <v/>
      </c>
      <c r="Y65">
        <f>HYPERLINK("https://klasma.github.io/Logging_1490/kartor_geotiff/A 3772-2024 georefererad karta.tif", "A 3772-2024")</f>
        <v/>
      </c>
      <c r="AA65">
        <f>HYPERLINK("https://klasma.github.io/Logging_1490/klagomål/A 3772-2024 FSC-klagomål.docx", "A 3772-2024")</f>
        <v/>
      </c>
      <c r="AB65">
        <f>HYPERLINK("https://klasma.github.io/Logging_1490/klagomålsmail/A 3772-2024 FSC-klagomål mail.docx", "A 3772-2024")</f>
        <v/>
      </c>
      <c r="AC65">
        <f>HYPERLINK("https://klasma.github.io/Logging_1490/tillsyn/A 3772-2024 tillsynsbegäran.docx", "A 3772-2024")</f>
        <v/>
      </c>
      <c r="AD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46255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Kungsfågel</t>
        </is>
      </c>
      <c r="W66">
        <f>HYPERLINK("https://klasma.github.io/Logging_1490/artfynd/A 1922-2025 artfynd.xlsx", "A 1922-2025")</f>
        <v/>
      </c>
      <c r="X66">
        <f>HYPERLINK("https://klasma.github.io/Logging_1490/kartor/A 1922-2025 karta.png", "A 1922-2025")</f>
        <v/>
      </c>
      <c r="Y66">
        <f>HYPERLINK("https://klasma.github.io/Logging_1490/kartor_geotiff/A 1922-2025 georefererad karta.tif", "A 1922-2025")</f>
        <v/>
      </c>
      <c r="AA66">
        <f>HYPERLINK("https://klasma.github.io/Logging_1490/klagomål/A 1922-2025 FSC-klagomål.docx", "A 1922-2025")</f>
        <v/>
      </c>
      <c r="AB66">
        <f>HYPERLINK("https://klasma.github.io/Logging_1490/klagomålsmail/A 1922-2025 FSC-klagomål mail.docx", "A 1922-2025")</f>
        <v/>
      </c>
      <c r="AC66">
        <f>HYPERLINK("https://klasma.github.io/Logging_1490/tillsyn/A 1922-2025 tillsynsbegäran.docx", "A 1922-2025")</f>
        <v/>
      </c>
      <c r="AD66">
        <f>HYPERLINK("https://klasma.github.io/Logging_1490/tillsynsmail/A 1922-2025 tillsynsbegäran mail.docx", "A 1922-2025")</f>
        <v/>
      </c>
    </row>
    <row r="67" ht="15" customHeight="1">
      <c r="A67" t="inlineStr">
        <is>
          <t>A 3760-2024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46255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6.8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Kråka</t>
        </is>
      </c>
      <c r="W67">
        <f>HYPERLINK("https://klasma.github.io/Logging_1490/artfynd/A 3760-2024 artfynd.xlsx", "A 3760-2024")</f>
        <v/>
      </c>
      <c r="X67">
        <f>HYPERLINK("https://klasma.github.io/Logging_1490/kartor/A 3760-2024 karta.png", "A 3760-2024")</f>
        <v/>
      </c>
      <c r="Y67">
        <f>HYPERLINK("https://klasma.github.io/Logging_1490/kartor_geotiff/A 3760-2024 georefererad karta.tif", "A 3760-2024")</f>
        <v/>
      </c>
      <c r="AA67">
        <f>HYPERLINK("https://klasma.github.io/Logging_1490/klagomål/A 3760-2024 FSC-klagomål.docx", "A 3760-2024")</f>
        <v/>
      </c>
      <c r="AB67">
        <f>HYPERLINK("https://klasma.github.io/Logging_1490/klagomålsmail/A 3760-2024 FSC-klagomål mail.docx", "A 3760-2024")</f>
        <v/>
      </c>
      <c r="AC67">
        <f>HYPERLINK("https://klasma.github.io/Logging_1490/tillsyn/A 3760-2024 tillsynsbegäran.docx", "A 3760-2024")</f>
        <v/>
      </c>
      <c r="AD67">
        <f>HYPERLINK("https://klasma.github.io/Logging_1490/tillsynsmail/A 3760-2024 tillsynsbegäran mail.docx", "A 3760-2024")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46255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46255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Fällmossa</t>
        </is>
      </c>
      <c r="W69">
        <f>HYPERLINK("https://klasma.github.io/Logging_1490/artfynd/A 61684-2023 artfynd.xlsx", "A 61684-2023")</f>
        <v/>
      </c>
      <c r="X69">
        <f>HYPERLINK("https://klasma.github.io/Logging_1490/kartor/A 61684-2023 karta.png", "A 61684-2023")</f>
        <v/>
      </c>
      <c r="Y69">
        <f>HYPERLINK("https://klasma.github.io/Logging_1490/kartor_geotiff/A 61684-2023 georefererad karta.tif", "A 61684-2023")</f>
        <v/>
      </c>
      <c r="AA69">
        <f>HYPERLINK("https://klasma.github.io/Logging_1490/klagomål/A 61684-2023 FSC-klagomål.docx", "A 61684-2023")</f>
        <v/>
      </c>
      <c r="AB69">
        <f>HYPERLINK("https://klasma.github.io/Logging_1490/klagomålsmail/A 61684-2023 FSC-klagomål mail.docx", "A 61684-2023")</f>
        <v/>
      </c>
      <c r="AC69">
        <f>HYPERLINK("https://klasma.github.io/Logging_1490/tillsyn/A 61684-2023 tillsynsbegäran.docx", "A 61684-2023")</f>
        <v/>
      </c>
      <c r="AD69">
        <f>HYPERLINK("https://klasma.github.io/Logging_1490/tillsynsmail/A 61684-2023 tillsynsbegäran mail.docx", "A 61684-2023")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46255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46255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46255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46255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46255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46255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46255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46255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46255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46255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46255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46255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46255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46255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46255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46255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46255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46255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46255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46255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46255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46255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46255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46255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46255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46255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46255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46255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46255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46255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46255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46255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46255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46255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46255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46255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46255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46255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46255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46255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46255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46255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46255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46255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46255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46255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46255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46255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46255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46255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46255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46255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46255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46255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46255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46255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46255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46255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46255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46255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46255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46255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46255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46255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46255</v>
      </c>
      <c r="F134" t="inlineStr">
        <is>
          <t>VÄSTRA GÖTALANDS LÄN</t>
        </is>
      </c>
      <c r="G134" t="inlineStr">
        <is>
          <t>BORÅS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46255</v>
      </c>
      <c r="F135" t="inlineStr">
        <is>
          <t>VÄSTRA GÖTALANDS LÄN</t>
        </is>
      </c>
      <c r="G135" t="inlineStr">
        <is>
          <t>BORÅS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46255</v>
      </c>
      <c r="F136" t="inlineStr">
        <is>
          <t>VÄSTRA GÖTALANDS LÄN</t>
        </is>
      </c>
      <c r="G136" t="inlineStr">
        <is>
          <t>BORÅS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46255</v>
      </c>
      <c r="F137" t="inlineStr">
        <is>
          <t>VÄSTRA GÖTALANDS LÄN</t>
        </is>
      </c>
      <c r="G137" t="inlineStr">
        <is>
          <t>BORÅS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46255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46538-2021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44445</v>
      </c>
      <c r="E139" s="1" t="n">
        <v>46255</v>
      </c>
      <c r="F139" t="inlineStr">
        <is>
          <t>VÄSTRA GÖTALANDS LÄN</t>
        </is>
      </c>
      <c r="G139" t="inlineStr">
        <is>
          <t>BORÅS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46255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46255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46255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45050</v>
      </c>
      <c r="E143" s="1" t="n">
        <v>46255</v>
      </c>
      <c r="F143" t="inlineStr">
        <is>
          <t>VÄSTRA GÖTALANDS LÄN</t>
        </is>
      </c>
      <c r="G143" t="inlineStr">
        <is>
          <t>BORÅS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46255</v>
      </c>
      <c r="F144" t="inlineStr">
        <is>
          <t>VÄSTRA GÖTALANDS LÄN</t>
        </is>
      </c>
      <c r="G144" t="inlineStr">
        <is>
          <t>BORÅS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46255</v>
      </c>
      <c r="F145" t="inlineStr">
        <is>
          <t>VÄSTRA GÖTALANDS LÄN</t>
        </is>
      </c>
      <c r="G145" t="inlineStr">
        <is>
          <t>BORÅS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46255</v>
      </c>
      <c r="F146" t="inlineStr">
        <is>
          <t>VÄSTRA GÖTALANDS LÄN</t>
        </is>
      </c>
      <c r="G146" t="inlineStr">
        <is>
          <t>BORÅS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44577</v>
      </c>
      <c r="E147" s="1" t="n">
        <v>46255</v>
      </c>
      <c r="F147" t="inlineStr">
        <is>
          <t>VÄSTRA GÖTALANDS LÄN</t>
        </is>
      </c>
      <c r="G147" t="inlineStr">
        <is>
          <t>BORÅS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46255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46255</v>
      </c>
      <c r="F149" t="inlineStr">
        <is>
          <t>VÄSTRA GÖTALANDS LÄN</t>
        </is>
      </c>
      <c r="G149" t="inlineStr">
        <is>
          <t>BORÅS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46255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46255</v>
      </c>
      <c r="F151" t="inlineStr">
        <is>
          <t>VÄSTRA GÖTALANDS LÄN</t>
        </is>
      </c>
      <c r="G151" t="inlineStr">
        <is>
          <t>BORÅS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11362-2022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44630</v>
      </c>
      <c r="E152" s="1" t="n">
        <v>46255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46255</v>
      </c>
      <c r="F153" t="inlineStr">
        <is>
          <t>VÄSTRA GÖTALANDS LÄN</t>
        </is>
      </c>
      <c r="G153" t="inlineStr">
        <is>
          <t>BORÅS</t>
        </is>
      </c>
      <c r="H153" t="inlineStr">
        <is>
          <t>Kommuner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44956-2024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45575</v>
      </c>
      <c r="E154" s="1" t="n">
        <v>46255</v>
      </c>
      <c r="F154" t="inlineStr">
        <is>
          <t>VÄSTRA GÖTALANDS LÄN</t>
        </is>
      </c>
      <c r="G154" t="inlineStr">
        <is>
          <t>BORÅS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46255</v>
      </c>
      <c r="F155" t="inlineStr">
        <is>
          <t>VÄSTRA GÖTALANDS LÄN</t>
        </is>
      </c>
      <c r="G155" t="inlineStr">
        <is>
          <t>BORÅS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73822-2021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46255</v>
      </c>
      <c r="F156" t="inlineStr">
        <is>
          <t>VÄSTRA GÖTALANDS LÄN</t>
        </is>
      </c>
      <c r="G156" t="inlineStr">
        <is>
          <t>BORÅS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56684-2022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44888</v>
      </c>
      <c r="E157" s="1" t="n">
        <v>46255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Kyrkan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46255</v>
      </c>
      <c r="F158" t="inlineStr">
        <is>
          <t>VÄSTRA GÖTALANDS LÄN</t>
        </is>
      </c>
      <c r="G158" t="inlineStr">
        <is>
          <t>BORÅS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46255</v>
      </c>
      <c r="F159" t="inlineStr">
        <is>
          <t>VÄSTRA GÖTALANDS LÄN</t>
        </is>
      </c>
      <c r="G159" t="inlineStr">
        <is>
          <t>BORÅS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46255</v>
      </c>
      <c r="F160" t="inlineStr">
        <is>
          <t>VÄSTRA GÖTALANDS LÄN</t>
        </is>
      </c>
      <c r="G160" t="inlineStr">
        <is>
          <t>BORÅS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46255</v>
      </c>
      <c r="F161" t="inlineStr">
        <is>
          <t>VÄSTRA GÖTALANDS LÄN</t>
        </is>
      </c>
      <c r="G161" t="inlineStr">
        <is>
          <t>BORÅS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45472</v>
      </c>
      <c r="E162" s="1" t="n">
        <v>46255</v>
      </c>
      <c r="F162" t="inlineStr">
        <is>
          <t>VÄSTRA GÖTALANDS LÄN</t>
        </is>
      </c>
      <c r="G162" t="inlineStr">
        <is>
          <t>BORÅS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45216</v>
      </c>
      <c r="E163" s="1" t="n">
        <v>46255</v>
      </c>
      <c r="F163" t="inlineStr">
        <is>
          <t>VÄSTRA GÖTALANDS LÄN</t>
        </is>
      </c>
      <c r="G163" t="inlineStr">
        <is>
          <t>BORÅS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46255</v>
      </c>
      <c r="F164" t="inlineStr">
        <is>
          <t>VÄSTRA GÖTALANDS LÄN</t>
        </is>
      </c>
      <c r="G164" t="inlineStr">
        <is>
          <t>BORÅS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45823</v>
      </c>
      <c r="E165" s="1" t="n">
        <v>46255</v>
      </c>
      <c r="F165" t="inlineStr">
        <is>
          <t>VÄSTRA GÖTALANDS LÄN</t>
        </is>
      </c>
      <c r="G165" t="inlineStr">
        <is>
          <t>BORÅS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46255</v>
      </c>
      <c r="F166" t="inlineStr">
        <is>
          <t>VÄSTRA GÖTALANDS LÄN</t>
        </is>
      </c>
      <c r="G166" t="inlineStr">
        <is>
          <t>BORÅS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45104</v>
      </c>
      <c r="E167" s="1" t="n">
        <v>46255</v>
      </c>
      <c r="F167" t="inlineStr">
        <is>
          <t>VÄSTRA GÖTALANDS LÄN</t>
        </is>
      </c>
      <c r="G167" t="inlineStr">
        <is>
          <t>BORÅS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46255</v>
      </c>
      <c r="F168" t="inlineStr">
        <is>
          <t>VÄSTRA GÖTALANDS LÄN</t>
        </is>
      </c>
      <c r="G168" t="inlineStr">
        <is>
          <t>BORÅS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46255</v>
      </c>
      <c r="F169" t="inlineStr">
        <is>
          <t>VÄSTRA GÖTALANDS LÄN</t>
        </is>
      </c>
      <c r="G169" t="inlineStr">
        <is>
          <t>BORÅS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46255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45723</v>
      </c>
      <c r="E171" s="1" t="n">
        <v>46255</v>
      </c>
      <c r="F171" t="inlineStr">
        <is>
          <t>VÄSTRA GÖTALANDS LÄN</t>
        </is>
      </c>
      <c r="G171" t="inlineStr">
        <is>
          <t>BORÅS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46255</v>
      </c>
      <c r="F172" t="inlineStr">
        <is>
          <t>VÄSTRA GÖTALANDS LÄN</t>
        </is>
      </c>
      <c r="G172" t="inlineStr">
        <is>
          <t>BORÅS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46255</v>
      </c>
      <c r="F173" t="inlineStr">
        <is>
          <t>VÄSTRA GÖTALANDS LÄN</t>
        </is>
      </c>
      <c r="G173" t="inlineStr">
        <is>
          <t>BORÅS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46255</v>
      </c>
      <c r="F174" t="inlineStr">
        <is>
          <t>VÄSTRA GÖTALANDS LÄN</t>
        </is>
      </c>
      <c r="G174" t="inlineStr">
        <is>
          <t>BORÅS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30312-2025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45827</v>
      </c>
      <c r="E175" s="1" t="n">
        <v>46255</v>
      </c>
      <c r="F175" t="inlineStr">
        <is>
          <t>VÄSTRA GÖTALANDS LÄN</t>
        </is>
      </c>
      <c r="G175" t="inlineStr">
        <is>
          <t>BORÅS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60383-2022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44910</v>
      </c>
      <c r="E176" s="1" t="n">
        <v>46255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45727</v>
      </c>
      <c r="E177" s="1" t="n">
        <v>46255</v>
      </c>
      <c r="F177" t="inlineStr">
        <is>
          <t>VÄSTRA GÖTALANDS LÄN</t>
        </is>
      </c>
      <c r="G177" t="inlineStr">
        <is>
          <t>BORÅS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46255</v>
      </c>
      <c r="F178" t="inlineStr">
        <is>
          <t>VÄSTRA GÖTALANDS LÄN</t>
        </is>
      </c>
      <c r="G178" t="inlineStr">
        <is>
          <t>BORÅS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46255</v>
      </c>
      <c r="F179" t="inlineStr">
        <is>
          <t>VÄSTRA GÖTALANDS LÄN</t>
        </is>
      </c>
      <c r="G179" t="inlineStr">
        <is>
          <t>BORÅS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44639</v>
      </c>
      <c r="E180" s="1" t="n">
        <v>46255</v>
      </c>
      <c r="F180" t="inlineStr">
        <is>
          <t>VÄSTRA GÖTALANDS LÄN</t>
        </is>
      </c>
      <c r="G180" t="inlineStr">
        <is>
          <t>BORÅS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46255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44941</v>
      </c>
      <c r="E182" s="1" t="n">
        <v>46255</v>
      </c>
      <c r="F182" t="inlineStr">
        <is>
          <t>VÄSTRA GÖTALANDS LÄN</t>
        </is>
      </c>
      <c r="G182" t="inlineStr">
        <is>
          <t>BORÅS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45836</v>
      </c>
      <c r="E183" s="1" t="n">
        <v>46255</v>
      </c>
      <c r="F183" t="inlineStr">
        <is>
          <t>VÄSTRA GÖTALANDS LÄN</t>
        </is>
      </c>
      <c r="G183" t="inlineStr">
        <is>
          <t>BORÅS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46255</v>
      </c>
      <c r="F184" t="inlineStr">
        <is>
          <t>VÄSTRA GÖTALANDS LÄN</t>
        </is>
      </c>
      <c r="G184" t="inlineStr">
        <is>
          <t>BORÅS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45836</v>
      </c>
      <c r="E185" s="1" t="n">
        <v>46255</v>
      </c>
      <c r="F185" t="inlineStr">
        <is>
          <t>VÄSTRA GÖTALANDS LÄN</t>
        </is>
      </c>
      <c r="G185" t="inlineStr">
        <is>
          <t>BORÅS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46255</v>
      </c>
      <c r="F186" t="inlineStr">
        <is>
          <t>VÄSTRA GÖTALANDS LÄN</t>
        </is>
      </c>
      <c r="G186" t="inlineStr">
        <is>
          <t>BORÅS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46255</v>
      </c>
      <c r="F187" t="inlineStr">
        <is>
          <t>VÄSTRA GÖTALANDS LÄN</t>
        </is>
      </c>
      <c r="G187" t="inlineStr">
        <is>
          <t>BORÅS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46255</v>
      </c>
      <c r="F188" t="inlineStr">
        <is>
          <t>VÄSTRA GÖTALANDS LÄN</t>
        </is>
      </c>
      <c r="G188" t="inlineStr">
        <is>
          <t>BORÅS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46255</v>
      </c>
      <c r="F189" t="inlineStr">
        <is>
          <t>VÄSTRA GÖTALANDS LÄN</t>
        </is>
      </c>
      <c r="G189" t="inlineStr">
        <is>
          <t>BORÅS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46255</v>
      </c>
      <c r="F190" t="inlineStr">
        <is>
          <t>VÄSTRA GÖTALANDS LÄN</t>
        </is>
      </c>
      <c r="G190" t="inlineStr">
        <is>
          <t>BORÅS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46255</v>
      </c>
      <c r="F191" t="inlineStr">
        <is>
          <t>VÄSTRA GÖTALANDS LÄN</t>
        </is>
      </c>
      <c r="G191" t="inlineStr">
        <is>
          <t>BORÅS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46255</v>
      </c>
      <c r="F192" t="inlineStr">
        <is>
          <t>VÄSTRA GÖTALANDS LÄN</t>
        </is>
      </c>
      <c r="G192" t="inlineStr">
        <is>
          <t>BORÅS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46255</v>
      </c>
      <c r="F193" t="inlineStr">
        <is>
          <t>VÄSTRA GÖTALANDS LÄN</t>
        </is>
      </c>
      <c r="G193" t="inlineStr">
        <is>
          <t>BORÅS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45593</v>
      </c>
      <c r="E194" s="1" t="n">
        <v>46255</v>
      </c>
      <c r="F194" t="inlineStr">
        <is>
          <t>VÄSTRA GÖTALANDS LÄN</t>
        </is>
      </c>
      <c r="G194" t="inlineStr">
        <is>
          <t>BORÅS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46255</v>
      </c>
      <c r="F195" t="inlineStr">
        <is>
          <t>VÄSTRA GÖTALANDS LÄN</t>
        </is>
      </c>
      <c r="G195" t="inlineStr">
        <is>
          <t>BORÅS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46255</v>
      </c>
      <c r="F196" t="inlineStr">
        <is>
          <t>VÄSTRA GÖTALANDS LÄN</t>
        </is>
      </c>
      <c r="G196" t="inlineStr">
        <is>
          <t>BORÅS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46255</v>
      </c>
      <c r="F197" t="inlineStr">
        <is>
          <t>VÄSTRA GÖTALANDS LÄN</t>
        </is>
      </c>
      <c r="G197" t="inlineStr">
        <is>
          <t>BORÅS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46255</v>
      </c>
      <c r="F198" t="inlineStr">
        <is>
          <t>VÄSTRA GÖTALANDS LÄN</t>
        </is>
      </c>
      <c r="G198" t="inlineStr">
        <is>
          <t>BORÅS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46255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46255</v>
      </c>
      <c r="F200" t="inlineStr">
        <is>
          <t>VÄSTRA GÖTALANDS LÄN</t>
        </is>
      </c>
      <c r="G200" t="inlineStr">
        <is>
          <t>BORÅS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45848</v>
      </c>
      <c r="E201" s="1" t="n">
        <v>46255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46255</v>
      </c>
      <c r="F202" t="inlineStr">
        <is>
          <t>VÄSTRA GÖTALANDS LÄN</t>
        </is>
      </c>
      <c r="G202" t="inlineStr">
        <is>
          <t>BORÅS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46255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Kommuner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46255</v>
      </c>
      <c r="F204" t="inlineStr">
        <is>
          <t>VÄSTRA GÖTALANDS LÄN</t>
        </is>
      </c>
      <c r="G204" t="inlineStr">
        <is>
          <t>BORÅS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44740</v>
      </c>
      <c r="E205" s="1" t="n">
        <v>46255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46255</v>
      </c>
      <c r="F206" t="inlineStr">
        <is>
          <t>VÄSTRA GÖTALANDS LÄN</t>
        </is>
      </c>
      <c r="G206" t="inlineStr">
        <is>
          <t>BORÅS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46255</v>
      </c>
      <c r="F207" t="inlineStr">
        <is>
          <t>VÄSTRA GÖTALANDS LÄN</t>
        </is>
      </c>
      <c r="G207" t="inlineStr">
        <is>
          <t>BORÅS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46255</v>
      </c>
      <c r="F208" t="inlineStr">
        <is>
          <t>VÄSTRA GÖTALANDS LÄN</t>
        </is>
      </c>
      <c r="G208" t="inlineStr">
        <is>
          <t>BORÅS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46255</v>
      </c>
      <c r="F209" t="inlineStr">
        <is>
          <t>VÄSTRA GÖTALANDS LÄN</t>
        </is>
      </c>
      <c r="G209" t="inlineStr">
        <is>
          <t>BORÅS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46255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46255</v>
      </c>
      <c r="F211" t="inlineStr">
        <is>
          <t>VÄSTRA GÖTALANDS LÄN</t>
        </is>
      </c>
      <c r="G211" t="inlineStr">
        <is>
          <t>BORÅS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24183-2024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45456</v>
      </c>
      <c r="E212" s="1" t="n">
        <v>46255</v>
      </c>
      <c r="F212" t="inlineStr">
        <is>
          <t>VÄSTRA GÖTALANDS LÄN</t>
        </is>
      </c>
      <c r="G212" t="inlineStr">
        <is>
          <t>BORÅS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45612</v>
      </c>
      <c r="E213" s="1" t="n">
        <v>46255</v>
      </c>
      <c r="F213" t="inlineStr">
        <is>
          <t>VÄSTRA GÖTALANDS LÄN</t>
        </is>
      </c>
      <c r="G213" t="inlineStr">
        <is>
          <t>BORÅS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46255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28171-2022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44746</v>
      </c>
      <c r="E215" s="1" t="n">
        <v>46255</v>
      </c>
      <c r="F215" t="inlineStr">
        <is>
          <t>VÄSTRA GÖTALANDS LÄN</t>
        </is>
      </c>
      <c r="G215" t="inlineStr">
        <is>
          <t>BORÅS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46255</v>
      </c>
      <c r="F216" t="inlineStr">
        <is>
          <t>VÄSTRA GÖTALANDS LÄN</t>
        </is>
      </c>
      <c r="G216" t="inlineStr">
        <is>
          <t>BORÅS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46255</v>
      </c>
      <c r="F217" t="inlineStr">
        <is>
          <t>VÄSTRA GÖTALANDS LÄN</t>
        </is>
      </c>
      <c r="G217" t="inlineStr">
        <is>
          <t>BORÅS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46255</v>
      </c>
      <c r="F218" t="inlineStr">
        <is>
          <t>VÄSTRA GÖTALANDS LÄN</t>
        </is>
      </c>
      <c r="G218" t="inlineStr">
        <is>
          <t>BORÅS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46255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Sveaskog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46255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Kyrkan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46255</v>
      </c>
      <c r="F221" t="inlineStr">
        <is>
          <t>VÄSTRA GÖTALANDS LÄN</t>
        </is>
      </c>
      <c r="G221" t="inlineStr">
        <is>
          <t>BORÅS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46255</v>
      </c>
      <c r="F222" t="inlineStr">
        <is>
          <t>VÄSTRA GÖTALANDS LÄN</t>
        </is>
      </c>
      <c r="G222" t="inlineStr">
        <is>
          <t>BORÅS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44987</v>
      </c>
      <c r="E223" s="1" t="n">
        <v>46255</v>
      </c>
      <c r="F223" t="inlineStr">
        <is>
          <t>VÄSTRA GÖTALANDS LÄN</t>
        </is>
      </c>
      <c r="G223" t="inlineStr">
        <is>
          <t>BORÅS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45877</v>
      </c>
      <c r="E224" s="1" t="n">
        <v>46255</v>
      </c>
      <c r="F224" t="inlineStr">
        <is>
          <t>VÄSTRA GÖTALANDS LÄN</t>
        </is>
      </c>
      <c r="G224" t="inlineStr">
        <is>
          <t>BORÅS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46255</v>
      </c>
      <c r="F225" t="inlineStr">
        <is>
          <t>VÄSTRA GÖTALANDS LÄN</t>
        </is>
      </c>
      <c r="G225" t="inlineStr">
        <is>
          <t>BORÅS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46255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46255</v>
      </c>
      <c r="F227" t="inlineStr">
        <is>
          <t>VÄSTRA GÖTALANDS LÄN</t>
        </is>
      </c>
      <c r="G227" t="inlineStr">
        <is>
          <t>BORÅS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46255</v>
      </c>
      <c r="F228" t="inlineStr">
        <is>
          <t>VÄSTRA GÖTALANDS LÄN</t>
        </is>
      </c>
      <c r="G228" t="inlineStr">
        <is>
          <t>BORÅS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46255</v>
      </c>
      <c r="F229" t="inlineStr">
        <is>
          <t>VÄSTRA GÖTALANDS LÄN</t>
        </is>
      </c>
      <c r="G229" t="inlineStr">
        <is>
          <t>BORÅS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46255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10212-2026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46076</v>
      </c>
      <c r="E231" s="1" t="n">
        <v>46255</v>
      </c>
      <c r="F231" t="inlineStr">
        <is>
          <t>VÄSTRA GÖTALANDS LÄN</t>
        </is>
      </c>
      <c r="G231" t="inlineStr">
        <is>
          <t>BORÅS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46255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45058</v>
      </c>
      <c r="E233" s="1" t="n">
        <v>46255</v>
      </c>
      <c r="F233" t="inlineStr">
        <is>
          <t>VÄSTRA GÖTALANDS LÄN</t>
        </is>
      </c>
      <c r="G233" t="inlineStr">
        <is>
          <t>BORÅS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46255</v>
      </c>
      <c r="F234" t="inlineStr">
        <is>
          <t>VÄSTRA GÖTALANDS LÄN</t>
        </is>
      </c>
      <c r="G234" t="inlineStr">
        <is>
          <t>BORÅS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46255</v>
      </c>
      <c r="F235" t="inlineStr">
        <is>
          <t>VÄSTRA GÖTALANDS LÄN</t>
        </is>
      </c>
      <c r="G235" t="inlineStr">
        <is>
          <t>BORÅS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45638</v>
      </c>
      <c r="E236" s="1" t="n">
        <v>46255</v>
      </c>
      <c r="F236" t="inlineStr">
        <is>
          <t>VÄSTRA GÖTALANDS LÄN</t>
        </is>
      </c>
      <c r="G236" t="inlineStr">
        <is>
          <t>BORÅS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44993</v>
      </c>
      <c r="E237" s="1" t="n">
        <v>46255</v>
      </c>
      <c r="F237" t="inlineStr">
        <is>
          <t>VÄSTRA GÖTALANDS LÄN</t>
        </is>
      </c>
      <c r="G237" t="inlineStr">
        <is>
          <t>BORÅS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46255</v>
      </c>
      <c r="F238" t="inlineStr">
        <is>
          <t>VÄSTRA GÖTALANDS LÄN</t>
        </is>
      </c>
      <c r="G238" t="inlineStr">
        <is>
          <t>BORÅS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46255</v>
      </c>
      <c r="F239" t="inlineStr">
        <is>
          <t>VÄSTRA GÖTALANDS LÄN</t>
        </is>
      </c>
      <c r="G239" t="inlineStr">
        <is>
          <t>BORÅS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46255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46255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46255</v>
      </c>
      <c r="F242" t="inlineStr">
        <is>
          <t>VÄSTRA GÖTALANDS LÄN</t>
        </is>
      </c>
      <c r="G242" t="inlineStr">
        <is>
          <t>BORÅS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46255</v>
      </c>
      <c r="F243" t="inlineStr">
        <is>
          <t>VÄSTRA GÖTALANDS LÄN</t>
        </is>
      </c>
      <c r="G243" t="inlineStr">
        <is>
          <t>BORÅS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46255</v>
      </c>
      <c r="F244" t="inlineStr">
        <is>
          <t>VÄSTRA GÖTALANDS LÄN</t>
        </is>
      </c>
      <c r="G244" t="inlineStr">
        <is>
          <t>BORÅS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46967-2025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46255</v>
      </c>
      <c r="F245" t="inlineStr">
        <is>
          <t>VÄSTRA GÖTALANDS LÄN</t>
        </is>
      </c>
      <c r="G245" t="inlineStr">
        <is>
          <t>BORÅS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46255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Kommuner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46255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46255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46255</v>
      </c>
      <c r="F249" t="inlineStr">
        <is>
          <t>VÄSTRA GÖTALANDS LÄN</t>
        </is>
      </c>
      <c r="G249" t="inlineStr">
        <is>
          <t>BORÅS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46255</v>
      </c>
      <c r="F250" t="inlineStr">
        <is>
          <t>VÄSTRA GÖTALANDS LÄN</t>
        </is>
      </c>
      <c r="G250" t="inlineStr">
        <is>
          <t>BORÅS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46255</v>
      </c>
      <c r="F251" t="inlineStr">
        <is>
          <t>VÄSTRA GÖTALANDS LÄN</t>
        </is>
      </c>
      <c r="G251" t="inlineStr">
        <is>
          <t>BORÅS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32241-2023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46255</v>
      </c>
      <c r="F252" t="inlineStr">
        <is>
          <t>VÄSTRA GÖTALANDS LÄN</t>
        </is>
      </c>
      <c r="G252" t="inlineStr">
        <is>
          <t>BORÅS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46255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45935</v>
      </c>
      <c r="E254" s="1" t="n">
        <v>46255</v>
      </c>
      <c r="F254" t="inlineStr">
        <is>
          <t>VÄSTRA GÖTALANDS LÄN</t>
        </is>
      </c>
      <c r="G254" t="inlineStr">
        <is>
          <t>BORÅS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45935</v>
      </c>
      <c r="E255" s="1" t="n">
        <v>46255</v>
      </c>
      <c r="F255" t="inlineStr">
        <is>
          <t>VÄSTRA GÖTALANDS LÄN</t>
        </is>
      </c>
      <c r="G255" t="inlineStr">
        <is>
          <t>BORÅS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46255</v>
      </c>
      <c r="F256" t="inlineStr">
        <is>
          <t>VÄSTRA GÖTALANDS LÄN</t>
        </is>
      </c>
      <c r="G256" t="inlineStr">
        <is>
          <t>BORÅS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46255</v>
      </c>
      <c r="F257" t="inlineStr">
        <is>
          <t>VÄSTRA GÖTALANDS LÄN</t>
        </is>
      </c>
      <c r="G257" t="inlineStr">
        <is>
          <t>BORÅS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46255</v>
      </c>
      <c r="F258" t="inlineStr">
        <is>
          <t>VÄSTRA GÖTALANDS LÄN</t>
        </is>
      </c>
      <c r="G258" t="inlineStr">
        <is>
          <t>BORÅS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46255</v>
      </c>
      <c r="F259" t="inlineStr">
        <is>
          <t>VÄSTRA GÖTALANDS LÄN</t>
        </is>
      </c>
      <c r="G259" t="inlineStr">
        <is>
          <t>BORÅS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46255</v>
      </c>
      <c r="F260" t="inlineStr">
        <is>
          <t>VÄSTRA GÖTALANDS LÄN</t>
        </is>
      </c>
      <c r="G260" t="inlineStr">
        <is>
          <t>BORÅS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46255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46255</v>
      </c>
      <c r="F262" t="inlineStr">
        <is>
          <t>VÄSTRA GÖTALANDS LÄN</t>
        </is>
      </c>
      <c r="G262" t="inlineStr">
        <is>
          <t>BORÅS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46255</v>
      </c>
      <c r="F263" t="inlineStr">
        <is>
          <t>VÄSTRA GÖTALANDS LÄN</t>
        </is>
      </c>
      <c r="G263" t="inlineStr">
        <is>
          <t>BORÅS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45803</v>
      </c>
      <c r="E264" s="1" t="n">
        <v>46255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46255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46255</v>
      </c>
      <c r="F266" t="inlineStr">
        <is>
          <t>VÄSTRA GÖTALANDS LÄN</t>
        </is>
      </c>
      <c r="G266" t="inlineStr">
        <is>
          <t>BORÅS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46255</v>
      </c>
      <c r="F267" t="inlineStr">
        <is>
          <t>VÄSTRA GÖTALANDS LÄN</t>
        </is>
      </c>
      <c r="G267" t="inlineStr">
        <is>
          <t>BORÅS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46255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46255</v>
      </c>
      <c r="F269" t="inlineStr">
        <is>
          <t>VÄSTRA GÖTALANDS LÄN</t>
        </is>
      </c>
      <c r="G269" t="inlineStr">
        <is>
          <t>BORÅS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12635-2026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46091</v>
      </c>
      <c r="E270" s="1" t="n">
        <v>46255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46255</v>
      </c>
      <c r="F271" t="inlineStr">
        <is>
          <t>VÄSTRA GÖTALANDS LÄN</t>
        </is>
      </c>
      <c r="G271" t="inlineStr">
        <is>
          <t>BORÅS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46255</v>
      </c>
      <c r="F272" t="inlineStr">
        <is>
          <t>VÄSTRA GÖTALANDS LÄN</t>
        </is>
      </c>
      <c r="G272" t="inlineStr">
        <is>
          <t>BORÅS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46255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46255</v>
      </c>
      <c r="F274" t="inlineStr">
        <is>
          <t>VÄSTRA GÖTALANDS LÄN</t>
        </is>
      </c>
      <c r="G274" t="inlineStr">
        <is>
          <t>BORÅS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46255</v>
      </c>
      <c r="F275" t="inlineStr">
        <is>
          <t>VÄSTRA GÖTALANDS LÄN</t>
        </is>
      </c>
      <c r="G275" t="inlineStr">
        <is>
          <t>BORÅS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46255</v>
      </c>
      <c r="F276" t="inlineStr">
        <is>
          <t>VÄSTRA GÖTALANDS LÄN</t>
        </is>
      </c>
      <c r="G276" t="inlineStr">
        <is>
          <t>BORÅS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63169-2023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46255</v>
      </c>
      <c r="F277" t="inlineStr">
        <is>
          <t>VÄSTRA GÖTALANDS LÄN</t>
        </is>
      </c>
      <c r="G277" t="inlineStr">
        <is>
          <t>BORÅS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46255</v>
      </c>
      <c r="F278" t="inlineStr">
        <is>
          <t>VÄSTRA GÖTALANDS LÄN</t>
        </is>
      </c>
      <c r="G278" t="inlineStr">
        <is>
          <t>BORÅS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46255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46255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Kommuner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45202</v>
      </c>
      <c r="E281" s="1" t="n">
        <v>46255</v>
      </c>
      <c r="F281" t="inlineStr">
        <is>
          <t>VÄSTRA GÖTALANDS LÄN</t>
        </is>
      </c>
      <c r="G281" t="inlineStr">
        <is>
          <t>BORÅS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46255</v>
      </c>
      <c r="F282" t="inlineStr">
        <is>
          <t>VÄSTRA GÖTALANDS LÄN</t>
        </is>
      </c>
      <c r="G282" t="inlineStr">
        <is>
          <t>BORÅS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46255</v>
      </c>
      <c r="F283" t="inlineStr">
        <is>
          <t>VÄSTRA GÖTALANDS LÄN</t>
        </is>
      </c>
      <c r="G283" t="inlineStr">
        <is>
          <t>BORÅS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45961</v>
      </c>
      <c r="E284" s="1" t="n">
        <v>46255</v>
      </c>
      <c r="F284" t="inlineStr">
        <is>
          <t>VÄSTRA GÖTALANDS LÄN</t>
        </is>
      </c>
      <c r="G284" t="inlineStr">
        <is>
          <t>BORÅS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44467</v>
      </c>
      <c r="E285" s="1" t="n">
        <v>46255</v>
      </c>
      <c r="F285" t="inlineStr">
        <is>
          <t>VÄSTRA GÖTALANDS LÄN</t>
        </is>
      </c>
      <c r="G285" t="inlineStr">
        <is>
          <t>BORÅS</t>
        </is>
      </c>
      <c r="I285" t="n">
        <v>19.4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46255</v>
      </c>
      <c r="F286" t="inlineStr">
        <is>
          <t>VÄSTRA GÖTALANDS LÄN</t>
        </is>
      </c>
      <c r="G286" t="inlineStr">
        <is>
          <t>BORÅS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45053</v>
      </c>
      <c r="E287" s="1" t="n">
        <v>46255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13729-2026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46097</v>
      </c>
      <c r="E288" s="1" t="n">
        <v>46255</v>
      </c>
      <c r="F288" t="inlineStr">
        <is>
          <t>VÄSTRA GÖTALANDS LÄN</t>
        </is>
      </c>
      <c r="G288" t="inlineStr">
        <is>
          <t>BORÅS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46255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44571</v>
      </c>
      <c r="E290" s="1" t="n">
        <v>46255</v>
      </c>
      <c r="F290" t="inlineStr">
        <is>
          <t>VÄSTRA GÖTALANDS LÄN</t>
        </is>
      </c>
      <c r="G290" t="inlineStr">
        <is>
          <t>BORÅS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46255</v>
      </c>
      <c r="F291" t="inlineStr">
        <is>
          <t>VÄSTRA GÖTALANDS LÄN</t>
        </is>
      </c>
      <c r="G291" t="inlineStr">
        <is>
          <t>BORÅS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56376-2025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45974</v>
      </c>
      <c r="E292" s="1" t="n">
        <v>46255</v>
      </c>
      <c r="F292" t="inlineStr">
        <is>
          <t>VÄSTRA GÖTALANDS LÄN</t>
        </is>
      </c>
      <c r="G292" t="inlineStr">
        <is>
          <t>BORÅS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46099</v>
      </c>
      <c r="E293" s="1" t="n">
        <v>46255</v>
      </c>
      <c r="F293" t="inlineStr">
        <is>
          <t>VÄSTRA GÖTALANDS LÄN</t>
        </is>
      </c>
      <c r="G293" t="inlineStr">
        <is>
          <t>BORÅS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46255</v>
      </c>
      <c r="F294" t="inlineStr">
        <is>
          <t>VÄSTRA GÖTALANDS LÄN</t>
        </is>
      </c>
      <c r="G294" t="inlineStr">
        <is>
          <t>BORÅS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45538</v>
      </c>
      <c r="E295" s="1" t="n">
        <v>46255</v>
      </c>
      <c r="F295" t="inlineStr">
        <is>
          <t>VÄSTRA GÖTALANDS LÄN</t>
        </is>
      </c>
      <c r="G295" t="inlineStr">
        <is>
          <t>BORÅS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45044</v>
      </c>
      <c r="E296" s="1" t="n">
        <v>46255</v>
      </c>
      <c r="F296" t="inlineStr">
        <is>
          <t>VÄSTRA GÖTALANDS LÄN</t>
        </is>
      </c>
      <c r="G296" t="inlineStr">
        <is>
          <t>BORÅS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44854</v>
      </c>
      <c r="E297" s="1" t="n">
        <v>46255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46255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45982</v>
      </c>
      <c r="E299" s="1" t="n">
        <v>46255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  <c r="X299">
        <f>HYPERLINK("https://klasma.github.io/Logging_1490/kartor/A 58304-2025 karta.png", "A 58304-2025")</f>
        <v/>
      </c>
      <c r="Y299">
        <f>HYPERLINK("https://klasma.github.io/Logging_1490/kartor_geotiff/A 58304-2025 georefererad karta.tif", "A 58304-2025")</f>
        <v/>
      </c>
      <c r="AA299">
        <f>HYPERLINK("https://klasma.github.io/Logging_1490/klagomål/A 58304-2025 FSC-klagomål.docx", "A 58304-2025")</f>
        <v/>
      </c>
      <c r="AB299">
        <f>HYPERLINK("https://klasma.github.io/Logging_1490/klagomålsmail/A 58304-2025 FSC-klagomål mail.docx", "A 58304-2025")</f>
        <v/>
      </c>
      <c r="AC299">
        <f>HYPERLINK("https://klasma.github.io/Logging_1490/tillsyn/A 58304-2025 tillsynsbegäran.docx", "A 58304-2025")</f>
        <v/>
      </c>
      <c r="AD299">
        <f>HYPERLINK("https://klasma.github.io/Logging_1490/tillsynsmail/A 58304-2025 tillsynsbegäran mail.docx", "A 58304-2025")</f>
        <v/>
      </c>
    </row>
    <row r="300" ht="15" customHeight="1">
      <c r="A300" t="inlineStr">
        <is>
          <t>A 3483-2023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46255</v>
      </c>
      <c r="F300" t="inlineStr">
        <is>
          <t>VÄSTRA GÖTALANDS LÄN</t>
        </is>
      </c>
      <c r="G300" t="inlineStr">
        <is>
          <t>BORÅS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46255</v>
      </c>
      <c r="F301" t="inlineStr">
        <is>
          <t>VÄSTRA GÖTALANDS LÄN</t>
        </is>
      </c>
      <c r="G301" t="inlineStr">
        <is>
          <t>BORÅS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46255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Kommuner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50382-2022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44866</v>
      </c>
      <c r="E303" s="1" t="n">
        <v>46255</v>
      </c>
      <c r="F303" t="inlineStr">
        <is>
          <t>VÄSTRA GÖTALANDS LÄN</t>
        </is>
      </c>
      <c r="G303" t="inlineStr">
        <is>
          <t>BORÅS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44886</v>
      </c>
      <c r="E304" s="1" t="n">
        <v>46255</v>
      </c>
      <c r="F304" t="inlineStr">
        <is>
          <t>VÄSTRA GÖTALANDS LÄN</t>
        </is>
      </c>
      <c r="G304" t="inlineStr">
        <is>
          <t>BORÅS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44886</v>
      </c>
      <c r="E305" s="1" t="n">
        <v>46255</v>
      </c>
      <c r="F305" t="inlineStr">
        <is>
          <t>VÄSTRA GÖTALANDS LÄN</t>
        </is>
      </c>
      <c r="G305" t="inlineStr">
        <is>
          <t>BORÅS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44886</v>
      </c>
      <c r="E306" s="1" t="n">
        <v>46255</v>
      </c>
      <c r="F306" t="inlineStr">
        <is>
          <t>VÄSTRA GÖTALANDS LÄN</t>
        </is>
      </c>
      <c r="G306" t="inlineStr">
        <is>
          <t>BORÅS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46255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46255</v>
      </c>
      <c r="F308" t="inlineStr">
        <is>
          <t>VÄSTRA GÖTALANDS LÄN</t>
        </is>
      </c>
      <c r="G308" t="inlineStr">
        <is>
          <t>BORÅS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46255</v>
      </c>
      <c r="F309" t="inlineStr">
        <is>
          <t>VÄSTRA GÖTALANDS LÄN</t>
        </is>
      </c>
      <c r="G309" t="inlineStr">
        <is>
          <t>BORÅS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46255</v>
      </c>
      <c r="F310" t="inlineStr">
        <is>
          <t>VÄSTRA GÖTALANDS LÄN</t>
        </is>
      </c>
      <c r="G310" t="inlineStr">
        <is>
          <t>BORÅS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46255</v>
      </c>
      <c r="F311" t="inlineStr">
        <is>
          <t>VÄSTRA GÖTALANDS LÄN</t>
        </is>
      </c>
      <c r="G311" t="inlineStr">
        <is>
          <t>BORÅS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46255</v>
      </c>
      <c r="F312" t="inlineStr">
        <is>
          <t>VÄSTRA GÖTALANDS LÄN</t>
        </is>
      </c>
      <c r="G312" t="inlineStr">
        <is>
          <t>BORÅS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45216</v>
      </c>
      <c r="E313" s="1" t="n">
        <v>46255</v>
      </c>
      <c r="F313" t="inlineStr">
        <is>
          <t>VÄSTRA GÖTALANDS LÄN</t>
        </is>
      </c>
      <c r="G313" t="inlineStr">
        <is>
          <t>BORÅS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46255</v>
      </c>
      <c r="F314" t="inlineStr">
        <is>
          <t>VÄSTRA GÖTALANDS LÄN</t>
        </is>
      </c>
      <c r="G314" t="inlineStr">
        <is>
          <t>BORÅS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14913-2026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46255</v>
      </c>
      <c r="F315" t="inlineStr">
        <is>
          <t>VÄSTRA GÖTALANDS LÄN</t>
        </is>
      </c>
      <c r="G315" t="inlineStr">
        <is>
          <t>BORÅS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15193-2026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46105</v>
      </c>
      <c r="E316" s="1" t="n">
        <v>46255</v>
      </c>
      <c r="F316" t="inlineStr">
        <is>
          <t>VÄSTRA GÖTALANDS LÄN</t>
        </is>
      </c>
      <c r="G316" t="inlineStr">
        <is>
          <t>BORÅS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46255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46255</v>
      </c>
      <c r="F318" t="inlineStr">
        <is>
          <t>VÄSTRA GÖTALANDS LÄN</t>
        </is>
      </c>
      <c r="G318" t="inlineStr">
        <is>
          <t>BORÅS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46255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Kyrkan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46255</v>
      </c>
      <c r="F320" t="inlineStr">
        <is>
          <t>VÄSTRA GÖTALANDS LÄN</t>
        </is>
      </c>
      <c r="G320" t="inlineStr">
        <is>
          <t>BORÅS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46255</v>
      </c>
      <c r="F321" t="inlineStr">
        <is>
          <t>VÄSTRA GÖTALANDS LÄN</t>
        </is>
      </c>
      <c r="G321" t="inlineStr">
        <is>
          <t>BORÅS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46255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Kyrkan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46255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60204-2025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46255</v>
      </c>
      <c r="F324" t="inlineStr">
        <is>
          <t>VÄSTRA GÖTALANDS LÄN</t>
        </is>
      </c>
      <c r="G324" t="inlineStr">
        <is>
          <t>BORÅS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46255</v>
      </c>
      <c r="F325" t="inlineStr">
        <is>
          <t>VÄSTRA GÖTALANDS LÄN</t>
        </is>
      </c>
      <c r="G325" t="inlineStr">
        <is>
          <t>BORÅS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29317-2024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46255</v>
      </c>
      <c r="F326" t="inlineStr">
        <is>
          <t>VÄSTRA GÖTALANDS LÄN</t>
        </is>
      </c>
      <c r="G326" t="inlineStr">
        <is>
          <t>BORÅS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45770</v>
      </c>
      <c r="E327" s="1" t="n">
        <v>46255</v>
      </c>
      <c r="F327" t="inlineStr">
        <is>
          <t>VÄSTRA GÖTALANDS LÄN</t>
        </is>
      </c>
      <c r="G327" t="inlineStr">
        <is>
          <t>BORÅS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45996</v>
      </c>
      <c r="E328" s="1" t="n">
        <v>46255</v>
      </c>
      <c r="F328" t="inlineStr">
        <is>
          <t>VÄSTRA GÖTALANDS LÄN</t>
        </is>
      </c>
      <c r="G328" t="inlineStr">
        <is>
          <t>BORÅS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58771-2021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46255</v>
      </c>
      <c r="F329" t="inlineStr">
        <is>
          <t>VÄSTRA GÖTALANDS LÄN</t>
        </is>
      </c>
      <c r="G329" t="inlineStr">
        <is>
          <t>BORÅS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46255</v>
      </c>
      <c r="F330" t="inlineStr">
        <is>
          <t>VÄSTRA GÖTALANDS LÄN</t>
        </is>
      </c>
      <c r="G330" t="inlineStr">
        <is>
          <t>BORÅS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46255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Kommuner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72566-2021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44546</v>
      </c>
      <c r="E332" s="1" t="n">
        <v>46255</v>
      </c>
      <c r="F332" t="inlineStr">
        <is>
          <t>VÄSTRA GÖTALANDS LÄN</t>
        </is>
      </c>
      <c r="G332" t="inlineStr">
        <is>
          <t>BORÅS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47624-2021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44448</v>
      </c>
      <c r="E333" s="1" t="n">
        <v>46255</v>
      </c>
      <c r="F333" t="inlineStr">
        <is>
          <t>VÄSTRA GÖTALANDS LÄN</t>
        </is>
      </c>
      <c r="G333" t="inlineStr">
        <is>
          <t>BORÅS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45120</v>
      </c>
      <c r="E334" s="1" t="n">
        <v>46255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32472-2023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45120</v>
      </c>
      <c r="E335" s="1" t="n">
        <v>46255</v>
      </c>
      <c r="F335" t="inlineStr">
        <is>
          <t>VÄSTRA GÖTALANDS LÄN</t>
        </is>
      </c>
      <c r="G335" t="inlineStr">
        <is>
          <t>BORÅS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32482-2023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45120</v>
      </c>
      <c r="E336" s="1" t="n">
        <v>46255</v>
      </c>
      <c r="F336" t="inlineStr">
        <is>
          <t>VÄSTRA GÖTALANDS LÄN</t>
        </is>
      </c>
      <c r="G336" t="inlineStr">
        <is>
          <t>BORÅS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46255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46255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46255</v>
      </c>
      <c r="F339" t="inlineStr">
        <is>
          <t>VÄSTRA GÖTALANDS LÄN</t>
        </is>
      </c>
      <c r="G339" t="inlineStr">
        <is>
          <t>BORÅS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46255</v>
      </c>
      <c r="F340" t="inlineStr">
        <is>
          <t>VÄSTRA GÖTALANDS LÄN</t>
        </is>
      </c>
      <c r="G340" t="inlineStr">
        <is>
          <t>BORÅS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46255</v>
      </c>
      <c r="F341" t="inlineStr">
        <is>
          <t>VÄSTRA GÖTALANDS LÄN</t>
        </is>
      </c>
      <c r="G341" t="inlineStr">
        <is>
          <t>BORÅS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45772</v>
      </c>
      <c r="E342" s="1" t="n">
        <v>46255</v>
      </c>
      <c r="F342" t="inlineStr">
        <is>
          <t>VÄSTRA GÖTALANDS LÄN</t>
        </is>
      </c>
      <c r="G342" t="inlineStr">
        <is>
          <t>BORÅS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4757-2025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45688</v>
      </c>
      <c r="E343" s="1" t="n">
        <v>46255</v>
      </c>
      <c r="F343" t="inlineStr">
        <is>
          <t>VÄSTRA GÖTALANDS LÄN</t>
        </is>
      </c>
      <c r="G343" t="inlineStr">
        <is>
          <t>BORÅS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46255</v>
      </c>
      <c r="F344" t="inlineStr">
        <is>
          <t>VÄSTRA GÖTALANDS LÄN</t>
        </is>
      </c>
      <c r="G344" t="inlineStr">
        <is>
          <t>BORÅS</t>
        </is>
      </c>
      <c r="I344" t="n">
        <v>12.8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46255</v>
      </c>
      <c r="F345" t="inlineStr">
        <is>
          <t>VÄSTRA GÖTALANDS LÄN</t>
        </is>
      </c>
      <c r="G345" t="inlineStr">
        <is>
          <t>BORÅS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46255</v>
      </c>
      <c r="F346" t="inlineStr">
        <is>
          <t>VÄSTRA GÖTALANDS LÄN</t>
        </is>
      </c>
      <c r="G346" t="inlineStr">
        <is>
          <t>BORÅS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46255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45713</v>
      </c>
      <c r="E348" s="1" t="n">
        <v>46255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45715</v>
      </c>
      <c r="E349" s="1" t="n">
        <v>46255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45688</v>
      </c>
      <c r="E350" s="1" t="n">
        <v>46255</v>
      </c>
      <c r="F350" t="inlineStr">
        <is>
          <t>VÄSTRA GÖTALANDS LÄN</t>
        </is>
      </c>
      <c r="G350" t="inlineStr">
        <is>
          <t>BORÅS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45062</v>
      </c>
      <c r="E351" s="1" t="n">
        <v>46255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46255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44703-2021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44438</v>
      </c>
      <c r="E353" s="1" t="n">
        <v>46255</v>
      </c>
      <c r="F353" t="inlineStr">
        <is>
          <t>VÄSTRA GÖTALANDS LÄN</t>
        </is>
      </c>
      <c r="G353" t="inlineStr">
        <is>
          <t>BORÅS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17234-2026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46119</v>
      </c>
      <c r="E354" s="1" t="n">
        <v>46255</v>
      </c>
      <c r="F354" t="inlineStr">
        <is>
          <t>VÄSTRA GÖTALANDS LÄN</t>
        </is>
      </c>
      <c r="G354" t="inlineStr">
        <is>
          <t>BORÅS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45545</v>
      </c>
      <c r="E355" s="1" t="n">
        <v>46255</v>
      </c>
      <c r="F355" t="inlineStr">
        <is>
          <t>VÄSTRA GÖTALANDS LÄN</t>
        </is>
      </c>
      <c r="G355" t="inlineStr">
        <is>
          <t>BORÅS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45294</v>
      </c>
      <c r="E356" s="1" t="n">
        <v>46255</v>
      </c>
      <c r="F356" t="inlineStr">
        <is>
          <t>VÄSTRA GÖTALANDS LÄN</t>
        </is>
      </c>
      <c r="G356" t="inlineStr">
        <is>
          <t>BORÅS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44889</v>
      </c>
      <c r="E357" s="1" t="n">
        <v>46255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Kyrkan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46255</v>
      </c>
      <c r="F358" t="inlineStr">
        <is>
          <t>VÄSTRA GÖTALANDS LÄN</t>
        </is>
      </c>
      <c r="G358" t="inlineStr">
        <is>
          <t>BORÅS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46255</v>
      </c>
      <c r="F359" t="inlineStr">
        <is>
          <t>VÄSTRA GÖTALANDS LÄN</t>
        </is>
      </c>
      <c r="G359" t="inlineStr">
        <is>
          <t>BORÅS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46255</v>
      </c>
      <c r="F360" t="inlineStr">
        <is>
          <t>VÄSTRA GÖTALANDS LÄN</t>
        </is>
      </c>
      <c r="G360" t="inlineStr">
        <is>
          <t>BORÅS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46255</v>
      </c>
      <c r="F361" t="inlineStr">
        <is>
          <t>VÄSTRA GÖTALANDS LÄN</t>
        </is>
      </c>
      <c r="G361" t="inlineStr">
        <is>
          <t>BORÅS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46255</v>
      </c>
      <c r="F362" t="inlineStr">
        <is>
          <t>VÄSTRA GÖTALANDS LÄN</t>
        </is>
      </c>
      <c r="G362" t="inlineStr">
        <is>
          <t>BORÅS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46255</v>
      </c>
      <c r="F363" t="inlineStr">
        <is>
          <t>VÄSTRA GÖTALANDS LÄN</t>
        </is>
      </c>
      <c r="G363" t="inlineStr">
        <is>
          <t>BORÅS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46255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46255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46255</v>
      </c>
      <c r="F366" t="inlineStr">
        <is>
          <t>VÄSTRA GÖTALANDS LÄN</t>
        </is>
      </c>
      <c r="G366" t="inlineStr">
        <is>
          <t>BORÅS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46041</v>
      </c>
      <c r="E367" s="1" t="n">
        <v>46255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45593</v>
      </c>
      <c r="E368" s="1" t="n">
        <v>46255</v>
      </c>
      <c r="F368" t="inlineStr">
        <is>
          <t>VÄSTRA GÖTALANDS LÄN</t>
        </is>
      </c>
      <c r="G368" t="inlineStr">
        <is>
          <t>BORÅS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46255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46128</v>
      </c>
      <c r="E370" s="1" t="n">
        <v>46255</v>
      </c>
      <c r="F370" t="inlineStr">
        <is>
          <t>VÄSTRA GÖTALANDS LÄN</t>
        </is>
      </c>
      <c r="G370" t="inlineStr">
        <is>
          <t>BORÅS</t>
        </is>
      </c>
      <c r="I370" t="n">
        <v>9.199999999999999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46255</v>
      </c>
      <c r="F371" t="inlineStr">
        <is>
          <t>VÄSTRA GÖTALANDS LÄN</t>
        </is>
      </c>
      <c r="G371" t="inlineStr">
        <is>
          <t>BORÅS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46255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46255</v>
      </c>
      <c r="F373" t="inlineStr">
        <is>
          <t>VÄSTRA GÖTALANDS LÄN</t>
        </is>
      </c>
      <c r="G373" t="inlineStr">
        <is>
          <t>BORÅS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46255</v>
      </c>
      <c r="F374" t="inlineStr">
        <is>
          <t>VÄSTRA GÖTALANDS LÄN</t>
        </is>
      </c>
      <c r="G374" t="inlineStr">
        <is>
          <t>BORÅS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42117-2024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45562</v>
      </c>
      <c r="E375" s="1" t="n">
        <v>46255</v>
      </c>
      <c r="F375" t="inlineStr">
        <is>
          <t>VÄSTRA GÖTALANDS LÄN</t>
        </is>
      </c>
      <c r="G375" t="inlineStr">
        <is>
          <t>BORÅS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8240-2022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44609</v>
      </c>
      <c r="E376" s="1" t="n">
        <v>46255</v>
      </c>
      <c r="F376" t="inlineStr">
        <is>
          <t>VÄSTRA GÖTALANDS LÄN</t>
        </is>
      </c>
      <c r="G376" t="inlineStr">
        <is>
          <t>BORÅS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46255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45155</v>
      </c>
      <c r="E378" s="1" t="n">
        <v>46255</v>
      </c>
      <c r="F378" t="inlineStr">
        <is>
          <t>VÄSTRA GÖTALANDS LÄN</t>
        </is>
      </c>
      <c r="G378" t="inlineStr">
        <is>
          <t>BORÅS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65064-2021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44515</v>
      </c>
      <c r="E379" s="1" t="n">
        <v>46255</v>
      </c>
      <c r="F379" t="inlineStr">
        <is>
          <t>VÄSTRA GÖTALANDS LÄN</t>
        </is>
      </c>
      <c r="G379" t="inlineStr">
        <is>
          <t>BORÅS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46255</v>
      </c>
      <c r="F380" t="inlineStr">
        <is>
          <t>VÄSTRA GÖTALANDS LÄN</t>
        </is>
      </c>
      <c r="G380" t="inlineStr">
        <is>
          <t>BORÅS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46255</v>
      </c>
      <c r="F381" t="inlineStr">
        <is>
          <t>VÄSTRA GÖTALANDS LÄN</t>
        </is>
      </c>
      <c r="G381" t="inlineStr">
        <is>
          <t>BORÅS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46255</v>
      </c>
      <c r="F382" t="inlineStr">
        <is>
          <t>VÄSTRA GÖTALANDS LÄN</t>
        </is>
      </c>
      <c r="G382" t="inlineStr">
        <is>
          <t>BORÅS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46255</v>
      </c>
      <c r="F383" t="inlineStr">
        <is>
          <t>VÄSTRA GÖTALANDS LÄN</t>
        </is>
      </c>
      <c r="G383" t="inlineStr">
        <is>
          <t>BORÅS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46134-2023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45196</v>
      </c>
      <c r="E384" s="1" t="n">
        <v>46255</v>
      </c>
      <c r="F384" t="inlineStr">
        <is>
          <t>VÄSTRA GÖTALANDS LÄN</t>
        </is>
      </c>
      <c r="G384" t="inlineStr">
        <is>
          <t>BORÅS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72806-2021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44547</v>
      </c>
      <c r="E385" s="1" t="n">
        <v>46255</v>
      </c>
      <c r="F385" t="inlineStr">
        <is>
          <t>VÄSTRA GÖTALANDS LÄN</t>
        </is>
      </c>
      <c r="G385" t="inlineStr">
        <is>
          <t>BORÅS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45357</v>
      </c>
      <c r="E386" s="1" t="n">
        <v>46255</v>
      </c>
      <c r="F386" t="inlineStr">
        <is>
          <t>VÄSTRA GÖTALANDS LÄN</t>
        </is>
      </c>
      <c r="G386" t="inlineStr">
        <is>
          <t>BORÅS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45054</v>
      </c>
      <c r="E387" s="1" t="n">
        <v>46255</v>
      </c>
      <c r="F387" t="inlineStr">
        <is>
          <t>VÄSTRA GÖTALANDS LÄN</t>
        </is>
      </c>
      <c r="G387" t="inlineStr">
        <is>
          <t>BORÅS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46255</v>
      </c>
      <c r="F388" t="inlineStr">
        <is>
          <t>VÄSTRA GÖTALANDS LÄN</t>
        </is>
      </c>
      <c r="G388" t="inlineStr">
        <is>
          <t>BORÅS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45671</v>
      </c>
      <c r="E389" s="1" t="n">
        <v>46255</v>
      </c>
      <c r="F389" t="inlineStr">
        <is>
          <t>VÄSTRA GÖTALANDS LÄN</t>
        </is>
      </c>
      <c r="G389" t="inlineStr">
        <is>
          <t>BORÅS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44644</v>
      </c>
      <c r="E390" s="1" t="n">
        <v>46255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35403-2025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45855</v>
      </c>
      <c r="E391" s="1" t="n">
        <v>46255</v>
      </c>
      <c r="F391" t="inlineStr">
        <is>
          <t>VÄSTRA GÖTALANDS LÄN</t>
        </is>
      </c>
      <c r="G391" t="inlineStr">
        <is>
          <t>BORÅS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27335-2024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45472</v>
      </c>
      <c r="E392" s="1" t="n">
        <v>46255</v>
      </c>
      <c r="F392" t="inlineStr">
        <is>
          <t>VÄSTRA GÖTALANDS LÄN</t>
        </is>
      </c>
      <c r="G392" t="inlineStr">
        <is>
          <t>BORÅS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45579</v>
      </c>
      <c r="E393" s="1" t="n">
        <v>46255</v>
      </c>
      <c r="F393" t="inlineStr">
        <is>
          <t>VÄSTRA GÖTALANDS LÄN</t>
        </is>
      </c>
      <c r="G393" t="inlineStr">
        <is>
          <t>BORÅS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46255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46255</v>
      </c>
      <c r="F395" t="inlineStr">
        <is>
          <t>VÄSTRA GÖTALANDS LÄN</t>
        </is>
      </c>
      <c r="G395" t="inlineStr">
        <is>
          <t>BORÅS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45432</v>
      </c>
      <c r="E396" s="1" t="n">
        <v>46255</v>
      </c>
      <c r="F396" t="inlineStr">
        <is>
          <t>VÄSTRA GÖTALANDS LÄN</t>
        </is>
      </c>
      <c r="G396" t="inlineStr">
        <is>
          <t>BORÅS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44639</v>
      </c>
      <c r="E397" s="1" t="n">
        <v>46255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70988-2021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46255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Kommuner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45176</v>
      </c>
      <c r="E399" s="1" t="n">
        <v>46255</v>
      </c>
      <c r="F399" t="inlineStr">
        <is>
          <t>VÄSTRA GÖTALANDS LÄN</t>
        </is>
      </c>
      <c r="G399" t="inlineStr">
        <is>
          <t>BORÅS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45316</v>
      </c>
      <c r="E400" s="1" t="n">
        <v>46255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45098</v>
      </c>
      <c r="E401" s="1" t="n">
        <v>46255</v>
      </c>
      <c r="F401" t="inlineStr">
        <is>
          <t>VÄSTRA GÖTALANDS LÄN</t>
        </is>
      </c>
      <c r="G401" t="inlineStr">
        <is>
          <t>BORÅS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45196</v>
      </c>
      <c r="E402" s="1" t="n">
        <v>46255</v>
      </c>
      <c r="F402" t="inlineStr">
        <is>
          <t>VÄSTRA GÖTALANDS LÄN</t>
        </is>
      </c>
      <c r="G402" t="inlineStr">
        <is>
          <t>BORÅS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44564</v>
      </c>
      <c r="E403" s="1" t="n">
        <v>46255</v>
      </c>
      <c r="F403" t="inlineStr">
        <is>
          <t>VÄSTRA GÖTALANDS LÄN</t>
        </is>
      </c>
      <c r="G403" t="inlineStr">
        <is>
          <t>BORÅS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44879-2023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45190</v>
      </c>
      <c r="E404" s="1" t="n">
        <v>46255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21739-2026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46147</v>
      </c>
      <c r="E405" s="1" t="n">
        <v>46255</v>
      </c>
      <c r="F405" t="inlineStr">
        <is>
          <t>VÄSTRA GÖTALANDS LÄN</t>
        </is>
      </c>
      <c r="G405" t="inlineStr">
        <is>
          <t>BORÅS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8182-2024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45351</v>
      </c>
      <c r="E406" s="1" t="n">
        <v>46255</v>
      </c>
      <c r="F406" t="inlineStr">
        <is>
          <t>VÄSTRA GÖTALANDS LÄN</t>
        </is>
      </c>
      <c r="G406" t="inlineStr">
        <is>
          <t>BORÅS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45863</v>
      </c>
      <c r="E407" s="1" t="n">
        <v>46255</v>
      </c>
      <c r="F407" t="inlineStr">
        <is>
          <t>VÄSTRA GÖTALANDS LÄN</t>
        </is>
      </c>
      <c r="G407" t="inlineStr">
        <is>
          <t>BORÅS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45855</v>
      </c>
      <c r="E408" s="1" t="n">
        <v>46255</v>
      </c>
      <c r="F408" t="inlineStr">
        <is>
          <t>VÄSTRA GÖTALANDS LÄN</t>
        </is>
      </c>
      <c r="G408" t="inlineStr">
        <is>
          <t>BORÅS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45798</v>
      </c>
      <c r="E409" s="1" t="n">
        <v>46255</v>
      </c>
      <c r="F409" t="inlineStr">
        <is>
          <t>VÄSTRA GÖTALANDS LÄN</t>
        </is>
      </c>
      <c r="G409" t="inlineStr">
        <is>
          <t>BORÅS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45636</v>
      </c>
      <c r="E410" s="1" t="n">
        <v>46255</v>
      </c>
      <c r="F410" t="inlineStr">
        <is>
          <t>VÄSTRA GÖTALANDS LÄN</t>
        </is>
      </c>
      <c r="G410" t="inlineStr">
        <is>
          <t>BORÅS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46255</v>
      </c>
      <c r="F411" t="inlineStr">
        <is>
          <t>VÄSTRA GÖTALANDS LÄN</t>
        </is>
      </c>
      <c r="G411" t="inlineStr">
        <is>
          <t>BORÅS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46255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46255</v>
      </c>
      <c r="F413" t="inlineStr">
        <is>
          <t>VÄSTRA GÖTALANDS LÄN</t>
        </is>
      </c>
      <c r="G413" t="inlineStr">
        <is>
          <t>BORÅS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46255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45231</v>
      </c>
      <c r="E415" s="1" t="n">
        <v>46255</v>
      </c>
      <c r="F415" t="inlineStr">
        <is>
          <t>VÄSTRA GÖTALANDS LÄN</t>
        </is>
      </c>
      <c r="G415" t="inlineStr">
        <is>
          <t>BORÅS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45842</v>
      </c>
      <c r="E416" s="1" t="n">
        <v>46255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45205</v>
      </c>
      <c r="E417" s="1" t="n">
        <v>46255</v>
      </c>
      <c r="F417" t="inlineStr">
        <is>
          <t>VÄSTRA GÖTALANDS LÄN</t>
        </is>
      </c>
      <c r="G417" t="inlineStr">
        <is>
          <t>BORÅS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45212</v>
      </c>
      <c r="E418" s="1" t="n">
        <v>46255</v>
      </c>
      <c r="F418" t="inlineStr">
        <is>
          <t>VÄSTRA GÖTALANDS LÄN</t>
        </is>
      </c>
      <c r="G418" t="inlineStr">
        <is>
          <t>BORÅS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46255</v>
      </c>
      <c r="F419" t="inlineStr">
        <is>
          <t>VÄSTRA GÖTALANDS LÄN</t>
        </is>
      </c>
      <c r="G419" t="inlineStr">
        <is>
          <t>BORÅS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36635-2025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45870</v>
      </c>
      <c r="E420" s="1" t="n">
        <v>46255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46255</v>
      </c>
      <c r="F421" t="inlineStr">
        <is>
          <t>VÄSTRA GÖTALANDS LÄN</t>
        </is>
      </c>
      <c r="G421" t="inlineStr">
        <is>
          <t>BORÅS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45870</v>
      </c>
      <c r="E422" s="1" t="n">
        <v>46255</v>
      </c>
      <c r="F422" t="inlineStr">
        <is>
          <t>VÄSTRA GÖTALANDS LÄN</t>
        </is>
      </c>
      <c r="G422" t="inlineStr">
        <is>
          <t>BORÅS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46255</v>
      </c>
      <c r="F423" t="inlineStr">
        <is>
          <t>VÄSTRA GÖTALANDS LÄN</t>
        </is>
      </c>
      <c r="G423" t="inlineStr">
        <is>
          <t>BORÅS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45126</v>
      </c>
      <c r="E424" s="1" t="n">
        <v>46255</v>
      </c>
      <c r="F424" t="inlineStr">
        <is>
          <t>VÄSTRA GÖTALANDS LÄN</t>
        </is>
      </c>
      <c r="G424" t="inlineStr">
        <is>
          <t>BORÅS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32198-2023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46255</v>
      </c>
      <c r="F425" t="inlineStr">
        <is>
          <t>VÄSTRA GÖTALANDS LÄN</t>
        </is>
      </c>
      <c r="G425" t="inlineStr">
        <is>
          <t>BORÅS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46255</v>
      </c>
      <c r="F426" t="inlineStr">
        <is>
          <t>VÄSTRA GÖTALANDS LÄN</t>
        </is>
      </c>
      <c r="G426" t="inlineStr">
        <is>
          <t>BORÅS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46255</v>
      </c>
      <c r="F427" t="inlineStr">
        <is>
          <t>VÄSTRA GÖTALANDS LÄN</t>
        </is>
      </c>
      <c r="G427" t="inlineStr">
        <is>
          <t>BORÅS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46255</v>
      </c>
      <c r="F428" t="inlineStr">
        <is>
          <t>VÄSTRA GÖTALANDS LÄN</t>
        </is>
      </c>
      <c r="G428" t="inlineStr">
        <is>
          <t>BORÅS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45516</v>
      </c>
      <c r="E429" s="1" t="n">
        <v>46255</v>
      </c>
      <c r="F429" t="inlineStr">
        <is>
          <t>VÄSTRA GÖTALANDS LÄN</t>
        </is>
      </c>
      <c r="G429" t="inlineStr">
        <is>
          <t>BORÅS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45741</v>
      </c>
      <c r="E430" s="1" t="n">
        <v>46255</v>
      </c>
      <c r="F430" t="inlineStr">
        <is>
          <t>VÄSTRA GÖTALANDS LÄN</t>
        </is>
      </c>
      <c r="G430" t="inlineStr">
        <is>
          <t>BORÅS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46255</v>
      </c>
      <c r="F431" t="inlineStr">
        <is>
          <t>VÄSTRA GÖTALANDS LÄN</t>
        </is>
      </c>
      <c r="G431" t="inlineStr">
        <is>
          <t>BORÅS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61681-2023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46255</v>
      </c>
      <c r="F432" t="inlineStr">
        <is>
          <t>VÄSTRA GÖTALANDS LÄN</t>
        </is>
      </c>
      <c r="G432" t="inlineStr">
        <is>
          <t>BORÅS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45120</v>
      </c>
      <c r="E433" s="1" t="n">
        <v>46255</v>
      </c>
      <c r="F433" t="inlineStr">
        <is>
          <t>VÄSTRA GÖTALANDS LÄN</t>
        </is>
      </c>
      <c r="G433" t="inlineStr">
        <is>
          <t>BORÅS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45240</v>
      </c>
      <c r="E434" s="1" t="n">
        <v>46255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45294</v>
      </c>
      <c r="E435" s="1" t="n">
        <v>46255</v>
      </c>
      <c r="F435" t="inlineStr">
        <is>
          <t>VÄSTRA GÖTALANDS LÄN</t>
        </is>
      </c>
      <c r="G435" t="inlineStr">
        <is>
          <t>BORÅS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20653-2026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46141</v>
      </c>
      <c r="E436" s="1" t="n">
        <v>46255</v>
      </c>
      <c r="F436" t="inlineStr">
        <is>
          <t>VÄSTRA GÖTALANDS LÄN</t>
        </is>
      </c>
      <c r="G436" t="inlineStr">
        <is>
          <t>BORÅS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45302</v>
      </c>
      <c r="E437" s="1" t="n">
        <v>46255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20279-2026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46136</v>
      </c>
      <c r="E438" s="1" t="n">
        <v>46255</v>
      </c>
      <c r="F438" t="inlineStr">
        <is>
          <t>VÄSTRA GÖTALANDS LÄN</t>
        </is>
      </c>
      <c r="G438" t="inlineStr">
        <is>
          <t>BORÅS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21168-2022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44704</v>
      </c>
      <c r="E439" s="1" t="n">
        <v>46255</v>
      </c>
      <c r="F439" t="inlineStr">
        <is>
          <t>VÄSTRA GÖTALANDS LÄN</t>
        </is>
      </c>
      <c r="G439" t="inlineStr">
        <is>
          <t>BORÅS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46255</v>
      </c>
      <c r="F440" t="inlineStr">
        <is>
          <t>VÄSTRA GÖTALANDS LÄN</t>
        </is>
      </c>
      <c r="G440" t="inlineStr">
        <is>
          <t>BORÅS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46255</v>
      </c>
      <c r="F441" t="inlineStr">
        <is>
          <t>VÄSTRA GÖTALANDS LÄN</t>
        </is>
      </c>
      <c r="G441" t="inlineStr">
        <is>
          <t>BORÅS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45315</v>
      </c>
      <c r="E442" s="1" t="n">
        <v>46255</v>
      </c>
      <c r="F442" t="inlineStr">
        <is>
          <t>VÄSTRA GÖTALANDS LÄN</t>
        </is>
      </c>
      <c r="G442" t="inlineStr">
        <is>
          <t>BORÅS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45186</v>
      </c>
      <c r="E443" s="1" t="n">
        <v>46255</v>
      </c>
      <c r="F443" t="inlineStr">
        <is>
          <t>VÄSTRA GÖTALANDS LÄN</t>
        </is>
      </c>
      <c r="G443" t="inlineStr">
        <is>
          <t>BORÅS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45233</v>
      </c>
      <c r="E444" s="1" t="n">
        <v>46255</v>
      </c>
      <c r="F444" t="inlineStr">
        <is>
          <t>VÄSTRA GÖTALANDS LÄN</t>
        </is>
      </c>
      <c r="G444" t="inlineStr">
        <is>
          <t>BORÅS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46255</v>
      </c>
      <c r="F445" t="inlineStr">
        <is>
          <t>VÄSTRA GÖTALANDS LÄN</t>
        </is>
      </c>
      <c r="G445" t="inlineStr">
        <is>
          <t>BORÅS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45268</v>
      </c>
      <c r="E446" s="1" t="n">
        <v>46255</v>
      </c>
      <c r="F446" t="inlineStr">
        <is>
          <t>VÄSTRA GÖTALANDS LÄN</t>
        </is>
      </c>
      <c r="G446" t="inlineStr">
        <is>
          <t>BORÅS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46255</v>
      </c>
      <c r="F447" t="inlineStr">
        <is>
          <t>VÄSTRA GÖTALANDS LÄN</t>
        </is>
      </c>
      <c r="G447" t="inlineStr">
        <is>
          <t>BORÅS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45289</v>
      </c>
      <c r="E448" s="1" t="n">
        <v>46255</v>
      </c>
      <c r="F448" t="inlineStr">
        <is>
          <t>VÄSTRA GÖTALANDS LÄN</t>
        </is>
      </c>
      <c r="G448" t="inlineStr">
        <is>
          <t>BORÅS</t>
        </is>
      </c>
      <c r="I448" t="n">
        <v>12.5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48449-2025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45935</v>
      </c>
      <c r="E449" s="1" t="n">
        <v>46255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46255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46255</v>
      </c>
      <c r="F451" t="inlineStr">
        <is>
          <t>VÄSTRA GÖTALANDS LÄN</t>
        </is>
      </c>
      <c r="G451" t="inlineStr">
        <is>
          <t>BORÅS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36577-2022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44804</v>
      </c>
      <c r="E452" s="1" t="n">
        <v>46255</v>
      </c>
      <c r="F452" t="inlineStr">
        <is>
          <t>VÄSTRA GÖTALANDS LÄN</t>
        </is>
      </c>
      <c r="G452" t="inlineStr">
        <is>
          <t>BORÅS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46255</v>
      </c>
      <c r="F453" t="inlineStr">
        <is>
          <t>VÄSTRA GÖTALANDS LÄN</t>
        </is>
      </c>
      <c r="G453" t="inlineStr">
        <is>
          <t>BORÅS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46255</v>
      </c>
      <c r="F454" t="inlineStr">
        <is>
          <t>VÄSTRA GÖTALANDS LÄN</t>
        </is>
      </c>
      <c r="G454" t="inlineStr">
        <is>
          <t>BORÅS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45321</v>
      </c>
      <c r="E455" s="1" t="n">
        <v>46255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46255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44839</v>
      </c>
      <c r="E457" s="1" t="n">
        <v>46255</v>
      </c>
      <c r="F457" t="inlineStr">
        <is>
          <t>VÄSTRA GÖTALANDS LÄN</t>
        </is>
      </c>
      <c r="G457" t="inlineStr">
        <is>
          <t>BORÅS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46255</v>
      </c>
      <c r="F458" t="inlineStr">
        <is>
          <t>VÄSTRA GÖTALANDS LÄN</t>
        </is>
      </c>
      <c r="G458" t="inlineStr">
        <is>
          <t>BORÅS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46255</v>
      </c>
      <c r="F459" t="inlineStr">
        <is>
          <t>VÄSTRA GÖTALANDS LÄN</t>
        </is>
      </c>
      <c r="G459" t="inlineStr">
        <is>
          <t>BORÅS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46255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46255</v>
      </c>
      <c r="F461" t="inlineStr">
        <is>
          <t>VÄSTRA GÖTALANDS LÄN</t>
        </is>
      </c>
      <c r="G461" t="inlineStr">
        <is>
          <t>BORÅS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45321</v>
      </c>
      <c r="E462" s="1" t="n">
        <v>46255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Kommuner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46255</v>
      </c>
      <c r="F463" t="inlineStr">
        <is>
          <t>VÄSTRA GÖTALANDS LÄN</t>
        </is>
      </c>
      <c r="G463" t="inlineStr">
        <is>
          <t>BORÅS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46255</v>
      </c>
      <c r="F464" t="inlineStr">
        <is>
          <t>VÄSTRA GÖTALANDS LÄN</t>
        </is>
      </c>
      <c r="G464" t="inlineStr">
        <is>
          <t>BORÅS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44916</v>
      </c>
      <c r="E465" s="1" t="n">
        <v>46255</v>
      </c>
      <c r="F465" t="inlineStr">
        <is>
          <t>VÄSTRA GÖTALANDS LÄN</t>
        </is>
      </c>
      <c r="G465" t="inlineStr">
        <is>
          <t>BORÅS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45294</v>
      </c>
      <c r="E466" s="1" t="n">
        <v>46255</v>
      </c>
      <c r="F466" t="inlineStr">
        <is>
          <t>VÄSTRA GÖTALANDS LÄN</t>
        </is>
      </c>
      <c r="G466" t="inlineStr">
        <is>
          <t>BORÅS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46255</v>
      </c>
      <c r="F467" t="inlineStr">
        <is>
          <t>VÄSTRA GÖTALANDS LÄN</t>
        </is>
      </c>
      <c r="G467" t="inlineStr">
        <is>
          <t>BORÅS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46255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6203-2024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45337</v>
      </c>
      <c r="E469" s="1" t="n">
        <v>46255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44506-2023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45189</v>
      </c>
      <c r="E470" s="1" t="n">
        <v>46255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38970-2024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45548</v>
      </c>
      <c r="E471" s="1" t="n">
        <v>46255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46255</v>
      </c>
      <c r="F472" t="inlineStr">
        <is>
          <t>VÄSTRA GÖTALANDS LÄN</t>
        </is>
      </c>
      <c r="G472" t="inlineStr">
        <is>
          <t>BORÅS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41048-2022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44825</v>
      </c>
      <c r="E473" s="1" t="n">
        <v>46255</v>
      </c>
      <c r="F473" t="inlineStr">
        <is>
          <t>VÄSTRA GÖTALANDS LÄN</t>
        </is>
      </c>
      <c r="G473" t="inlineStr">
        <is>
          <t>BORÅS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46255</v>
      </c>
      <c r="F474" t="inlineStr">
        <is>
          <t>VÄSTRA GÖTALANDS LÄN</t>
        </is>
      </c>
      <c r="G474" t="inlineStr">
        <is>
          <t>BORÅS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52410-2023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45224</v>
      </c>
      <c r="E475" s="1" t="n">
        <v>46255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45197</v>
      </c>
      <c r="E476" s="1" t="n">
        <v>46255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46255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44964</v>
      </c>
      <c r="E478" s="1" t="n">
        <v>46255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49948-2023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46255</v>
      </c>
      <c r="F479" t="inlineStr">
        <is>
          <t>VÄSTRA GÖTALANDS LÄN</t>
        </is>
      </c>
      <c r="G479" t="inlineStr">
        <is>
          <t>BORÅS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44875</v>
      </c>
      <c r="E480" s="1" t="n">
        <v>46255</v>
      </c>
      <c r="F480" t="inlineStr">
        <is>
          <t>VÄSTRA GÖTALANDS LÄN</t>
        </is>
      </c>
      <c r="G480" t="inlineStr">
        <is>
          <t>BORÅS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46255</v>
      </c>
      <c r="F481" t="inlineStr">
        <is>
          <t>VÄSTRA GÖTALANDS LÄN</t>
        </is>
      </c>
      <c r="G481" t="inlineStr">
        <is>
          <t>BORÅS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25317-2024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45462</v>
      </c>
      <c r="E482" s="1" t="n">
        <v>46255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60931-2022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44914</v>
      </c>
      <c r="E483" s="1" t="n">
        <v>46255</v>
      </c>
      <c r="F483" t="inlineStr">
        <is>
          <t>VÄSTRA GÖTALANDS LÄN</t>
        </is>
      </c>
      <c r="G483" t="inlineStr">
        <is>
          <t>BORÅS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46255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46255</v>
      </c>
      <c r="F485" t="inlineStr">
        <is>
          <t>VÄSTRA GÖTALANDS LÄN</t>
        </is>
      </c>
      <c r="G485" t="inlineStr">
        <is>
          <t>BORÅS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58734-2021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44489</v>
      </c>
      <c r="E486" s="1" t="n">
        <v>46255</v>
      </c>
      <c r="F486" t="inlineStr">
        <is>
          <t>VÄSTRA GÖTALANDS LÄN</t>
        </is>
      </c>
      <c r="G486" t="inlineStr">
        <is>
          <t>BORÅS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45015</v>
      </c>
      <c r="E487" s="1" t="n">
        <v>46255</v>
      </c>
      <c r="F487" t="inlineStr">
        <is>
          <t>VÄSTRA GÖTALANDS LÄN</t>
        </is>
      </c>
      <c r="G487" t="inlineStr">
        <is>
          <t>BORÅS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46255</v>
      </c>
      <c r="F488" t="inlineStr">
        <is>
          <t>VÄSTRA GÖTALANDS LÄN</t>
        </is>
      </c>
      <c r="G488" t="inlineStr">
        <is>
          <t>BORÅS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44782-2025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45917</v>
      </c>
      <c r="E489" s="1" t="n">
        <v>46255</v>
      </c>
      <c r="F489" t="inlineStr">
        <is>
          <t>VÄSTRA GÖTALANDS LÄN</t>
        </is>
      </c>
      <c r="G489" t="inlineStr">
        <is>
          <t>BORÅS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34195-2025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45845</v>
      </c>
      <c r="E490" s="1" t="n">
        <v>46255</v>
      </c>
      <c r="F490" t="inlineStr">
        <is>
          <t>VÄSTRA GÖTALANDS LÄN</t>
        </is>
      </c>
      <c r="G490" t="inlineStr">
        <is>
          <t>BORÅS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46255</v>
      </c>
      <c r="F491" t="inlineStr">
        <is>
          <t>VÄSTRA GÖTALANDS LÄN</t>
        </is>
      </c>
      <c r="G491" t="inlineStr">
        <is>
          <t>BORÅS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46216</v>
      </c>
      <c r="E492" s="1" t="n">
        <v>46255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44592</v>
      </c>
      <c r="E493" s="1" t="n">
        <v>46255</v>
      </c>
      <c r="F493" t="inlineStr">
        <is>
          <t>VÄSTRA GÖTALANDS LÄN</t>
        </is>
      </c>
      <c r="G493" t="inlineStr">
        <is>
          <t>BORÅS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46217</v>
      </c>
      <c r="E494" s="1" t="n">
        <v>46255</v>
      </c>
      <c r="F494" t="inlineStr">
        <is>
          <t>VÄSTRA GÖTALANDS LÄN</t>
        </is>
      </c>
      <c r="G494" t="inlineStr">
        <is>
          <t>BORÅS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46255</v>
      </c>
      <c r="F495" t="inlineStr">
        <is>
          <t>VÄSTRA GÖTALANDS LÄN</t>
        </is>
      </c>
      <c r="G495" t="inlineStr">
        <is>
          <t>BORÅS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46255</v>
      </c>
      <c r="F496" t="inlineStr">
        <is>
          <t>VÄSTRA GÖTALANDS LÄN</t>
        </is>
      </c>
      <c r="G496" t="inlineStr">
        <is>
          <t>BORÅS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31213-2022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44771</v>
      </c>
      <c r="E497" s="1" t="n">
        <v>46255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Kyrkan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45546</v>
      </c>
      <c r="E498" s="1" t="n">
        <v>46255</v>
      </c>
      <c r="F498" t="inlineStr">
        <is>
          <t>VÄSTRA GÖTALANDS LÄN</t>
        </is>
      </c>
      <c r="G498" t="inlineStr">
        <is>
          <t>BORÅS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25238-2026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46175</v>
      </c>
      <c r="E499" s="1" t="n">
        <v>46255</v>
      </c>
      <c r="F499" t="inlineStr">
        <is>
          <t>VÄSTRA GÖTALANDS LÄN</t>
        </is>
      </c>
      <c r="G499" t="inlineStr">
        <is>
          <t>BORÅS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48711-2024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45593</v>
      </c>
      <c r="E500" s="1" t="n">
        <v>46255</v>
      </c>
      <c r="F500" t="inlineStr">
        <is>
          <t>VÄSTRA GÖTALANDS LÄN</t>
        </is>
      </c>
      <c r="G500" t="inlineStr">
        <is>
          <t>BORÅS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2008-2024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45308</v>
      </c>
      <c r="E501" s="1" t="n">
        <v>46255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14783-2022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44656</v>
      </c>
      <c r="E502" s="1" t="n">
        <v>46255</v>
      </c>
      <c r="F502" t="inlineStr">
        <is>
          <t>VÄSTRA GÖTALANDS LÄN</t>
        </is>
      </c>
      <c r="G502" t="inlineStr">
        <is>
          <t>BORÅS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46255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Kommuner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46255</v>
      </c>
      <c r="F504" t="inlineStr">
        <is>
          <t>VÄSTRA GÖTALANDS LÄN</t>
        </is>
      </c>
      <c r="G504" t="inlineStr">
        <is>
          <t>BORÅS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45670</v>
      </c>
      <c r="E505" s="1" t="n">
        <v>46255</v>
      </c>
      <c r="F505" t="inlineStr">
        <is>
          <t>VÄSTRA GÖTALANDS LÄN</t>
        </is>
      </c>
      <c r="G505" t="inlineStr">
        <is>
          <t>BORÅS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46255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46255</v>
      </c>
      <c r="F507" t="inlineStr">
        <is>
          <t>VÄSTRA GÖTALANDS LÄN</t>
        </is>
      </c>
      <c r="G507" t="inlineStr">
        <is>
          <t>BORÅS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31940-2024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45510</v>
      </c>
      <c r="E508" s="1" t="n">
        <v>46255</v>
      </c>
      <c r="F508" t="inlineStr">
        <is>
          <t>VÄSTRA GÖTALANDS LÄN</t>
        </is>
      </c>
      <c r="G508" t="inlineStr">
        <is>
          <t>BORÅS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44958</v>
      </c>
      <c r="E509" s="1" t="n">
        <v>46255</v>
      </c>
      <c r="F509" t="inlineStr">
        <is>
          <t>VÄSTRA GÖTALANDS LÄN</t>
        </is>
      </c>
      <c r="G509" t="inlineStr">
        <is>
          <t>BORÅS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14309-2022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44652</v>
      </c>
      <c r="E510" s="1" t="n">
        <v>46255</v>
      </c>
      <c r="F510" t="inlineStr">
        <is>
          <t>VÄSTRA GÖTALANDS LÄN</t>
        </is>
      </c>
      <c r="G510" t="inlineStr">
        <is>
          <t>BORÅS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45678</v>
      </c>
      <c r="E511" s="1" t="n">
        <v>46255</v>
      </c>
      <c r="F511" t="inlineStr">
        <is>
          <t>VÄSTRA GÖTALANDS LÄN</t>
        </is>
      </c>
      <c r="G511" t="inlineStr">
        <is>
          <t>BORÅS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46255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46183</v>
      </c>
      <c r="E513" s="1" t="n">
        <v>46255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Kyrkan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46255</v>
      </c>
      <c r="F514" t="inlineStr">
        <is>
          <t>VÄSTRA GÖTALANDS LÄN</t>
        </is>
      </c>
      <c r="G514" t="inlineStr">
        <is>
          <t>BORÅS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49191-2021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44454</v>
      </c>
      <c r="E515" s="1" t="n">
        <v>46255</v>
      </c>
      <c r="F515" t="inlineStr">
        <is>
          <t>VÄSTRA GÖTALANDS LÄN</t>
        </is>
      </c>
      <c r="G515" t="inlineStr">
        <is>
          <t>BORÅS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46255</v>
      </c>
      <c r="F516" t="inlineStr">
        <is>
          <t>VÄSTRA GÖTALANDS LÄN</t>
        </is>
      </c>
      <c r="G516" t="inlineStr">
        <is>
          <t>BORÅS</t>
        </is>
      </c>
      <c r="H516" t="inlineStr">
        <is>
          <t>Kyrkan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46255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46255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46255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46255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46255</v>
      </c>
      <c r="F521" t="inlineStr">
        <is>
          <t>VÄSTRA GÖTALANDS LÄN</t>
        </is>
      </c>
      <c r="G521" t="inlineStr">
        <is>
          <t>BORÅS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45000</v>
      </c>
      <c r="E522" s="1" t="n">
        <v>46255</v>
      </c>
      <c r="F522" t="inlineStr">
        <is>
          <t>VÄSTRA GÖTALANDS LÄN</t>
        </is>
      </c>
      <c r="G522" t="inlineStr">
        <is>
          <t>BORÅS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46255</v>
      </c>
      <c r="F523" t="inlineStr">
        <is>
          <t>VÄSTRA GÖTALANDS LÄN</t>
        </is>
      </c>
      <c r="G523" t="inlineStr">
        <is>
          <t>BORÅS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46574-2022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44848</v>
      </c>
      <c r="E524" s="1" t="n">
        <v>46255</v>
      </c>
      <c r="F524" t="inlineStr">
        <is>
          <t>VÄSTRA GÖTALANDS LÄN</t>
        </is>
      </c>
      <c r="G524" t="inlineStr">
        <is>
          <t>BORÅS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27334-2024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45472</v>
      </c>
      <c r="E525" s="1" t="n">
        <v>46255</v>
      </c>
      <c r="F525" t="inlineStr">
        <is>
          <t>VÄSTRA GÖTALANDS LÄN</t>
        </is>
      </c>
      <c r="G525" t="inlineStr">
        <is>
          <t>BORÅS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27206-2026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46255</v>
      </c>
      <c r="F526" t="inlineStr">
        <is>
          <t>VÄSTRA GÖTALANDS LÄN</t>
        </is>
      </c>
      <c r="G526" t="inlineStr">
        <is>
          <t>BORÅS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46255</v>
      </c>
      <c r="F527" t="inlineStr">
        <is>
          <t>VÄSTRA GÖTALANDS LÄN</t>
        </is>
      </c>
      <c r="G527" t="inlineStr">
        <is>
          <t>BORÅS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45050</v>
      </c>
      <c r="E528" s="1" t="n">
        <v>46255</v>
      </c>
      <c r="F528" t="inlineStr">
        <is>
          <t>VÄSTRA GÖTALANDS LÄN</t>
        </is>
      </c>
      <c r="G528" t="inlineStr">
        <is>
          <t>BORÅS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19483-2023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45050</v>
      </c>
      <c r="E529" s="1" t="n">
        <v>46255</v>
      </c>
      <c r="F529" t="inlineStr">
        <is>
          <t>VÄSTRA GÖTALANDS LÄN</t>
        </is>
      </c>
      <c r="G529" t="inlineStr">
        <is>
          <t>BORÅS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61452-2023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45264</v>
      </c>
      <c r="E530" s="1" t="n">
        <v>46255</v>
      </c>
      <c r="F530" t="inlineStr">
        <is>
          <t>VÄSTRA GÖTALANDS LÄN</t>
        </is>
      </c>
      <c r="G530" t="inlineStr">
        <is>
          <t>BORÅS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46255</v>
      </c>
      <c r="F531" t="inlineStr">
        <is>
          <t>VÄSTRA GÖTALANDS LÄN</t>
        </is>
      </c>
      <c r="G531" t="inlineStr">
        <is>
          <t>BORÅS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61863-2024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45650</v>
      </c>
      <c r="E532" s="1" t="n">
        <v>46255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44958</v>
      </c>
      <c r="E533" s="1" t="n">
        <v>46255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46255</v>
      </c>
      <c r="F534" t="inlineStr">
        <is>
          <t>VÄSTRA GÖTALANDS LÄN</t>
        </is>
      </c>
      <c r="G534" t="inlineStr">
        <is>
          <t>BORÅS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43574-2023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45184</v>
      </c>
      <c r="E535" s="1" t="n">
        <v>46255</v>
      </c>
      <c r="F535" t="inlineStr">
        <is>
          <t>VÄSTRA GÖTALANDS LÄN</t>
        </is>
      </c>
      <c r="G535" t="inlineStr">
        <is>
          <t>BORÅS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45666</v>
      </c>
      <c r="E536" s="1" t="n">
        <v>46255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Sveaskog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45421</v>
      </c>
      <c r="E537" s="1" t="n">
        <v>46255</v>
      </c>
      <c r="F537" t="inlineStr">
        <is>
          <t>VÄSTRA GÖTALANDS LÄN</t>
        </is>
      </c>
      <c r="G537" t="inlineStr">
        <is>
          <t>BORÅS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46255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24860-2022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44728</v>
      </c>
      <c r="E539" s="1" t="n">
        <v>46255</v>
      </c>
      <c r="F539" t="inlineStr">
        <is>
          <t>VÄSTRA GÖTALANDS LÄN</t>
        </is>
      </c>
      <c r="G539" t="inlineStr">
        <is>
          <t>BORÅS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46255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45126</v>
      </c>
      <c r="E541" s="1" t="n">
        <v>46255</v>
      </c>
      <c r="F541" t="inlineStr">
        <is>
          <t>VÄSTRA GÖTALANDS LÄN</t>
        </is>
      </c>
      <c r="G541" t="inlineStr">
        <is>
          <t>BORÅS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45194</v>
      </c>
      <c r="E542" s="1" t="n">
        <v>46255</v>
      </c>
      <c r="F542" t="inlineStr">
        <is>
          <t>VÄSTRA GÖTALANDS LÄN</t>
        </is>
      </c>
      <c r="G542" t="inlineStr">
        <is>
          <t>BORÅS</t>
        </is>
      </c>
      <c r="I542" t="n">
        <v>11.7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46255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46255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46255</v>
      </c>
      <c r="F545" t="inlineStr">
        <is>
          <t>VÄSTRA GÖTALANDS LÄN</t>
        </is>
      </c>
      <c r="G545" t="inlineStr">
        <is>
          <t>BORÅS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50605-2022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44866</v>
      </c>
      <c r="E546" s="1" t="n">
        <v>46255</v>
      </c>
      <c r="F546" t="inlineStr">
        <is>
          <t>VÄSTRA GÖTALANDS LÄN</t>
        </is>
      </c>
      <c r="G546" t="inlineStr">
        <is>
          <t>BORÅS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46255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36574-2024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45537</v>
      </c>
      <c r="E548" s="1" t="n">
        <v>46255</v>
      </c>
      <c r="F548" t="inlineStr">
        <is>
          <t>VÄSTRA GÖTALANDS LÄN</t>
        </is>
      </c>
      <c r="G548" t="inlineStr">
        <is>
          <t>BORÅS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45412</v>
      </c>
      <c r="E549" s="1" t="n">
        <v>46255</v>
      </c>
      <c r="F549" t="inlineStr">
        <is>
          <t>VÄSTRA GÖTALANDS LÄN</t>
        </is>
      </c>
      <c r="G549" t="inlineStr">
        <is>
          <t>BORÅS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46255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46255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45294</v>
      </c>
      <c r="E552" s="1" t="n">
        <v>46255</v>
      </c>
      <c r="F552" t="inlineStr">
        <is>
          <t>VÄSTRA GÖTALANDS LÄN</t>
        </is>
      </c>
      <c r="G552" t="inlineStr">
        <is>
          <t>BORÅS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45294</v>
      </c>
      <c r="E553" s="1" t="n">
        <v>46255</v>
      </c>
      <c r="F553" t="inlineStr">
        <is>
          <t>VÄSTRA GÖTALANDS LÄN</t>
        </is>
      </c>
      <c r="G553" t="inlineStr">
        <is>
          <t>BORÅS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46255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46255</v>
      </c>
      <c r="F555" t="inlineStr">
        <is>
          <t>VÄSTRA GÖTALANDS LÄN</t>
        </is>
      </c>
      <c r="G555" t="inlineStr">
        <is>
          <t>BORÅS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21180-2024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45440</v>
      </c>
      <c r="E556" s="1" t="n">
        <v>46255</v>
      </c>
      <c r="F556" t="inlineStr">
        <is>
          <t>VÄSTRA GÖTALANDS LÄN</t>
        </is>
      </c>
      <c r="G556" t="inlineStr">
        <is>
          <t>BORÅS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48358-2023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45205</v>
      </c>
      <c r="E557" s="1" t="n">
        <v>46255</v>
      </c>
      <c r="F557" t="inlineStr">
        <is>
          <t>VÄSTRA GÖTALANDS LÄN</t>
        </is>
      </c>
      <c r="G557" t="inlineStr">
        <is>
          <t>BORÅS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56002-2023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45240</v>
      </c>
      <c r="E558" s="1" t="n">
        <v>46255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26540-2026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46255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Kyrkan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46255</v>
      </c>
      <c r="F560" t="inlineStr">
        <is>
          <t>VÄSTRA GÖTALANDS LÄN</t>
        </is>
      </c>
      <c r="G560" t="inlineStr">
        <is>
          <t>BORÅS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44980</v>
      </c>
      <c r="E561" s="1" t="n">
        <v>46255</v>
      </c>
      <c r="F561" t="inlineStr">
        <is>
          <t>VÄSTRA GÖTALANDS LÄN</t>
        </is>
      </c>
      <c r="G561" t="inlineStr">
        <is>
          <t>BORÅS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46255</v>
      </c>
      <c r="F562" t="inlineStr">
        <is>
          <t>VÄSTRA GÖTALANDS LÄN</t>
        </is>
      </c>
      <c r="G562" t="inlineStr">
        <is>
          <t>BORÅS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46255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46255</v>
      </c>
      <c r="F564" t="inlineStr">
        <is>
          <t>VÄSTRA GÖTALANDS LÄN</t>
        </is>
      </c>
      <c r="G564" t="inlineStr">
        <is>
          <t>BORÅS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46246</v>
      </c>
      <c r="E565" s="1" t="n">
        <v>46255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46255</v>
      </c>
      <c r="F566" t="inlineStr">
        <is>
          <t>VÄSTRA GÖTALANDS LÄN</t>
        </is>
      </c>
      <c r="G566" t="inlineStr">
        <is>
          <t>BORÅS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46255</v>
      </c>
      <c r="F567" t="inlineStr">
        <is>
          <t>VÄSTRA GÖTALANDS LÄN</t>
        </is>
      </c>
      <c r="G567" t="inlineStr">
        <is>
          <t>BORÅS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46255</v>
      </c>
      <c r="F568" t="inlineStr">
        <is>
          <t>VÄSTRA GÖTALANDS LÄN</t>
        </is>
      </c>
      <c r="G568" t="inlineStr">
        <is>
          <t>BORÅS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45034</v>
      </c>
      <c r="E569" s="1" t="n">
        <v>46255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46255</v>
      </c>
      <c r="F570" t="inlineStr">
        <is>
          <t>VÄSTRA GÖTALANDS LÄN</t>
        </is>
      </c>
      <c r="G570" t="inlineStr">
        <is>
          <t>BORÅS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29628-2026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46255</v>
      </c>
      <c r="F571" t="inlineStr">
        <is>
          <t>VÄSTRA GÖTALANDS LÄN</t>
        </is>
      </c>
      <c r="G571" t="inlineStr">
        <is>
          <t>BORÅS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60923-2022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44914</v>
      </c>
      <c r="E572" s="1" t="n">
        <v>46255</v>
      </c>
      <c r="F572" t="inlineStr">
        <is>
          <t>VÄSTRA GÖTALANDS LÄN</t>
        </is>
      </c>
      <c r="G572" t="inlineStr">
        <is>
          <t>BORÅS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62448-2023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45268</v>
      </c>
      <c r="E573" s="1" t="n">
        <v>46255</v>
      </c>
      <c r="F573" t="inlineStr">
        <is>
          <t>VÄSTRA GÖTALANDS LÄN</t>
        </is>
      </c>
      <c r="G573" t="inlineStr">
        <is>
          <t>BORÅS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46255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46255</v>
      </c>
      <c r="F575" t="inlineStr">
        <is>
          <t>VÄSTRA GÖTALANDS LÄN</t>
        </is>
      </c>
      <c r="G575" t="inlineStr">
        <is>
          <t>BORÅS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45321</v>
      </c>
      <c r="E576" s="1" t="n">
        <v>46255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48619-2023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45208</v>
      </c>
      <c r="E577" s="1" t="n">
        <v>46255</v>
      </c>
      <c r="F577" t="inlineStr">
        <is>
          <t>VÄSTRA GÖTALANDS LÄN</t>
        </is>
      </c>
      <c r="G577" t="inlineStr">
        <is>
          <t>BORÅS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46255</v>
      </c>
      <c r="F578" t="inlineStr">
        <is>
          <t>VÄSTRA GÖTALANDS LÄN</t>
        </is>
      </c>
      <c r="G578" t="inlineStr">
        <is>
          <t>BORÅS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45762</v>
      </c>
      <c r="E579" s="1" t="n">
        <v>46255</v>
      </c>
      <c r="F579" t="inlineStr">
        <is>
          <t>VÄSTRA GÖTALANDS LÄN</t>
        </is>
      </c>
      <c r="G579" t="inlineStr">
        <is>
          <t>BORÅS</t>
        </is>
      </c>
      <c r="H579" t="inlineStr">
        <is>
          <t>Kommuner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45119</v>
      </c>
      <c r="E580" s="1" t="n">
        <v>46255</v>
      </c>
      <c r="F580" t="inlineStr">
        <is>
          <t>VÄSTRA GÖTALANDS LÄN</t>
        </is>
      </c>
      <c r="G580" t="inlineStr">
        <is>
          <t>BORÅS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45632</v>
      </c>
      <c r="E581" s="1" t="n">
        <v>46255</v>
      </c>
      <c r="F581" t="inlineStr">
        <is>
          <t>VÄSTRA GÖTALANDS LÄN</t>
        </is>
      </c>
      <c r="G581" t="inlineStr">
        <is>
          <t>BORÅS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46252</v>
      </c>
      <c r="E582" s="1" t="n">
        <v>46255</v>
      </c>
      <c r="F582" t="inlineStr">
        <is>
          <t>VÄSTRA GÖTALANDS LÄN</t>
        </is>
      </c>
      <c r="G582" t="inlineStr">
        <is>
          <t>BORÅS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46255</v>
      </c>
      <c r="F583" t="inlineStr">
        <is>
          <t>VÄSTRA GÖTALANDS LÄN</t>
        </is>
      </c>
      <c r="G583" t="inlineStr">
        <is>
          <t>BORÅS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34384-2026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46255</v>
      </c>
      <c r="F584" t="inlineStr">
        <is>
          <t>VÄSTRA GÖTALANDS LÄN</t>
        </is>
      </c>
      <c r="G584" t="inlineStr">
        <is>
          <t>BORÅS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45776</v>
      </c>
      <c r="E585" s="1" t="n">
        <v>46255</v>
      </c>
      <c r="F585" t="inlineStr">
        <is>
          <t>VÄSTRA GÖTALANDS LÄN</t>
        </is>
      </c>
      <c r="G585" t="inlineStr">
        <is>
          <t>BORÅS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46253</v>
      </c>
      <c r="E586" s="1" t="n">
        <v>46255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21388-2025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46255</v>
      </c>
      <c r="F587" t="inlineStr">
        <is>
          <t>VÄSTRA GÖTALANDS LÄN</t>
        </is>
      </c>
      <c r="G587" t="inlineStr">
        <is>
          <t>BORÅS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27752-2024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45475</v>
      </c>
      <c r="E588" s="1" t="n">
        <v>46255</v>
      </c>
      <c r="F588" t="inlineStr">
        <is>
          <t>VÄSTRA GÖTALANDS LÄN</t>
        </is>
      </c>
      <c r="G588" t="inlineStr">
        <is>
          <t>BORÅS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45587</v>
      </c>
      <c r="E589" s="1" t="n">
        <v>46255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46255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21673-2025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45783</v>
      </c>
      <c r="E591" s="1" t="n">
        <v>46255</v>
      </c>
      <c r="F591" t="inlineStr">
        <is>
          <t>VÄSTRA GÖTALANDS LÄN</t>
        </is>
      </c>
      <c r="G591" t="inlineStr">
        <is>
          <t>BORÅS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46255</v>
      </c>
      <c r="F592" t="inlineStr">
        <is>
          <t>VÄSTRA GÖTALANDS LÄN</t>
        </is>
      </c>
      <c r="G592" t="inlineStr">
        <is>
          <t>BORÅS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46255</v>
      </c>
      <c r="F593" t="inlineStr">
        <is>
          <t>VÄSTRA GÖTALANDS LÄN</t>
        </is>
      </c>
      <c r="G593" t="inlineStr">
        <is>
          <t>BORÅS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49584-2024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45596</v>
      </c>
      <c r="E594" s="1" t="n">
        <v>46255</v>
      </c>
      <c r="F594" t="inlineStr">
        <is>
          <t>VÄSTRA GÖTALANDS LÄN</t>
        </is>
      </c>
      <c r="G594" t="inlineStr">
        <is>
          <t>BORÅS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45721</v>
      </c>
      <c r="E595" s="1" t="n">
        <v>46255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45209</v>
      </c>
      <c r="E596" s="1" t="n">
        <v>46255</v>
      </c>
      <c r="F596" t="inlineStr">
        <is>
          <t>VÄSTRA GÖTALANDS LÄN</t>
        </is>
      </c>
      <c r="G596" t="inlineStr">
        <is>
          <t>BORÅS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22734-2025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45789</v>
      </c>
      <c r="E597" s="1" t="n">
        <v>46255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45789</v>
      </c>
      <c r="E598" s="1" t="n">
        <v>46255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23504-2025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45792</v>
      </c>
      <c r="E599" s="1" t="n">
        <v>46255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11445-2025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46255</v>
      </c>
      <c r="F600" t="inlineStr">
        <is>
          <t>VÄSTRA GÖTALANDS LÄN</t>
        </is>
      </c>
      <c r="G600" t="inlineStr">
        <is>
          <t>BORÅS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45142</v>
      </c>
      <c r="E601" s="1" t="n">
        <v>46255</v>
      </c>
      <c r="F601" t="inlineStr">
        <is>
          <t>VÄSTRA GÖTALANDS LÄN</t>
        </is>
      </c>
      <c r="G601" t="inlineStr">
        <is>
          <t>BORÅS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46255</v>
      </c>
      <c r="F602" t="inlineStr">
        <is>
          <t>VÄSTRA GÖTALANDS LÄN</t>
        </is>
      </c>
      <c r="G602" t="inlineStr">
        <is>
          <t>BORÅS</t>
        </is>
      </c>
      <c r="H602" t="inlineStr">
        <is>
          <t>Kommuner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25338-2025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45800</v>
      </c>
      <c r="E603" s="1" t="n">
        <v>46255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46255</v>
      </c>
      <c r="F604" t="inlineStr">
        <is>
          <t>VÄSTRA GÖTALANDS LÄN</t>
        </is>
      </c>
      <c r="G604" t="inlineStr">
        <is>
          <t>BORÅS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45803</v>
      </c>
      <c r="E605" s="1" t="n">
        <v>46255</v>
      </c>
      <c r="F605" t="inlineStr">
        <is>
          <t>VÄSTRA GÖTALANDS LÄN</t>
        </is>
      </c>
      <c r="G605" t="inlineStr">
        <is>
          <t>BORÅS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45803</v>
      </c>
      <c r="E606" s="1" t="n">
        <v>46255</v>
      </c>
      <c r="F606" t="inlineStr">
        <is>
          <t>VÄSTRA GÖTALANDS LÄN</t>
        </is>
      </c>
      <c r="G606" t="inlineStr">
        <is>
          <t>BORÅS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63437-2023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45274</v>
      </c>
      <c r="E607" s="1" t="n">
        <v>46255</v>
      </c>
      <c r="F607" t="inlineStr">
        <is>
          <t>VÄSTRA GÖTALANDS LÄN</t>
        </is>
      </c>
      <c r="G607" t="inlineStr">
        <is>
          <t>BORÅS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46255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27274-2025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45812</v>
      </c>
      <c r="E609" s="1" t="n">
        <v>46255</v>
      </c>
      <c r="F609" t="inlineStr">
        <is>
          <t>VÄSTRA GÖTALANDS LÄN</t>
        </is>
      </c>
      <c r="G609" t="inlineStr">
        <is>
          <t>BORÅS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14777-2022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44656</v>
      </c>
      <c r="E610" s="1" t="n">
        <v>46255</v>
      </c>
      <c r="F610" t="inlineStr">
        <is>
          <t>VÄSTRA GÖTALANDS LÄN</t>
        </is>
      </c>
      <c r="G610" t="inlineStr">
        <is>
          <t>BORÅS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27370-2025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45812</v>
      </c>
      <c r="E611" s="1" t="n">
        <v>46255</v>
      </c>
      <c r="F611" t="inlineStr">
        <is>
          <t>VÄSTRA GÖTALANDS LÄN</t>
        </is>
      </c>
      <c r="G611" t="inlineStr">
        <is>
          <t>BORÅS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27356-2025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46255</v>
      </c>
      <c r="F612" t="inlineStr">
        <is>
          <t>VÄSTRA GÖTALANDS LÄN</t>
        </is>
      </c>
      <c r="G612" t="inlineStr">
        <is>
          <t>BORÅS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45817</v>
      </c>
      <c r="E613" s="1" t="n">
        <v>46255</v>
      </c>
      <c r="F613" t="inlineStr">
        <is>
          <t>VÄSTRA GÖTALANDS LÄN</t>
        </is>
      </c>
      <c r="G613" t="inlineStr">
        <is>
          <t>BORÅS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28037-2025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46255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46420-2024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45582</v>
      </c>
      <c r="E615" s="1" t="n">
        <v>46255</v>
      </c>
      <c r="F615" t="inlineStr">
        <is>
          <t>VÄSTRA GÖTALANDS LÄN</t>
        </is>
      </c>
      <c r="G615" t="inlineStr">
        <is>
          <t>BORÅS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13436-2025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45735</v>
      </c>
      <c r="E616" s="1" t="n">
        <v>46255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46255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46255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46255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46255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7249-2021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44467</v>
      </c>
      <c r="E621" s="1" t="n">
        <v>46255</v>
      </c>
      <c r="F621" t="inlineStr">
        <is>
          <t>VÄSTRA GÖTALANDS LÄN</t>
        </is>
      </c>
      <c r="G621" t="inlineStr">
        <is>
          <t>BORÅS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2978-2023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45174</v>
      </c>
      <c r="E622" s="1" t="n">
        <v>46255</v>
      </c>
      <c r="F622" t="inlineStr">
        <is>
          <t>VÄSTRA GÖTALANDS LÄN</t>
        </is>
      </c>
      <c r="G622" t="inlineStr">
        <is>
          <t>BORÅS</t>
        </is>
      </c>
      <c r="I622" t="n">
        <v>65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4414-2022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44785</v>
      </c>
      <c r="E623" s="1" t="n">
        <v>46255</v>
      </c>
      <c r="F623" t="inlineStr">
        <is>
          <t>VÄSTRA GÖTALANDS LÄN</t>
        </is>
      </c>
      <c r="G623" t="inlineStr">
        <is>
          <t>BORÅS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1019-2023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45008</v>
      </c>
      <c r="E624" s="1" t="n">
        <v>46255</v>
      </c>
      <c r="F624" t="inlineStr">
        <is>
          <t>VÄSTRA GÖTALANDS LÄN</t>
        </is>
      </c>
      <c r="G624" t="inlineStr">
        <is>
          <t>BORÅS</t>
        </is>
      </c>
      <c r="I624" t="n">
        <v>18.4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7239-2021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44466</v>
      </c>
      <c r="E625" s="1" t="n">
        <v>46255</v>
      </c>
      <c r="F625" t="inlineStr">
        <is>
          <t>VÄSTRA GÖTALANDS LÄN</t>
        </is>
      </c>
      <c r="G625" t="inlineStr">
        <is>
          <t>BORÅS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46255</v>
      </c>
      <c r="F626" t="inlineStr">
        <is>
          <t>VÄSTRA GÖTALANDS LÄN</t>
        </is>
      </c>
      <c r="G626" t="inlineStr">
        <is>
          <t>BORÅS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6156-2022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44865</v>
      </c>
      <c r="E627" s="1" t="n">
        <v>46255</v>
      </c>
      <c r="F627" t="inlineStr">
        <is>
          <t>VÄSTRA GÖTALANDS LÄN</t>
        </is>
      </c>
      <c r="G627" t="inlineStr">
        <is>
          <t>BORÅS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4259-2023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45257</v>
      </c>
      <c r="E628" s="1" t="n">
        <v>46255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2970-2023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46255</v>
      </c>
      <c r="F629" t="inlineStr">
        <is>
          <t>VÄSTRA GÖTALANDS LÄN</t>
        </is>
      </c>
      <c r="G629" t="inlineStr">
        <is>
          <t>BORÅS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46255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46255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46255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46255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46255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46255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46255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46255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46255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46255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46255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46255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46255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46255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46255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2026-08-21T01:49:25Z</dcterms:created>
  <dcterms:modified xmlns:dcterms="http://purl.org/dc/terms/" xmlns:xsi="http://www.w3.org/2001/XMLSchema-instance" xsi:type="dcterms:W3CDTF">2026-08-21T01:49:26Z</dcterms:modified>
</cp:coreProperties>
</file>