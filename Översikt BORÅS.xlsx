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46131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46131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46131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46131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46131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46131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46131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46131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46131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46131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46131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46131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46131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46131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46131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64578-2023</t>
        </is>
      </c>
      <c r="B20" s="1" t="n">
        <v>45281</v>
      </c>
      <c r="C20" s="1" t="n">
        <v>46131</v>
      </c>
      <c r="D20" t="inlineStr">
        <is>
          <t>VÄSTRA GÖTALANDS LÄN</t>
        </is>
      </c>
      <c r="E20" t="inlineStr">
        <is>
          <t>BORÅS</t>
        </is>
      </c>
      <c r="G20" t="n">
        <v>3.9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Skuggmossa
Blåsippa</t>
        </is>
      </c>
      <c r="S20">
        <f>HYPERLINK("https://klasma.github.io/Logging_1490/artfynd/A 64578-2023 artfynd.xlsx", "A 64578-2023")</f>
        <v/>
      </c>
      <c r="T20">
        <f>HYPERLINK("https://klasma.github.io/Logging_1490/kartor/A 64578-2023 karta.png", "A 64578-2023")</f>
        <v/>
      </c>
      <c r="V20">
        <f>HYPERLINK("https://klasma.github.io/Logging_1490/klagomål/A 64578-2023 FSC-klagomål.docx", "A 64578-2023")</f>
        <v/>
      </c>
      <c r="W20">
        <f>HYPERLINK("https://klasma.github.io/Logging_1490/klagomålsmail/A 64578-2023 FSC-klagomål mail.docx", "A 64578-2023")</f>
        <v/>
      </c>
      <c r="X20">
        <f>HYPERLINK("https://klasma.github.io/Logging_1490/tillsyn/A 64578-2023 tillsynsbegäran.docx", "A 64578-2023")</f>
        <v/>
      </c>
      <c r="Y20">
        <f>HYPERLINK("https://klasma.github.io/Logging_1490/tillsynsmail/A 64578-2023 tillsynsbegäran mail.docx", "A 64578-2023")</f>
        <v/>
      </c>
    </row>
    <row r="21" ht="15" customHeight="1">
      <c r="A21" t="inlineStr">
        <is>
          <t>A 47911-2023</t>
        </is>
      </c>
      <c r="B21" s="1" t="n">
        <v>45204.51549768518</v>
      </c>
      <c r="C21" s="1" t="n">
        <v>46131</v>
      </c>
      <c r="D21" t="inlineStr">
        <is>
          <t>VÄSTRA GÖTALANDS LÄN</t>
        </is>
      </c>
      <c r="E21" t="inlineStr">
        <is>
          <t>BORÅS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Vågbandad barkbock</t>
        </is>
      </c>
      <c r="S21">
        <f>HYPERLINK("https://klasma.github.io/Logging_1490/artfynd/A 47911-2023 artfynd.xlsx", "A 47911-2023")</f>
        <v/>
      </c>
      <c r="T21">
        <f>HYPERLINK("https://klasma.github.io/Logging_1490/kartor/A 47911-2023 karta.png", "A 47911-2023")</f>
        <v/>
      </c>
      <c r="V21">
        <f>HYPERLINK("https://klasma.github.io/Logging_1490/klagomål/A 47911-2023 FSC-klagomål.docx", "A 47911-2023")</f>
        <v/>
      </c>
      <c r="W21">
        <f>HYPERLINK("https://klasma.github.io/Logging_1490/klagomålsmail/A 47911-2023 FSC-klagomål mail.docx", "A 47911-2023")</f>
        <v/>
      </c>
      <c r="X21">
        <f>HYPERLINK("https://klasma.github.io/Logging_1490/tillsyn/A 47911-2023 tillsynsbegäran.docx", "A 47911-2023")</f>
        <v/>
      </c>
      <c r="Y21">
        <f>HYPERLINK("https://klasma.github.io/Logging_1490/tillsynsmail/A 47911-2023 tillsynsbegäran mail.docx", "A 47911-2023")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46131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46131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46131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46131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46131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46131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46131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46131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46131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46131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32027-2023</t>
        </is>
      </c>
      <c r="B32" s="1" t="n">
        <v>45119.51900462963</v>
      </c>
      <c r="C32" s="1" t="n">
        <v>46131</v>
      </c>
      <c r="D32" t="inlineStr">
        <is>
          <t>VÄSTRA GÖTALANDS LÄN</t>
        </is>
      </c>
      <c r="E32" t="inlineStr">
        <is>
          <t>BORÅS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HYPERLINK("https://klasma.github.io/Logging_1490/artfynd/A 32027-2023 artfynd.xlsx", "A 32027-2023")</f>
        <v/>
      </c>
      <c r="T32">
        <f>HYPERLINK("https://klasma.github.io/Logging_1490/kartor/A 32027-2023 karta.png", "A 32027-2023")</f>
        <v/>
      </c>
      <c r="V32">
        <f>HYPERLINK("https://klasma.github.io/Logging_1490/klagomål/A 32027-2023 FSC-klagomål.docx", "A 32027-2023")</f>
        <v/>
      </c>
      <c r="W32">
        <f>HYPERLINK("https://klasma.github.io/Logging_1490/klagomålsmail/A 32027-2023 FSC-klagomål mail.docx", "A 32027-2023")</f>
        <v/>
      </c>
      <c r="X32">
        <f>HYPERLINK("https://klasma.github.io/Logging_1490/tillsyn/A 32027-2023 tillsynsbegäran.docx", "A 32027-2023")</f>
        <v/>
      </c>
      <c r="Y32">
        <f>HYPERLINK("https://klasma.github.io/Logging_1490/tillsynsmail/A 32027-2023 tillsynsbegäran mail.docx", "A 32027-2023")</f>
        <v/>
      </c>
    </row>
    <row r="33" ht="15" customHeight="1">
      <c r="A33" t="inlineStr">
        <is>
          <t>A 7234-2025</t>
        </is>
      </c>
      <c r="B33" s="1" t="n">
        <v>45702.51854166666</v>
      </c>
      <c r="C33" s="1" t="n">
        <v>46131</v>
      </c>
      <c r="D33" t="inlineStr">
        <is>
          <t>VÄSTRA GÖTALANDS LÄN</t>
        </is>
      </c>
      <c r="E33" t="inlineStr">
        <is>
          <t>BORÅS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HYPERLINK("https://klasma.github.io/Logging_1490/artfynd/A 7234-2025 artfynd.xlsx", "A 7234-2025")</f>
        <v/>
      </c>
      <c r="T33">
        <f>HYPERLINK("https://klasma.github.io/Logging_1490/kartor/A 7234-2025 karta.png", "A 7234-2025")</f>
        <v/>
      </c>
      <c r="V33">
        <f>HYPERLINK("https://klasma.github.io/Logging_1490/klagomål/A 7234-2025 FSC-klagomål.docx", "A 7234-2025")</f>
        <v/>
      </c>
      <c r="W33">
        <f>HYPERLINK("https://klasma.github.io/Logging_1490/klagomålsmail/A 7234-2025 FSC-klagomål mail.docx", "A 7234-2025")</f>
        <v/>
      </c>
      <c r="X33">
        <f>HYPERLINK("https://klasma.github.io/Logging_1490/tillsyn/A 7234-2025 tillsynsbegäran.docx", "A 7234-2025")</f>
        <v/>
      </c>
      <c r="Y33">
        <f>HYPERLINK("https://klasma.github.io/Logging_1490/tillsynsmail/A 7234-2025 tillsynsbegäran mail.docx", "A 7234-2025")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46131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46131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46131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14220-2024</t>
        </is>
      </c>
      <c r="B37" s="1" t="n">
        <v>45393.45601851852</v>
      </c>
      <c r="C37" s="1" t="n">
        <v>46131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14220-2024 artfynd.xlsx", "A 14220-2024")</f>
        <v/>
      </c>
      <c r="T37">
        <f>HYPERLINK("https://klasma.github.io/Logging_1490/kartor/A 14220-2024 karta.png", "A 14220-2024")</f>
        <v/>
      </c>
      <c r="V37">
        <f>HYPERLINK("https://klasma.github.io/Logging_1490/klagomål/A 14220-2024 FSC-klagomål.docx", "A 14220-2024")</f>
        <v/>
      </c>
      <c r="W37">
        <f>HYPERLINK("https://klasma.github.io/Logging_1490/klagomålsmail/A 14220-2024 FSC-klagomål mail.docx", "A 14220-2024")</f>
        <v/>
      </c>
      <c r="X37">
        <f>HYPERLINK("https://klasma.github.io/Logging_1490/tillsyn/A 14220-2024 tillsynsbegäran.docx", "A 14220-2024")</f>
        <v/>
      </c>
      <c r="Y37">
        <f>HYPERLINK("https://klasma.github.io/Logging_1490/tillsynsmail/A 14220-2024 tillsynsbegäran mail.docx", "A 14220-2024")</f>
        <v/>
      </c>
    </row>
    <row r="38" ht="15" customHeight="1">
      <c r="A38" t="inlineStr">
        <is>
          <t>A 12385-2024</t>
        </is>
      </c>
      <c r="B38" s="1" t="n">
        <v>45379.3350462963</v>
      </c>
      <c r="C38" s="1" t="n">
        <v>46131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12385-2024 artfynd.xlsx", "A 12385-2024")</f>
        <v/>
      </c>
      <c r="T38">
        <f>HYPERLINK("https://klasma.github.io/Logging_1490/kartor/A 12385-2024 karta.png", "A 12385-2024")</f>
        <v/>
      </c>
      <c r="V38">
        <f>HYPERLINK("https://klasma.github.io/Logging_1490/klagomål/A 12385-2024 FSC-klagomål.docx", "A 12385-2024")</f>
        <v/>
      </c>
      <c r="W38">
        <f>HYPERLINK("https://klasma.github.io/Logging_1490/klagomålsmail/A 12385-2024 FSC-klagomål mail.docx", "A 12385-2024")</f>
        <v/>
      </c>
      <c r="X38">
        <f>HYPERLINK("https://klasma.github.io/Logging_1490/tillsyn/A 12385-2024 tillsynsbegäran.docx", "A 12385-2024")</f>
        <v/>
      </c>
      <c r="Y38">
        <f>HYPERLINK("https://klasma.github.io/Logging_1490/tillsynsmail/A 12385-2024 tillsynsbegäran mail.docx", "A 12385-2024")</f>
        <v/>
      </c>
      <c r="Z38">
        <f>HYPERLINK("https://klasma.github.io/Logging_1490/fåglar/A 12385-2024 prioriterade fågelarter.docx", "A 12385-2024")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46131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60816-2023</t>
        </is>
      </c>
      <c r="B40" s="1" t="n">
        <v>45260</v>
      </c>
      <c r="C40" s="1" t="n">
        <v>46131</v>
      </c>
      <c r="D40" t="inlineStr">
        <is>
          <t>VÄSTRA GÖTALANDS LÄN</t>
        </is>
      </c>
      <c r="E40" t="inlineStr">
        <is>
          <t>BORÅS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HYPERLINK("https://klasma.github.io/Logging_1490/artfynd/A 60816-2023 artfynd.xlsx", "A 60816-2023")</f>
        <v/>
      </c>
      <c r="T40">
        <f>HYPERLINK("https://klasma.github.io/Logging_1490/kartor/A 60816-2023 karta.png", "A 60816-2023")</f>
        <v/>
      </c>
      <c r="V40">
        <f>HYPERLINK("https://klasma.github.io/Logging_1490/klagomål/A 60816-2023 FSC-klagomål.docx", "A 60816-2023")</f>
        <v/>
      </c>
      <c r="W40">
        <f>HYPERLINK("https://klasma.github.io/Logging_1490/klagomålsmail/A 60816-2023 FSC-klagomål mail.docx", "A 60816-2023")</f>
        <v/>
      </c>
      <c r="X40">
        <f>HYPERLINK("https://klasma.github.io/Logging_1490/tillsyn/A 60816-2023 tillsynsbegäran.docx", "A 60816-2023")</f>
        <v/>
      </c>
      <c r="Y40">
        <f>HYPERLINK("https://klasma.github.io/Logging_1490/tillsynsmail/A 60816-2023 tillsynsbegäran mail.docx", "A 60816-2023")</f>
        <v/>
      </c>
    </row>
    <row r="41" ht="15" customHeight="1">
      <c r="A41" t="inlineStr">
        <is>
          <t>A 31980-2024</t>
        </is>
      </c>
      <c r="B41" s="1" t="n">
        <v>45510.56855324074</v>
      </c>
      <c r="C41" s="1" t="n">
        <v>46131</v>
      </c>
      <c r="D41" t="inlineStr">
        <is>
          <t>VÄSTRA GÖTALANDS LÄN</t>
        </is>
      </c>
      <c r="E41" t="inlineStr">
        <is>
          <t>BORÅS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HYPERLINK("https://klasma.github.io/Logging_1490/artfynd/A 31980-2024 artfynd.xlsx", "A 31980-2024")</f>
        <v/>
      </c>
      <c r="T41">
        <f>HYPERLINK("https://klasma.github.io/Logging_1490/kartor/A 31980-2024 karta.png", "A 31980-2024")</f>
        <v/>
      </c>
      <c r="V41">
        <f>HYPERLINK("https://klasma.github.io/Logging_1490/klagomål/A 31980-2024 FSC-klagomål.docx", "A 31980-2024")</f>
        <v/>
      </c>
      <c r="W41">
        <f>HYPERLINK("https://klasma.github.io/Logging_1490/klagomålsmail/A 31980-2024 FSC-klagomål mail.docx", "A 31980-2024")</f>
        <v/>
      </c>
      <c r="X41">
        <f>HYPERLINK("https://klasma.github.io/Logging_1490/tillsyn/A 31980-2024 tillsynsbegäran.docx", "A 31980-2024")</f>
        <v/>
      </c>
      <c r="Y41">
        <f>HYPERLINK("https://klasma.github.io/Logging_1490/tillsynsmail/A 31980-2024 tillsynsbegäran mail.docx", "A 31980-2024")</f>
        <v/>
      </c>
    </row>
    <row r="42" ht="15" customHeight="1">
      <c r="A42" t="inlineStr">
        <is>
          <t>A 4358-2025</t>
        </is>
      </c>
      <c r="B42" s="1" t="n">
        <v>45686.32912037037</v>
      </c>
      <c r="C42" s="1" t="n">
        <v>46131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57442-2024</t>
        </is>
      </c>
      <c r="B43" s="1" t="n">
        <v>45629.88878472222</v>
      </c>
      <c r="C43" s="1" t="n">
        <v>46131</v>
      </c>
      <c r="D43" t="inlineStr">
        <is>
          <t>VÄSTRA GÖTALANDS LÄN</t>
        </is>
      </c>
      <c r="E43" t="inlineStr">
        <is>
          <t>BORÅS</t>
        </is>
      </c>
      <c r="G43" t="n">
        <v>1.7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57442-2024 artfynd.xlsx", "A 57442-2024")</f>
        <v/>
      </c>
      <c r="T43">
        <f>HYPERLINK("https://klasma.github.io/Logging_1490/kartor/A 57442-2024 karta.png", "A 57442-2024")</f>
        <v/>
      </c>
      <c r="V43">
        <f>HYPERLINK("https://klasma.github.io/Logging_1490/klagomål/A 57442-2024 FSC-klagomål.docx", "A 57442-2024")</f>
        <v/>
      </c>
      <c r="W43">
        <f>HYPERLINK("https://klasma.github.io/Logging_1490/klagomålsmail/A 57442-2024 FSC-klagomål mail.docx", "A 57442-2024")</f>
        <v/>
      </c>
      <c r="X43">
        <f>HYPERLINK("https://klasma.github.io/Logging_1490/tillsyn/A 57442-2024 tillsynsbegäran.docx", "A 57442-2024")</f>
        <v/>
      </c>
      <c r="Y43">
        <f>HYPERLINK("https://klasma.github.io/Logging_1490/tillsynsmail/A 57442-2024 tillsynsbegäran mail.docx", "A 57442-2024")</f>
        <v/>
      </c>
      <c r="Z43">
        <f>HYPERLINK("https://klasma.github.io/Logging_1490/fåglar/A 57442-2024 prioriterade fågelarter.docx", "A 57442-2024")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46131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46131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46131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46131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46131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46131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46131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46131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46131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46131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46131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46131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46131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46131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46131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46131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46131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46131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46131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46131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46131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46131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46131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46131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46131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46131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46131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46131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46131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46131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46131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46131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46131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46131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46131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46131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46131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46131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46131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46131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46131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46131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46131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46131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46131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46131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46131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46131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46131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46131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46131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46131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46131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46131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46131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46131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46131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46131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46131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46131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46131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46131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46131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46131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46131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46131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46131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46131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46131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46131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20869-2021</t>
        </is>
      </c>
      <c r="B114" s="1" t="n">
        <v>44319</v>
      </c>
      <c r="C114" s="1" t="n">
        <v>46131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36934-2021</t>
        </is>
      </c>
      <c r="B115" s="1" t="n">
        <v>44393</v>
      </c>
      <c r="C115" s="1" t="n">
        <v>46131</v>
      </c>
      <c r="D115" t="inlineStr">
        <is>
          <t>VÄSTRA GÖTALANDS LÄN</t>
        </is>
      </c>
      <c r="E115" t="inlineStr">
        <is>
          <t>BORÅS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46131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54275-2022</t>
        </is>
      </c>
      <c r="B117" s="1" t="n">
        <v>44882.34469907408</v>
      </c>
      <c r="C117" s="1" t="n">
        <v>46131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68634-2021</t>
        </is>
      </c>
      <c r="B118" s="1" t="n">
        <v>44529.59217592593</v>
      </c>
      <c r="C118" s="1" t="n">
        <v>46131</v>
      </c>
      <c r="D118" t="inlineStr">
        <is>
          <t>VÄSTRA GÖTALANDS LÄN</t>
        </is>
      </c>
      <c r="E118" t="inlineStr">
        <is>
          <t>BORÅS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46131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23648-2021</t>
        </is>
      </c>
      <c r="B120" s="1" t="n">
        <v>44334</v>
      </c>
      <c r="C120" s="1" t="n">
        <v>46131</v>
      </c>
      <c r="D120" t="inlineStr">
        <is>
          <t>VÄSTRA GÖTALANDS LÄN</t>
        </is>
      </c>
      <c r="E120" t="inlineStr">
        <is>
          <t>BORÅS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46131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46131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24397-2022</t>
        </is>
      </c>
      <c r="B123" s="1" t="n">
        <v>44726</v>
      </c>
      <c r="C123" s="1" t="n">
        <v>46131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17025-2024</t>
        </is>
      </c>
      <c r="B124" s="1" t="n">
        <v>45412.38614583333</v>
      </c>
      <c r="C124" s="1" t="n">
        <v>46131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19482-2023</t>
        </is>
      </c>
      <c r="B125" s="1" t="n">
        <v>45050.44099537037</v>
      </c>
      <c r="C125" s="1" t="n">
        <v>46131</v>
      </c>
      <c r="D125" t="inlineStr">
        <is>
          <t>VÄSTRA GÖTALANDS LÄN</t>
        </is>
      </c>
      <c r="E125" t="inlineStr">
        <is>
          <t>BORÅS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45459-2023</t>
        </is>
      </c>
      <c r="B126" s="1" t="n">
        <v>45194</v>
      </c>
      <c r="C126" s="1" t="n">
        <v>46131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16177-2024</t>
        </is>
      </c>
      <c r="B127" s="1" t="n">
        <v>45406.64324074074</v>
      </c>
      <c r="C127" s="1" t="n">
        <v>46131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53533-2022</t>
        </is>
      </c>
      <c r="B128" s="1" t="n">
        <v>44879</v>
      </c>
      <c r="C128" s="1" t="n">
        <v>46131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21388-2025</t>
        </is>
      </c>
      <c r="B129" s="1" t="n">
        <v>45782.47429398148</v>
      </c>
      <c r="C129" s="1" t="n">
        <v>46131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53976-2023</t>
        </is>
      </c>
      <c r="B130" s="1" t="n">
        <v>45231.64703703704</v>
      </c>
      <c r="C130" s="1" t="n">
        <v>46131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27752-2024</t>
        </is>
      </c>
      <c r="B131" s="1" t="n">
        <v>45475.4787037037</v>
      </c>
      <c r="C131" s="1" t="n">
        <v>46131</v>
      </c>
      <c r="D131" t="inlineStr">
        <is>
          <t>VÄSTRA GÖTALANDS LÄN</t>
        </is>
      </c>
      <c r="E131" t="inlineStr">
        <is>
          <t>BORÅS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47358-2024</t>
        </is>
      </c>
      <c r="B132" s="1" t="n">
        <v>45587.43356481481</v>
      </c>
      <c r="C132" s="1" t="n">
        <v>46131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51092-2025</t>
        </is>
      </c>
      <c r="B133" s="1" t="n">
        <v>45947.47458333334</v>
      </c>
      <c r="C133" s="1" t="n">
        <v>46131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51196-2025</t>
        </is>
      </c>
      <c r="B134" s="1" t="n">
        <v>45947.63052083334</v>
      </c>
      <c r="C134" s="1" t="n">
        <v>46131</v>
      </c>
      <c r="D134" t="inlineStr">
        <is>
          <t>VÄSTRA GÖTALANDS LÄN</t>
        </is>
      </c>
      <c r="E134" t="inlineStr">
        <is>
          <t>BORÅS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51199-2025</t>
        </is>
      </c>
      <c r="B135" s="1" t="n">
        <v>45947.63421296296</v>
      </c>
      <c r="C135" s="1" t="n">
        <v>46131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21903-2025</t>
        </is>
      </c>
      <c r="B136" s="1" t="n">
        <v>45784</v>
      </c>
      <c r="C136" s="1" t="n">
        <v>46131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21673-2025</t>
        </is>
      </c>
      <c r="B137" s="1" t="n">
        <v>45783.47327546297</v>
      </c>
      <c r="C137" s="1" t="n">
        <v>46131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46131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52073-2025</t>
        </is>
      </c>
      <c r="B139" s="1" t="n">
        <v>45952.64878472222</v>
      </c>
      <c r="C139" s="1" t="n">
        <v>46131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21671-2025</t>
        </is>
      </c>
      <c r="B140" s="1" t="n">
        <v>45783.47040509259</v>
      </c>
      <c r="C140" s="1" t="n">
        <v>46131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22237-2025</t>
        </is>
      </c>
      <c r="B141" s="1" t="n">
        <v>45785.67664351852</v>
      </c>
      <c r="C141" s="1" t="n">
        <v>46131</v>
      </c>
      <c r="D141" t="inlineStr">
        <is>
          <t>VÄSTRA GÖTALANDS LÄN</t>
        </is>
      </c>
      <c r="E141" t="inlineStr">
        <is>
          <t>BORÅS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49584-2024</t>
        </is>
      </c>
      <c r="B142" s="1" t="n">
        <v>45596.54247685185</v>
      </c>
      <c r="C142" s="1" t="n">
        <v>46131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49112-2023</t>
        </is>
      </c>
      <c r="B143" s="1" t="n">
        <v>45210.44561342592</v>
      </c>
      <c r="C143" s="1" t="n">
        <v>46131</v>
      </c>
      <c r="D143" t="inlineStr">
        <is>
          <t>VÄSTRA GÖTALANDS LÄN</t>
        </is>
      </c>
      <c r="E143" t="inlineStr">
        <is>
          <t>BORÅS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17111-2025</t>
        </is>
      </c>
      <c r="B144" s="1" t="n">
        <v>45755</v>
      </c>
      <c r="C144" s="1" t="n">
        <v>46131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10681-2025</t>
        </is>
      </c>
      <c r="B145" s="1" t="n">
        <v>45721.90905092593</v>
      </c>
      <c r="C145" s="1" t="n">
        <v>46131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49004-2023</t>
        </is>
      </c>
      <c r="B146" s="1" t="n">
        <v>45209.67533564815</v>
      </c>
      <c r="C146" s="1" t="n">
        <v>46131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52083-2025</t>
        </is>
      </c>
      <c r="B147" s="1" t="n">
        <v>45952.66685185185</v>
      </c>
      <c r="C147" s="1" t="n">
        <v>46131</v>
      </c>
      <c r="D147" t="inlineStr">
        <is>
          <t>VÄSTRA GÖTALANDS LÄN</t>
        </is>
      </c>
      <c r="E147" t="inlineStr">
        <is>
          <t>BORÅS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61609-2022</t>
        </is>
      </c>
      <c r="B148" s="1" t="n">
        <v>44916</v>
      </c>
      <c r="C148" s="1" t="n">
        <v>46131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4932-2023</t>
        </is>
      </c>
      <c r="B149" s="1" t="n">
        <v>44958</v>
      </c>
      <c r="C149" s="1" t="n">
        <v>46131</v>
      </c>
      <c r="D149" t="inlineStr">
        <is>
          <t>VÄSTRA GÖTALANDS LÄN</t>
        </is>
      </c>
      <c r="E149" t="inlineStr">
        <is>
          <t>BORÅS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36975-2024</t>
        </is>
      </c>
      <c r="B150" s="1" t="n">
        <v>45538.9009375</v>
      </c>
      <c r="C150" s="1" t="n">
        <v>46131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21902-2025</t>
        </is>
      </c>
      <c r="B151" s="1" t="n">
        <v>45784.45983796296</v>
      </c>
      <c r="C151" s="1" t="n">
        <v>46131</v>
      </c>
      <c r="D151" t="inlineStr">
        <is>
          <t>VÄSTRA GÖTALANDS LÄN</t>
        </is>
      </c>
      <c r="E151" t="inlineStr">
        <is>
          <t>BORÅS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15965-2025</t>
        </is>
      </c>
      <c r="B152" s="1" t="n">
        <v>45749.54219907407</v>
      </c>
      <c r="C152" s="1" t="n">
        <v>46131</v>
      </c>
      <c r="D152" t="inlineStr">
        <is>
          <t>VÄSTRA GÖTALANDS LÄN</t>
        </is>
      </c>
      <c r="E152" t="inlineStr">
        <is>
          <t>BORÅS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38753-2025</t>
        </is>
      </c>
      <c r="B153" s="1" t="n">
        <v>45887.39331018519</v>
      </c>
      <c r="C153" s="1" t="n">
        <v>46131</v>
      </c>
      <c r="D153" t="inlineStr">
        <is>
          <t>VÄSTRA GÖTALANDS LÄN</t>
        </is>
      </c>
      <c r="E153" t="inlineStr">
        <is>
          <t>BORÅS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61448-2024</t>
        </is>
      </c>
      <c r="B154" s="1" t="n">
        <v>45646.48758101852</v>
      </c>
      <c r="C154" s="1" t="n">
        <v>46131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39060-2025</t>
        </is>
      </c>
      <c r="B155" s="1" t="n">
        <v>45888.45876157407</v>
      </c>
      <c r="C155" s="1" t="n">
        <v>46131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22734-2025</t>
        </is>
      </c>
      <c r="B156" s="1" t="n">
        <v>45789.58822916666</v>
      </c>
      <c r="C156" s="1" t="n">
        <v>46131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22736-2025</t>
        </is>
      </c>
      <c r="B157" s="1" t="n">
        <v>45789.59091435185</v>
      </c>
      <c r="C157" s="1" t="n">
        <v>46131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46538-2021</t>
        </is>
      </c>
      <c r="B158" s="1" t="n">
        <v>44445.46506944444</v>
      </c>
      <c r="C158" s="1" t="n">
        <v>46131</v>
      </c>
      <c r="D158" t="inlineStr">
        <is>
          <t>VÄSTRA GÖTALANDS LÄN</t>
        </is>
      </c>
      <c r="E158" t="inlineStr">
        <is>
          <t>BORÅS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39031-2025</t>
        </is>
      </c>
      <c r="B159" s="1" t="n">
        <v>45888.40994212963</v>
      </c>
      <c r="C159" s="1" t="n">
        <v>46131</v>
      </c>
      <c r="D159" t="inlineStr">
        <is>
          <t>VÄSTRA GÖTALANDS LÄN</t>
        </is>
      </c>
      <c r="E159" t="inlineStr">
        <is>
          <t>BORÅS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39082-2025</t>
        </is>
      </c>
      <c r="B160" s="1" t="n">
        <v>45888.4877662037</v>
      </c>
      <c r="C160" s="1" t="n">
        <v>46131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9519-2025</t>
        </is>
      </c>
      <c r="B161" s="1" t="n">
        <v>45715.56043981481</v>
      </c>
      <c r="C161" s="1" t="n">
        <v>46131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23504-2025</t>
        </is>
      </c>
      <c r="B162" s="1" t="n">
        <v>45792.48877314815</v>
      </c>
      <c r="C162" s="1" t="n">
        <v>46131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12439-2024</t>
        </is>
      </c>
      <c r="B163" s="1" t="n">
        <v>45379.44914351852</v>
      </c>
      <c r="C163" s="1" t="n">
        <v>46131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52367-2025</t>
        </is>
      </c>
      <c r="B164" s="1" t="n">
        <v>45953.85310185186</v>
      </c>
      <c r="C164" s="1" t="n">
        <v>46131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11445-2025</t>
        </is>
      </c>
      <c r="B165" s="1" t="n">
        <v>45726.63133101852</v>
      </c>
      <c r="C165" s="1" t="n">
        <v>46131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21333-2023</t>
        </is>
      </c>
      <c r="B166" s="1" t="n">
        <v>45062</v>
      </c>
      <c r="C166" s="1" t="n">
        <v>46131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39032-2025</t>
        </is>
      </c>
      <c r="B167" s="1" t="n">
        <v>45888.41420138889</v>
      </c>
      <c r="C167" s="1" t="n">
        <v>46131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34984-2023</t>
        </is>
      </c>
      <c r="B168" s="1" t="n">
        <v>45142</v>
      </c>
      <c r="C168" s="1" t="n">
        <v>46131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27561-2024</t>
        </is>
      </c>
      <c r="B169" s="1" t="n">
        <v>45474.63335648148</v>
      </c>
      <c r="C169" s="1" t="n">
        <v>46131</v>
      </c>
      <c r="D169" t="inlineStr">
        <is>
          <t>VÄSTRA GÖTALANDS LÄN</t>
        </is>
      </c>
      <c r="E169" t="inlineStr">
        <is>
          <t>BORÅS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55378-2024</t>
        </is>
      </c>
      <c r="B170" s="1" t="n">
        <v>45622.25892361111</v>
      </c>
      <c r="C170" s="1" t="n">
        <v>46131</v>
      </c>
      <c r="D170" t="inlineStr">
        <is>
          <t>VÄSTRA GÖTALANDS LÄN</t>
        </is>
      </c>
      <c r="E170" t="inlineStr">
        <is>
          <t>BORÅS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43573-2022</t>
        </is>
      </c>
      <c r="B171" s="1" t="n">
        <v>44837.45231481481</v>
      </c>
      <c r="C171" s="1" t="n">
        <v>46131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63178-2023</t>
        </is>
      </c>
      <c r="B172" s="1" t="n">
        <v>45273.5790625</v>
      </c>
      <c r="C172" s="1" t="n">
        <v>46131</v>
      </c>
      <c r="D172" t="inlineStr">
        <is>
          <t>VÄSTRA GÖTALANDS LÄN</t>
        </is>
      </c>
      <c r="E172" t="inlineStr">
        <is>
          <t>BORÅS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29317-2024</t>
        </is>
      </c>
      <c r="B173" s="1" t="n">
        <v>45483.41152777777</v>
      </c>
      <c r="C173" s="1" t="n">
        <v>46131</v>
      </c>
      <c r="D173" t="inlineStr">
        <is>
          <t>VÄSTRA GÖTALANDS LÄN</t>
        </is>
      </c>
      <c r="E173" t="inlineStr">
        <is>
          <t>BORÅS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29318-2024</t>
        </is>
      </c>
      <c r="B174" s="1" t="n">
        <v>45483.41474537037</v>
      </c>
      <c r="C174" s="1" t="n">
        <v>46131</v>
      </c>
      <c r="D174" t="inlineStr">
        <is>
          <t>VÄSTRA GÖTALANDS LÄN</t>
        </is>
      </c>
      <c r="E174" t="inlineStr">
        <is>
          <t>BORÅS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40321-2025</t>
        </is>
      </c>
      <c r="B175" s="1" t="n">
        <v>45895.44291666667</v>
      </c>
      <c r="C175" s="1" t="n">
        <v>46131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40322-2025</t>
        </is>
      </c>
      <c r="B176" s="1" t="n">
        <v>45895.44659722222</v>
      </c>
      <c r="C176" s="1" t="n">
        <v>46131</v>
      </c>
      <c r="D176" t="inlineStr">
        <is>
          <t>VÄSTRA GÖTALANDS LÄN</t>
        </is>
      </c>
      <c r="E176" t="inlineStr">
        <is>
          <t>BORÅS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33300-2021</t>
        </is>
      </c>
      <c r="B177" s="1" t="n">
        <v>44377.42493055556</v>
      </c>
      <c r="C177" s="1" t="n">
        <v>46131</v>
      </c>
      <c r="D177" t="inlineStr">
        <is>
          <t>VÄSTRA GÖTALANDS LÄN</t>
        </is>
      </c>
      <c r="E177" t="inlineStr">
        <is>
          <t>BORÅS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2092-2022</t>
        </is>
      </c>
      <c r="B178" s="1" t="n">
        <v>44577.44398148148</v>
      </c>
      <c r="C178" s="1" t="n">
        <v>46131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38421-2024</t>
        </is>
      </c>
      <c r="B179" s="1" t="n">
        <v>45546.36957175926</v>
      </c>
      <c r="C179" s="1" t="n">
        <v>46131</v>
      </c>
      <c r="D179" t="inlineStr">
        <is>
          <t>VÄSTRA GÖTALANDS LÄN</t>
        </is>
      </c>
      <c r="E179" t="inlineStr">
        <is>
          <t>BORÅS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53249-2025</t>
        </is>
      </c>
      <c r="B180" s="1" t="n">
        <v>45958</v>
      </c>
      <c r="C180" s="1" t="n">
        <v>46131</v>
      </c>
      <c r="D180" t="inlineStr">
        <is>
          <t>VÄSTRA GÖTALANDS LÄN</t>
        </is>
      </c>
      <c r="E180" t="inlineStr">
        <is>
          <t>BORÅS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41080-2025</t>
        </is>
      </c>
      <c r="B181" s="1" t="n">
        <v>45898.42802083334</v>
      </c>
      <c r="C181" s="1" t="n">
        <v>46131</v>
      </c>
      <c r="D181" t="inlineStr">
        <is>
          <t>VÄSTRA GÖTALANDS LÄN</t>
        </is>
      </c>
      <c r="E181" t="inlineStr">
        <is>
          <t>BORÅS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24631-2025</t>
        </is>
      </c>
      <c r="B182" s="1" t="n">
        <v>45798.6024537037</v>
      </c>
      <c r="C182" s="1" t="n">
        <v>46131</v>
      </c>
      <c r="D182" t="inlineStr">
        <is>
          <t>VÄSTRA GÖTALANDS LÄN</t>
        </is>
      </c>
      <c r="E182" t="inlineStr">
        <is>
          <t>BORÅS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25103-2025</t>
        </is>
      </c>
      <c r="B183" s="1" t="n">
        <v>45798</v>
      </c>
      <c r="C183" s="1" t="n">
        <v>46131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41690-2025</t>
        </is>
      </c>
      <c r="B184" s="1" t="n">
        <v>45902.40304398148</v>
      </c>
      <c r="C184" s="1" t="n">
        <v>46131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41687-2025</t>
        </is>
      </c>
      <c r="B185" s="1" t="n">
        <v>45902.39866898148</v>
      </c>
      <c r="C185" s="1" t="n">
        <v>46131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52369-2025</t>
        </is>
      </c>
      <c r="B186" s="1" t="n">
        <v>45953.87792824074</v>
      </c>
      <c r="C186" s="1" t="n">
        <v>46131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25338-2025</t>
        </is>
      </c>
      <c r="B187" s="1" t="n">
        <v>45800.59861111111</v>
      </c>
      <c r="C187" s="1" t="n">
        <v>46131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6161-2023</t>
        </is>
      </c>
      <c r="B188" s="1" t="n">
        <v>44964</v>
      </c>
      <c r="C188" s="1" t="n">
        <v>46131</v>
      </c>
      <c r="D188" t="inlineStr">
        <is>
          <t>VÄSTRA GÖTALANDS LÄN</t>
        </is>
      </c>
      <c r="E188" t="inlineStr">
        <is>
          <t>BORÅS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57886-2022</t>
        </is>
      </c>
      <c r="B189" s="1" t="n">
        <v>44900</v>
      </c>
      <c r="C189" s="1" t="n">
        <v>46131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48886-2022</t>
        </is>
      </c>
      <c r="B190" s="1" t="n">
        <v>44859</v>
      </c>
      <c r="C190" s="1" t="n">
        <v>46131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25451-2025</t>
        </is>
      </c>
      <c r="B191" s="1" t="n">
        <v>45801.81144675926</v>
      </c>
      <c r="C191" s="1" t="n">
        <v>46131</v>
      </c>
      <c r="D191" t="inlineStr">
        <is>
          <t>VÄSTRA GÖTALANDS LÄN</t>
        </is>
      </c>
      <c r="E191" t="inlineStr">
        <is>
          <t>BORÅS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25667-2025</t>
        </is>
      </c>
      <c r="B192" s="1" t="n">
        <v>45803.62251157407</v>
      </c>
      <c r="C192" s="1" t="n">
        <v>46131</v>
      </c>
      <c r="D192" t="inlineStr">
        <is>
          <t>VÄSTRA GÖTALANDS LÄN</t>
        </is>
      </c>
      <c r="E192" t="inlineStr">
        <is>
          <t>BORÅS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25705-2025</t>
        </is>
      </c>
      <c r="B193" s="1" t="n">
        <v>45803.67650462963</v>
      </c>
      <c r="C193" s="1" t="n">
        <v>46131</v>
      </c>
      <c r="D193" t="inlineStr">
        <is>
          <t>VÄSTRA GÖTALANDS LÄN</t>
        </is>
      </c>
      <c r="E193" t="inlineStr">
        <is>
          <t>BORÅS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25666-2025</t>
        </is>
      </c>
      <c r="B194" s="1" t="n">
        <v>45803.62123842593</v>
      </c>
      <c r="C194" s="1" t="n">
        <v>46131</v>
      </c>
      <c r="D194" t="inlineStr">
        <is>
          <t>VÄSTRA GÖTALANDS LÄN</t>
        </is>
      </c>
      <c r="E194" t="inlineStr">
        <is>
          <t>BORÅS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26133-2025</t>
        </is>
      </c>
      <c r="B195" s="1" t="n">
        <v>45805.41142361111</v>
      </c>
      <c r="C195" s="1" t="n">
        <v>46131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11362-2022</t>
        </is>
      </c>
      <c r="B196" s="1" t="n">
        <v>44630</v>
      </c>
      <c r="C196" s="1" t="n">
        <v>46131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3733-2024</t>
        </is>
      </c>
      <c r="B197" s="1" t="n">
        <v>45321</v>
      </c>
      <c r="C197" s="1" t="n">
        <v>46131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42988-2025</t>
        </is>
      </c>
      <c r="B198" s="1" t="n">
        <v>45909.44909722222</v>
      </c>
      <c r="C198" s="1" t="n">
        <v>46131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53491-2025</t>
        </is>
      </c>
      <c r="B199" s="1" t="n">
        <v>45960.31606481481</v>
      </c>
      <c r="C199" s="1" t="n">
        <v>46131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23334-2024</t>
        </is>
      </c>
      <c r="B200" s="1" t="n">
        <v>45453</v>
      </c>
      <c r="C200" s="1" t="n">
        <v>46131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53475-2025</t>
        </is>
      </c>
      <c r="B201" s="1" t="n">
        <v>45959.74376157407</v>
      </c>
      <c r="C201" s="1" t="n">
        <v>46131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44956-2024</t>
        </is>
      </c>
      <c r="B202" s="1" t="n">
        <v>45575.45246527778</v>
      </c>
      <c r="C202" s="1" t="n">
        <v>46131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48342-2022</t>
        </is>
      </c>
      <c r="B203" s="1" t="n">
        <v>44858.56605324074</v>
      </c>
      <c r="C203" s="1" t="n">
        <v>46131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42928-2025</t>
        </is>
      </c>
      <c r="B204" s="1" t="n">
        <v>45909.19603009259</v>
      </c>
      <c r="C204" s="1" t="n">
        <v>46131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10410-2023</t>
        </is>
      </c>
      <c r="B205" s="1" t="n">
        <v>44987.49986111111</v>
      </c>
      <c r="C205" s="1" t="n">
        <v>46131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63437-2023</t>
        </is>
      </c>
      <c r="B206" s="1" t="n">
        <v>45274</v>
      </c>
      <c r="C206" s="1" t="n">
        <v>46131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56684-2022</t>
        </is>
      </c>
      <c r="B207" s="1" t="n">
        <v>44888</v>
      </c>
      <c r="C207" s="1" t="n">
        <v>46131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51810-2025</t>
        </is>
      </c>
      <c r="B208" s="1" t="n">
        <v>45951</v>
      </c>
      <c r="C208" s="1" t="n">
        <v>46131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53782-2025</t>
        </is>
      </c>
      <c r="B209" s="1" t="n">
        <v>45960.70804398148</v>
      </c>
      <c r="C209" s="1" t="n">
        <v>46131</v>
      </c>
      <c r="D209" t="inlineStr">
        <is>
          <t>VÄSTRA GÖTALANDS LÄN</t>
        </is>
      </c>
      <c r="E209" t="inlineStr">
        <is>
          <t>BORÅS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53988-2025</t>
        </is>
      </c>
      <c r="B210" s="1" t="n">
        <v>45961.57664351852</v>
      </c>
      <c r="C210" s="1" t="n">
        <v>46131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27275-2025</t>
        </is>
      </c>
      <c r="B211" s="1" t="n">
        <v>45812.51912037037</v>
      </c>
      <c r="C211" s="1" t="n">
        <v>46131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27274-2025</t>
        </is>
      </c>
      <c r="B212" s="1" t="n">
        <v>45812.51744212963</v>
      </c>
      <c r="C212" s="1" t="n">
        <v>46131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54116-2025</t>
        </is>
      </c>
      <c r="B213" s="1" t="n">
        <v>45964.4425462963</v>
      </c>
      <c r="C213" s="1" t="n">
        <v>46131</v>
      </c>
      <c r="D213" t="inlineStr">
        <is>
          <t>VÄSTRA GÖTALANDS LÄN</t>
        </is>
      </c>
      <c r="E213" t="inlineStr">
        <is>
          <t>BORÅS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53942-2025</t>
        </is>
      </c>
      <c r="B214" s="1" t="n">
        <v>45961.48994212963</v>
      </c>
      <c r="C214" s="1" t="n">
        <v>46131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14777-2022</t>
        </is>
      </c>
      <c r="B215" s="1" t="n">
        <v>44656</v>
      </c>
      <c r="C215" s="1" t="n">
        <v>46131</v>
      </c>
      <c r="D215" t="inlineStr">
        <is>
          <t>VÄSTRA GÖTALANDS LÄN</t>
        </is>
      </c>
      <c r="E215" t="inlineStr">
        <is>
          <t>BORÅS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44125-2025</t>
        </is>
      </c>
      <c r="B216" s="1" t="n">
        <v>45915.58019675926</v>
      </c>
      <c r="C216" s="1" t="n">
        <v>46131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50282-2023</t>
        </is>
      </c>
      <c r="B217" s="1" t="n">
        <v>45216</v>
      </c>
      <c r="C217" s="1" t="n">
        <v>46131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52165-2024</t>
        </is>
      </c>
      <c r="B218" s="1" t="n">
        <v>45608</v>
      </c>
      <c r="C218" s="1" t="n">
        <v>46131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27370-2025</t>
        </is>
      </c>
      <c r="B219" s="1" t="n">
        <v>45812</v>
      </c>
      <c r="C219" s="1" t="n">
        <v>46131</v>
      </c>
      <c r="D219" t="inlineStr">
        <is>
          <t>VÄSTRA GÖTALANDS LÄN</t>
        </is>
      </c>
      <c r="E219" t="inlineStr">
        <is>
          <t>BORÅS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55150-2025</t>
        </is>
      </c>
      <c r="B220" s="1" t="n">
        <v>45968.45446759259</v>
      </c>
      <c r="C220" s="1" t="n">
        <v>46131</v>
      </c>
      <c r="D220" t="inlineStr">
        <is>
          <t>VÄSTRA GÖTALANDS LÄN</t>
        </is>
      </c>
      <c r="E220" t="inlineStr">
        <is>
          <t>BORÅS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55146-2025</t>
        </is>
      </c>
      <c r="B221" s="1" t="n">
        <v>45968.44337962963</v>
      </c>
      <c r="C221" s="1" t="n">
        <v>46131</v>
      </c>
      <c r="D221" t="inlineStr">
        <is>
          <t>VÄSTRA GÖTALANDS LÄN</t>
        </is>
      </c>
      <c r="E221" t="inlineStr">
        <is>
          <t>BORÅS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1777-2025</t>
        </is>
      </c>
      <c r="B222" s="1" t="n">
        <v>45670</v>
      </c>
      <c r="C222" s="1" t="n">
        <v>46131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27381-2025</t>
        </is>
      </c>
      <c r="B223" s="1" t="n">
        <v>45812</v>
      </c>
      <c r="C223" s="1" t="n">
        <v>46131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12588-2022</t>
        </is>
      </c>
      <c r="B224" s="1" t="n">
        <v>44639</v>
      </c>
      <c r="C224" s="1" t="n">
        <v>46131</v>
      </c>
      <c r="D224" t="inlineStr">
        <is>
          <t>VÄSTRA GÖTALANDS LÄN</t>
        </is>
      </c>
      <c r="E224" t="inlineStr">
        <is>
          <t>BORÅS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27356-2025</t>
        </is>
      </c>
      <c r="B225" s="1" t="n">
        <v>45812.63560185185</v>
      </c>
      <c r="C225" s="1" t="n">
        <v>46131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44782-2025</t>
        </is>
      </c>
      <c r="B226" s="1" t="n">
        <v>45917</v>
      </c>
      <c r="C226" s="1" t="n">
        <v>46131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44783-2025</t>
        </is>
      </c>
      <c r="B227" s="1" t="n">
        <v>45917.89658564814</v>
      </c>
      <c r="C227" s="1" t="n">
        <v>46131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44777-2025</t>
        </is>
      </c>
      <c r="B228" s="1" t="n">
        <v>45917.85200231482</v>
      </c>
      <c r="C228" s="1" t="n">
        <v>46131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44781-2025</t>
        </is>
      </c>
      <c r="B229" s="1" t="n">
        <v>45917.86940972223</v>
      </c>
      <c r="C229" s="1" t="n">
        <v>46131</v>
      </c>
      <c r="D229" t="inlineStr">
        <is>
          <t>VÄSTRA GÖTALANDS LÄN</t>
        </is>
      </c>
      <c r="E229" t="inlineStr">
        <is>
          <t>BORÅS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73822-2021</t>
        </is>
      </c>
      <c r="B230" s="1" t="n">
        <v>44552</v>
      </c>
      <c r="C230" s="1" t="n">
        <v>46131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45505-2025</t>
        </is>
      </c>
      <c r="B231" s="1" t="n">
        <v>45922</v>
      </c>
      <c r="C231" s="1" t="n">
        <v>46131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45491-2025</t>
        </is>
      </c>
      <c r="B232" s="1" t="n">
        <v>45922</v>
      </c>
      <c r="C232" s="1" t="n">
        <v>46131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6118-2023</t>
        </is>
      </c>
      <c r="B233" s="1" t="n">
        <v>44964.60105324074</v>
      </c>
      <c r="C233" s="1" t="n">
        <v>46131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28028-2025</t>
        </is>
      </c>
      <c r="B234" s="1" t="n">
        <v>45817.62829861111</v>
      </c>
      <c r="C234" s="1" t="n">
        <v>46131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28037-2025</t>
        </is>
      </c>
      <c r="B235" s="1" t="n">
        <v>45817.635625</v>
      </c>
      <c r="C235" s="1" t="n">
        <v>46131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45510-2025</t>
        </is>
      </c>
      <c r="B236" s="1" t="n">
        <v>45922</v>
      </c>
      <c r="C236" s="1" t="n">
        <v>46131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2815-2022</t>
        </is>
      </c>
      <c r="B237" s="1" t="n">
        <v>44581.41039351852</v>
      </c>
      <c r="C237" s="1" t="n">
        <v>46131</v>
      </c>
      <c r="D237" t="inlineStr">
        <is>
          <t>VÄSTRA GÖTALANDS LÄN</t>
        </is>
      </c>
      <c r="E237" t="inlineStr">
        <is>
          <t>BORÅS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46420-2024</t>
        </is>
      </c>
      <c r="B238" s="1" t="n">
        <v>45582.46026620371</v>
      </c>
      <c r="C238" s="1" t="n">
        <v>46131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13436-2025</t>
        </is>
      </c>
      <c r="B239" s="1" t="n">
        <v>45735</v>
      </c>
      <c r="C239" s="1" t="n">
        <v>46131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46131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29026-2023</t>
        </is>
      </c>
      <c r="B241" s="1" t="n">
        <v>45104.70768518518</v>
      </c>
      <c r="C241" s="1" t="n">
        <v>46131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46113-2025</t>
        </is>
      </c>
      <c r="B242" s="1" t="n">
        <v>45924.57015046296</v>
      </c>
      <c r="C242" s="1" t="n">
        <v>46131</v>
      </c>
      <c r="D242" t="inlineStr">
        <is>
          <t>VÄSTRA GÖTALANDS LÄN</t>
        </is>
      </c>
      <c r="E242" t="inlineStr">
        <is>
          <t>BORÅS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27793-2025</t>
        </is>
      </c>
      <c r="B243" s="1" t="n">
        <v>45816.7725</v>
      </c>
      <c r="C243" s="1" t="n">
        <v>46131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28151-2025</t>
        </is>
      </c>
      <c r="B244" s="1" t="n">
        <v>45818.35608796297</v>
      </c>
      <c r="C244" s="1" t="n">
        <v>46131</v>
      </c>
      <c r="D244" t="inlineStr">
        <is>
          <t>VÄSTRA GÖTALANDS LÄN</t>
        </is>
      </c>
      <c r="E244" t="inlineStr">
        <is>
          <t>BORÅS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45487-2024</t>
        </is>
      </c>
      <c r="B245" s="1" t="n">
        <v>45577.38703703704</v>
      </c>
      <c r="C245" s="1" t="n">
        <v>46131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4765-2025</t>
        </is>
      </c>
      <c r="B246" s="1" t="n">
        <v>45688.48753472222</v>
      </c>
      <c r="C246" s="1" t="n">
        <v>46131</v>
      </c>
      <c r="D246" t="inlineStr">
        <is>
          <t>VÄSTRA GÖTALANDS LÄN</t>
        </is>
      </c>
      <c r="E246" t="inlineStr">
        <is>
          <t>BORÅS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49672-2023</t>
        </is>
      </c>
      <c r="B247" s="1" t="n">
        <v>45212.28642361111</v>
      </c>
      <c r="C247" s="1" t="n">
        <v>46131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60383-2022</t>
        </is>
      </c>
      <c r="B248" s="1" t="n">
        <v>44910.71126157408</v>
      </c>
      <c r="C248" s="1" t="n">
        <v>46131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28536-2025</t>
        </is>
      </c>
      <c r="B249" s="1" t="n">
        <v>45819.51068287037</v>
      </c>
      <c r="C249" s="1" t="n">
        <v>46131</v>
      </c>
      <c r="D249" t="inlineStr">
        <is>
          <t>VÄSTRA GÖTALANDS LÄN</t>
        </is>
      </c>
      <c r="E249" t="inlineStr">
        <is>
          <t>BORÅS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28539-2025</t>
        </is>
      </c>
      <c r="B250" s="1" t="n">
        <v>45819.51217592593</v>
      </c>
      <c r="C250" s="1" t="n">
        <v>46131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46366-2025</t>
        </is>
      </c>
      <c r="B251" s="1" t="n">
        <v>45925.50118055556</v>
      </c>
      <c r="C251" s="1" t="n">
        <v>46131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2992-2025</t>
        </is>
      </c>
      <c r="B252" s="1" t="n">
        <v>45678.53453703703</v>
      </c>
      <c r="C252" s="1" t="n">
        <v>46131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27339-2024</t>
        </is>
      </c>
      <c r="B253" s="1" t="n">
        <v>45472.91881944444</v>
      </c>
      <c r="C253" s="1" t="n">
        <v>46131</v>
      </c>
      <c r="D253" t="inlineStr">
        <is>
          <t>VÄSTRA GÖTALANDS LÄN</t>
        </is>
      </c>
      <c r="E253" t="inlineStr">
        <is>
          <t>BORÅS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29126-2025</t>
        </is>
      </c>
      <c r="B254" s="1" t="n">
        <v>45821.59480324074</v>
      </c>
      <c r="C254" s="1" t="n">
        <v>46131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29209-2025</t>
        </is>
      </c>
      <c r="B255" s="1" t="n">
        <v>45823.90710648148</v>
      </c>
      <c r="C255" s="1" t="n">
        <v>46131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46368-2025</t>
        </is>
      </c>
      <c r="B256" s="1" t="n">
        <v>45925.5033912037</v>
      </c>
      <c r="C256" s="1" t="n">
        <v>46131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29109-2025</t>
        </is>
      </c>
      <c r="B257" s="1" t="n">
        <v>45821.58231481481</v>
      </c>
      <c r="C257" s="1" t="n">
        <v>46131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29111-2025</t>
        </is>
      </c>
      <c r="B258" s="1" t="n">
        <v>45821.58418981481</v>
      </c>
      <c r="C258" s="1" t="n">
        <v>46131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47418-2025</t>
        </is>
      </c>
      <c r="B259" s="1" t="n">
        <v>45930.62087962963</v>
      </c>
      <c r="C259" s="1" t="n">
        <v>46131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47214-2025</t>
        </is>
      </c>
      <c r="B260" s="1" t="n">
        <v>45930.38498842593</v>
      </c>
      <c r="C260" s="1" t="n">
        <v>46131</v>
      </c>
      <c r="D260" t="inlineStr">
        <is>
          <t>VÄSTRA GÖTALANDS LÄN</t>
        </is>
      </c>
      <c r="E260" t="inlineStr">
        <is>
          <t>BORÅS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2159-2023</t>
        </is>
      </c>
      <c r="B261" s="1" t="n">
        <v>44941.67449074074</v>
      </c>
      <c r="C261" s="1" t="n">
        <v>46131</v>
      </c>
      <c r="D261" t="inlineStr">
        <is>
          <t>VÄSTRA GÖTALANDS LÄN</t>
        </is>
      </c>
      <c r="E261" t="inlineStr">
        <is>
          <t>BORÅS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29911-2025</t>
        </is>
      </c>
      <c r="B262" s="1" t="n">
        <v>45826.4077662037</v>
      </c>
      <c r="C262" s="1" t="n">
        <v>46131</v>
      </c>
      <c r="D262" t="inlineStr">
        <is>
          <t>VÄSTRA GÖTALANDS LÄN</t>
        </is>
      </c>
      <c r="E262" t="inlineStr">
        <is>
          <t>BORÅS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46966-2025</t>
        </is>
      </c>
      <c r="B263" s="1" t="n">
        <v>45929.49510416666</v>
      </c>
      <c r="C263" s="1" t="n">
        <v>46131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45609-2024</t>
        </is>
      </c>
      <c r="B264" s="1" t="n">
        <v>45579.44858796296</v>
      </c>
      <c r="C264" s="1" t="n">
        <v>46131</v>
      </c>
      <c r="D264" t="inlineStr">
        <is>
          <t>VÄSTRA GÖTALANDS LÄN</t>
        </is>
      </c>
      <c r="E264" t="inlineStr">
        <is>
          <t>BORÅS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46967-2025</t>
        </is>
      </c>
      <c r="B265" s="1" t="n">
        <v>45929.49907407408</v>
      </c>
      <c r="C265" s="1" t="n">
        <v>46131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36224-2021</t>
        </is>
      </c>
      <c r="B266" s="1" t="n">
        <v>44389</v>
      </c>
      <c r="C266" s="1" t="n">
        <v>46131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38676-2024</t>
        </is>
      </c>
      <c r="B267" s="1" t="n">
        <v>45547.33547453704</v>
      </c>
      <c r="C267" s="1" t="n">
        <v>46131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47594-2025</t>
        </is>
      </c>
      <c r="B268" s="1" t="n">
        <v>45931</v>
      </c>
      <c r="C268" s="1" t="n">
        <v>46131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10291-2025</t>
        </is>
      </c>
      <c r="B269" s="1" t="n">
        <v>45720.42122685185</v>
      </c>
      <c r="C269" s="1" t="n">
        <v>46131</v>
      </c>
      <c r="D269" t="inlineStr">
        <is>
          <t>VÄSTRA GÖTALANDS LÄN</t>
        </is>
      </c>
      <c r="E269" t="inlineStr">
        <is>
          <t>BORÅS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11755-2025</t>
        </is>
      </c>
      <c r="B270" s="1" t="n">
        <v>45727.64140046296</v>
      </c>
      <c r="C270" s="1" t="n">
        <v>46131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11022-2025</t>
        </is>
      </c>
      <c r="B271" s="1" t="n">
        <v>45723.46748842593</v>
      </c>
      <c r="C271" s="1" t="n">
        <v>46131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9643-2025</t>
        </is>
      </c>
      <c r="B272" s="1" t="n">
        <v>45715.84982638889</v>
      </c>
      <c r="C272" s="1" t="n">
        <v>46131</v>
      </c>
      <c r="D272" t="inlineStr">
        <is>
          <t>VÄSTRA GÖTALANDS LÄN</t>
        </is>
      </c>
      <c r="E272" t="inlineStr">
        <is>
          <t>BORÅS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47499-2025</t>
        </is>
      </c>
      <c r="B273" s="1" t="n">
        <v>45930.84449074074</v>
      </c>
      <c r="C273" s="1" t="n">
        <v>46131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12966-2025</t>
        </is>
      </c>
      <c r="B274" s="1" t="n">
        <v>45734.43109953704</v>
      </c>
      <c r="C274" s="1" t="n">
        <v>46131</v>
      </c>
      <c r="D274" t="inlineStr">
        <is>
          <t>VÄSTRA GÖTALANDS LÄN</t>
        </is>
      </c>
      <c r="E274" t="inlineStr">
        <is>
          <t>BORÅS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14379-2025</t>
        </is>
      </c>
      <c r="B275" s="1" t="n">
        <v>45741</v>
      </c>
      <c r="C275" s="1" t="n">
        <v>46131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12484-2025</t>
        </is>
      </c>
      <c r="B276" s="1" t="n">
        <v>45730.58797453704</v>
      </c>
      <c r="C276" s="1" t="n">
        <v>46131</v>
      </c>
      <c r="D276" t="inlineStr">
        <is>
          <t>VÄSTRA GÖTALANDS LÄN</t>
        </is>
      </c>
      <c r="E276" t="inlineStr">
        <is>
          <t>BORÅS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12487-2025</t>
        </is>
      </c>
      <c r="B277" s="1" t="n">
        <v>45730.59189814814</v>
      </c>
      <c r="C277" s="1" t="n">
        <v>46131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47613-2025</t>
        </is>
      </c>
      <c r="B278" s="1" t="n">
        <v>45931</v>
      </c>
      <c r="C278" s="1" t="n">
        <v>46131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14381-2025</t>
        </is>
      </c>
      <c r="B279" s="1" t="n">
        <v>45741</v>
      </c>
      <c r="C279" s="1" t="n">
        <v>46131</v>
      </c>
      <c r="D279" t="inlineStr">
        <is>
          <t>VÄSTRA GÖTALANDS LÄN</t>
        </is>
      </c>
      <c r="E279" t="inlineStr">
        <is>
          <t>BORÅS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47586-2025</t>
        </is>
      </c>
      <c r="B280" s="1" t="n">
        <v>45931</v>
      </c>
      <c r="C280" s="1" t="n">
        <v>46131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47588-2025</t>
        </is>
      </c>
      <c r="B281" s="1" t="n">
        <v>45931</v>
      </c>
      <c r="C281" s="1" t="n">
        <v>46131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30312-2025</t>
        </is>
      </c>
      <c r="B282" s="1" t="n">
        <v>45827</v>
      </c>
      <c r="C282" s="1" t="n">
        <v>46131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48508-2024</t>
        </is>
      </c>
      <c r="B283" s="1" t="n">
        <v>45593.24738425926</v>
      </c>
      <c r="C283" s="1" t="n">
        <v>46131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11759-2025</t>
        </is>
      </c>
      <c r="B284" s="1" t="n">
        <v>45727.64462962963</v>
      </c>
      <c r="C284" s="1" t="n">
        <v>46131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30959-2025</t>
        </is>
      </c>
      <c r="B285" s="1" t="n">
        <v>45832.43942129629</v>
      </c>
      <c r="C285" s="1" t="n">
        <v>46131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57786-2022</t>
        </is>
      </c>
      <c r="B286" s="1" t="n">
        <v>44897</v>
      </c>
      <c r="C286" s="1" t="n">
        <v>46131</v>
      </c>
      <c r="D286" t="inlineStr">
        <is>
          <t>VÄSTRA GÖTALANDS LÄN</t>
        </is>
      </c>
      <c r="E286" t="inlineStr">
        <is>
          <t>BORÅS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46453-2024</t>
        </is>
      </c>
      <c r="B287" s="1" t="n">
        <v>45582.51785879629</v>
      </c>
      <c r="C287" s="1" t="n">
        <v>46131</v>
      </c>
      <c r="D287" t="inlineStr">
        <is>
          <t>VÄSTRA GÖTALANDS LÄN</t>
        </is>
      </c>
      <c r="E287" t="inlineStr">
        <is>
          <t>BORÅS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11373-2022</t>
        </is>
      </c>
      <c r="B288" s="1" t="n">
        <v>44630</v>
      </c>
      <c r="C288" s="1" t="n">
        <v>46131</v>
      </c>
      <c r="D288" t="inlineStr">
        <is>
          <t>VÄSTRA GÖTALANDS LÄN</t>
        </is>
      </c>
      <c r="E288" t="inlineStr">
        <is>
          <t>BORÅS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48449-2025</t>
        </is>
      </c>
      <c r="B289" s="1" t="n">
        <v>45935.72084490741</v>
      </c>
      <c r="C289" s="1" t="n">
        <v>46131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30905-2025</t>
        </is>
      </c>
      <c r="B290" s="1" t="n">
        <v>45832.36346064815</v>
      </c>
      <c r="C290" s="1" t="n">
        <v>46131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23325-2024</t>
        </is>
      </c>
      <c r="B291" s="1" t="n">
        <v>45453.46512731481</v>
      </c>
      <c r="C291" s="1" t="n">
        <v>46131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19911-2023</t>
        </is>
      </c>
      <c r="B292" s="1" t="n">
        <v>45054</v>
      </c>
      <c r="C292" s="1" t="n">
        <v>46131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30952-2025</t>
        </is>
      </c>
      <c r="B293" s="1" t="n">
        <v>45832.434375</v>
      </c>
      <c r="C293" s="1" t="n">
        <v>46131</v>
      </c>
      <c r="D293" t="inlineStr">
        <is>
          <t>VÄSTRA GÖTALANDS LÄN</t>
        </is>
      </c>
      <c r="E293" t="inlineStr">
        <is>
          <t>BORÅS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48444-2025</t>
        </is>
      </c>
      <c r="B294" s="1" t="n">
        <v>45935.58040509259</v>
      </c>
      <c r="C294" s="1" t="n">
        <v>46131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48445-2025</t>
        </is>
      </c>
      <c r="B295" s="1" t="n">
        <v>45935.5899074074</v>
      </c>
      <c r="C295" s="1" t="n">
        <v>46131</v>
      </c>
      <c r="D295" t="inlineStr">
        <is>
          <t>VÄSTRA GÖTALANDS LÄN</t>
        </is>
      </c>
      <c r="E295" t="inlineStr">
        <is>
          <t>BORÅS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52540-2023</t>
        </is>
      </c>
      <c r="B296" s="1" t="n">
        <v>45225</v>
      </c>
      <c r="C296" s="1" t="n">
        <v>46131</v>
      </c>
      <c r="D296" t="inlineStr">
        <is>
          <t>VÄSTRA GÖTALANDS LÄN</t>
        </is>
      </c>
      <c r="E296" t="inlineStr">
        <is>
          <t>BORÅS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31210-2025</t>
        </is>
      </c>
      <c r="B297" s="1" t="n">
        <v>45832.71377314815</v>
      </c>
      <c r="C297" s="1" t="n">
        <v>46131</v>
      </c>
      <c r="D297" t="inlineStr">
        <is>
          <t>VÄSTRA GÖTALANDS LÄN</t>
        </is>
      </c>
      <c r="E297" t="inlineStr">
        <is>
          <t>BORÅS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11054-2025</t>
        </is>
      </c>
      <c r="B298" s="1" t="n">
        <v>45723.50204861111</v>
      </c>
      <c r="C298" s="1" t="n">
        <v>46131</v>
      </c>
      <c r="D298" t="inlineStr">
        <is>
          <t>VÄSTRA GÖTALANDS LÄN</t>
        </is>
      </c>
      <c r="E298" t="inlineStr">
        <is>
          <t>BORÅS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28552-2022</t>
        </is>
      </c>
      <c r="B299" s="1" t="n">
        <v>44748.42736111111</v>
      </c>
      <c r="C299" s="1" t="n">
        <v>46131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45485-2024</t>
        </is>
      </c>
      <c r="B300" s="1" t="n">
        <v>45577.37418981481</v>
      </c>
      <c r="C300" s="1" t="n">
        <v>46131</v>
      </c>
      <c r="D300" t="inlineStr">
        <is>
          <t>VÄSTRA GÖTALANDS LÄN</t>
        </is>
      </c>
      <c r="E300" t="inlineStr">
        <is>
          <t>BORÅS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34610-2023</t>
        </is>
      </c>
      <c r="B301" s="1" t="n">
        <v>45140</v>
      </c>
      <c r="C301" s="1" t="n">
        <v>46131</v>
      </c>
      <c r="D301" t="inlineStr">
        <is>
          <t>VÄSTRA GÖTALANDS LÄN</t>
        </is>
      </c>
      <c r="E301" t="inlineStr">
        <is>
          <t>BORÅS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27039-2022</t>
        </is>
      </c>
      <c r="B302" s="1" t="n">
        <v>44740</v>
      </c>
      <c r="C302" s="1" t="n">
        <v>46131</v>
      </c>
      <c r="D302" t="inlineStr">
        <is>
          <t>VÄSTRA GÖTALANDS LÄN</t>
        </is>
      </c>
      <c r="E302" t="inlineStr">
        <is>
          <t>BORÅS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49081-2025</t>
        </is>
      </c>
      <c r="B303" s="1" t="n">
        <v>45937.66361111111</v>
      </c>
      <c r="C303" s="1" t="n">
        <v>46131</v>
      </c>
      <c r="D303" t="inlineStr">
        <is>
          <t>VÄSTRA GÖTALANDS LÄN</t>
        </is>
      </c>
      <c r="E303" t="inlineStr">
        <is>
          <t>BORÅS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49243-2025</t>
        </is>
      </c>
      <c r="B304" s="1" t="n">
        <v>45938.48791666667</v>
      </c>
      <c r="C304" s="1" t="n">
        <v>46131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43837-2023</t>
        </is>
      </c>
      <c r="B305" s="1" t="n">
        <v>45187</v>
      </c>
      <c r="C305" s="1" t="n">
        <v>46131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32322-2025</t>
        </is>
      </c>
      <c r="B306" s="1" t="n">
        <v>45836.41789351852</v>
      </c>
      <c r="C306" s="1" t="n">
        <v>46131</v>
      </c>
      <c r="D306" t="inlineStr">
        <is>
          <t>VÄSTRA GÖTALANDS LÄN</t>
        </is>
      </c>
      <c r="E306" t="inlineStr">
        <is>
          <t>BORÅS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49262-2025</t>
        </is>
      </c>
      <c r="B307" s="1" t="n">
        <v>45938.49927083333</v>
      </c>
      <c r="C307" s="1" t="n">
        <v>46131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15024-2023</t>
        </is>
      </c>
      <c r="B308" s="1" t="n">
        <v>45015.62293981481</v>
      </c>
      <c r="C308" s="1" t="n">
        <v>46131</v>
      </c>
      <c r="D308" t="inlineStr">
        <is>
          <t>VÄSTRA GÖTALANDS LÄN</t>
        </is>
      </c>
      <c r="E308" t="inlineStr">
        <is>
          <t>BORÅS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32323-2025</t>
        </is>
      </c>
      <c r="B309" s="1" t="n">
        <v>45836.42394675926</v>
      </c>
      <c r="C309" s="1" t="n">
        <v>46131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56376-2025</t>
        </is>
      </c>
      <c r="B310" s="1" t="n">
        <v>45974</v>
      </c>
      <c r="C310" s="1" t="n">
        <v>46131</v>
      </c>
      <c r="D310" t="inlineStr">
        <is>
          <t>VÄSTRA GÖTALANDS LÄN</t>
        </is>
      </c>
      <c r="E310" t="inlineStr">
        <is>
          <t>BORÅS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49948-2025</t>
        </is>
      </c>
      <c r="B311" s="1" t="n">
        <v>45940.74016203704</v>
      </c>
      <c r="C311" s="1" t="n">
        <v>46131</v>
      </c>
      <c r="D311" t="inlineStr">
        <is>
          <t>VÄSTRA GÖTALANDS LÄN</t>
        </is>
      </c>
      <c r="E311" t="inlineStr">
        <is>
          <t>BORÅS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32900-2025</t>
        </is>
      </c>
      <c r="B312" s="1" t="n">
        <v>45839</v>
      </c>
      <c r="C312" s="1" t="n">
        <v>46131</v>
      </c>
      <c r="D312" t="inlineStr">
        <is>
          <t>VÄSTRA GÖTALANDS LÄN</t>
        </is>
      </c>
      <c r="E312" t="inlineStr">
        <is>
          <t>BORÅS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6917-2024</t>
        </is>
      </c>
      <c r="B313" s="1" t="n">
        <v>45343</v>
      </c>
      <c r="C313" s="1" t="n">
        <v>46131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24183-2024</t>
        </is>
      </c>
      <c r="B314" s="1" t="n">
        <v>45456.87540509259</v>
      </c>
      <c r="C314" s="1" t="n">
        <v>46131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32905-2025</t>
        </is>
      </c>
      <c r="B315" s="1" t="n">
        <v>45839</v>
      </c>
      <c r="C315" s="1" t="n">
        <v>46131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50254-2025</t>
        </is>
      </c>
      <c r="B316" s="1" t="n">
        <v>45944.33063657407</v>
      </c>
      <c r="C316" s="1" t="n">
        <v>46131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25663-2025</t>
        </is>
      </c>
      <c r="B317" s="1" t="n">
        <v>45803.61898148148</v>
      </c>
      <c r="C317" s="1" t="n">
        <v>46131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28171-2022</t>
        </is>
      </c>
      <c r="B318" s="1" t="n">
        <v>44746</v>
      </c>
      <c r="C318" s="1" t="n">
        <v>46131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43919-2025</t>
        </is>
      </c>
      <c r="B319" s="1" t="n">
        <v>45914.90981481481</v>
      </c>
      <c r="C319" s="1" t="n">
        <v>46131</v>
      </c>
      <c r="D319" t="inlineStr">
        <is>
          <t>VÄSTRA GÖTALANDS LÄN</t>
        </is>
      </c>
      <c r="E319" t="inlineStr">
        <is>
          <t>BORÅS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4935-2023</t>
        </is>
      </c>
      <c r="B320" s="1" t="n">
        <v>44958</v>
      </c>
      <c r="C320" s="1" t="n">
        <v>46131</v>
      </c>
      <c r="D320" t="inlineStr">
        <is>
          <t>VÄSTRA GÖTALANDS LÄN</t>
        </is>
      </c>
      <c r="E320" t="inlineStr">
        <is>
          <t>BORÅS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50069-2025</t>
        </is>
      </c>
      <c r="B321" s="1" t="n">
        <v>45943</v>
      </c>
      <c r="C321" s="1" t="n">
        <v>46131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50895-2025</t>
        </is>
      </c>
      <c r="B322" s="1" t="n">
        <v>45946.64105324074</v>
      </c>
      <c r="C322" s="1" t="n">
        <v>46131</v>
      </c>
      <c r="D322" t="inlineStr">
        <is>
          <t>VÄSTRA GÖTALANDS LÄN</t>
        </is>
      </c>
      <c r="E322" t="inlineStr">
        <is>
          <t>BORÅS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33725-2025</t>
        </is>
      </c>
      <c r="B323" s="1" t="n">
        <v>45841.9329050926</v>
      </c>
      <c r="C323" s="1" t="n">
        <v>46131</v>
      </c>
      <c r="D323" t="inlineStr">
        <is>
          <t>VÄSTRA GÖTALANDS LÄN</t>
        </is>
      </c>
      <c r="E323" t="inlineStr">
        <is>
          <t>BORÅS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18294-2025</t>
        </is>
      </c>
      <c r="B324" s="1" t="n">
        <v>45762.41231481481</v>
      </c>
      <c r="C324" s="1" t="n">
        <v>46131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33723-2025</t>
        </is>
      </c>
      <c r="B325" s="1" t="n">
        <v>45841.92826388889</v>
      </c>
      <c r="C325" s="1" t="n">
        <v>46131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33724-2025</t>
        </is>
      </c>
      <c r="B326" s="1" t="n">
        <v>45841.92988425926</v>
      </c>
      <c r="C326" s="1" t="n">
        <v>46131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49078-2025</t>
        </is>
      </c>
      <c r="B327" s="1" t="n">
        <v>45937.66010416667</v>
      </c>
      <c r="C327" s="1" t="n">
        <v>46131</v>
      </c>
      <c r="D327" t="inlineStr">
        <is>
          <t>VÄSTRA GÖTALANDS LÄN</t>
        </is>
      </c>
      <c r="E327" t="inlineStr">
        <is>
          <t>BORÅS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2004-2024</t>
        </is>
      </c>
      <c r="B328" s="1" t="n">
        <v>45308</v>
      </c>
      <c r="C328" s="1" t="n">
        <v>46131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60127-2023</t>
        </is>
      </c>
      <c r="B329" s="1" t="n">
        <v>45258</v>
      </c>
      <c r="C329" s="1" t="n">
        <v>46131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Kyrkan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8792-2024</t>
        </is>
      </c>
      <c r="B330" s="1" t="n">
        <v>45356.63008101852</v>
      </c>
      <c r="C330" s="1" t="n">
        <v>46131</v>
      </c>
      <c r="D330" t="inlineStr">
        <is>
          <t>VÄSTRA GÖTALANDS LÄN</t>
        </is>
      </c>
      <c r="E330" t="inlineStr">
        <is>
          <t>BORÅS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33488-2025</t>
        </is>
      </c>
      <c r="B331" s="1" t="n">
        <v>45841.50565972222</v>
      </c>
      <c r="C331" s="1" t="n">
        <v>46131</v>
      </c>
      <c r="D331" t="inlineStr">
        <is>
          <t>VÄSTRA GÖTALANDS LÄN</t>
        </is>
      </c>
      <c r="E331" t="inlineStr">
        <is>
          <t>BORÅS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33814-2025</t>
        </is>
      </c>
      <c r="B332" s="1" t="n">
        <v>45842.45538194444</v>
      </c>
      <c r="C332" s="1" t="n">
        <v>46131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33837-2025</t>
        </is>
      </c>
      <c r="B333" s="1" t="n">
        <v>45842.47792824074</v>
      </c>
      <c r="C333" s="1" t="n">
        <v>46131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13955-2024</t>
        </is>
      </c>
      <c r="B334" s="1" t="n">
        <v>45392.32388888889</v>
      </c>
      <c r="C334" s="1" t="n">
        <v>46131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51160-2024</t>
        </is>
      </c>
      <c r="B335" s="1" t="n">
        <v>45603.57885416667</v>
      </c>
      <c r="C335" s="1" t="n">
        <v>46131</v>
      </c>
      <c r="D335" t="inlineStr">
        <is>
          <t>VÄSTRA GÖTALANDS LÄN</t>
        </is>
      </c>
      <c r="E335" t="inlineStr">
        <is>
          <t>BORÅS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51074-2025</t>
        </is>
      </c>
      <c r="B336" s="1" t="n">
        <v>45947.46091435185</v>
      </c>
      <c r="C336" s="1" t="n">
        <v>46131</v>
      </c>
      <c r="D336" t="inlineStr">
        <is>
          <t>VÄSTRA GÖTALANDS LÄN</t>
        </is>
      </c>
      <c r="E336" t="inlineStr">
        <is>
          <t>BORÅS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5196-2023</t>
        </is>
      </c>
      <c r="B337" s="1" t="n">
        <v>44959</v>
      </c>
      <c r="C337" s="1" t="n">
        <v>46131</v>
      </c>
      <c r="D337" t="inlineStr">
        <is>
          <t>VÄSTRA GÖTALANDS LÄN</t>
        </is>
      </c>
      <c r="E337" t="inlineStr">
        <is>
          <t>BORÅS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34415-2025</t>
        </is>
      </c>
      <c r="B338" s="1" t="n">
        <v>45846.65206018519</v>
      </c>
      <c r="C338" s="1" t="n">
        <v>46131</v>
      </c>
      <c r="D338" t="inlineStr">
        <is>
          <t>VÄSTRA GÖTALANDS LÄN</t>
        </is>
      </c>
      <c r="E338" t="inlineStr">
        <is>
          <t>BORÅS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20724-2023</t>
        </is>
      </c>
      <c r="B339" s="1" t="n">
        <v>45058.47872685185</v>
      </c>
      <c r="C339" s="1" t="n">
        <v>46131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53063-2024</t>
        </is>
      </c>
      <c r="B340" s="1" t="n">
        <v>45611.4719212963</v>
      </c>
      <c r="C340" s="1" t="n">
        <v>46131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2570-2025</t>
        </is>
      </c>
      <c r="B341" s="1" t="n">
        <v>45674.66657407407</v>
      </c>
      <c r="C341" s="1" t="n">
        <v>46131</v>
      </c>
      <c r="D341" t="inlineStr">
        <is>
          <t>VÄSTRA GÖTALANDS LÄN</t>
        </is>
      </c>
      <c r="E341" t="inlineStr">
        <is>
          <t>BORÅS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34693-2025</t>
        </is>
      </c>
      <c r="B342" s="1" t="n">
        <v>45848.45915509259</v>
      </c>
      <c r="C342" s="1" t="n">
        <v>46131</v>
      </c>
      <c r="D342" t="inlineStr">
        <is>
          <t>VÄSTRA GÖTALANDS LÄN</t>
        </is>
      </c>
      <c r="E342" t="inlineStr">
        <is>
          <t>BORÅS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59212-2024</t>
        </is>
      </c>
      <c r="B343" s="1" t="n">
        <v>45637</v>
      </c>
      <c r="C343" s="1" t="n">
        <v>46131</v>
      </c>
      <c r="D343" t="inlineStr">
        <is>
          <t>VÄSTRA GÖTALANDS LÄN</t>
        </is>
      </c>
      <c r="E343" t="inlineStr">
        <is>
          <t>BORÅS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34695-2025</t>
        </is>
      </c>
      <c r="B344" s="1" t="n">
        <v>45848.46100694445</v>
      </c>
      <c r="C344" s="1" t="n">
        <v>46131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20722-2023</t>
        </is>
      </c>
      <c r="B345" s="1" t="n">
        <v>45058</v>
      </c>
      <c r="C345" s="1" t="n">
        <v>46131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32025-2023</t>
        </is>
      </c>
      <c r="B346" s="1" t="n">
        <v>45119.50736111111</v>
      </c>
      <c r="C346" s="1" t="n">
        <v>46131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59463-2024</t>
        </is>
      </c>
      <c r="B347" s="1" t="n">
        <v>45638.48190972222</v>
      </c>
      <c r="C347" s="1" t="n">
        <v>46131</v>
      </c>
      <c r="D347" t="inlineStr">
        <is>
          <t>VÄSTRA GÖTALANDS LÄN</t>
        </is>
      </c>
      <c r="E347" t="inlineStr">
        <is>
          <t>BORÅS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11527-2023</t>
        </is>
      </c>
      <c r="B348" s="1" t="n">
        <v>44993.76420138889</v>
      </c>
      <c r="C348" s="1" t="n">
        <v>46131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35480-2025</t>
        </is>
      </c>
      <c r="B349" s="1" t="n">
        <v>45855.70284722222</v>
      </c>
      <c r="C349" s="1" t="n">
        <v>46131</v>
      </c>
      <c r="D349" t="inlineStr">
        <is>
          <t>VÄSTRA GÖTALANDS LÄN</t>
        </is>
      </c>
      <c r="E349" t="inlineStr">
        <is>
          <t>BORÅS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35400-2025</t>
        </is>
      </c>
      <c r="B350" s="1" t="n">
        <v>45855.34162037037</v>
      </c>
      <c r="C350" s="1" t="n">
        <v>46131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35379-2025</t>
        </is>
      </c>
      <c r="B351" s="1" t="n">
        <v>45855.29523148148</v>
      </c>
      <c r="C351" s="1" t="n">
        <v>46131</v>
      </c>
      <c r="D351" t="inlineStr">
        <is>
          <t>VÄSTRA GÖTALANDS LÄN</t>
        </is>
      </c>
      <c r="E351" t="inlineStr">
        <is>
          <t>BORÅS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35403-2025</t>
        </is>
      </c>
      <c r="B352" s="1" t="n">
        <v>45855.3478125</v>
      </c>
      <c r="C352" s="1" t="n">
        <v>46131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32160-2023</t>
        </is>
      </c>
      <c r="B353" s="1" t="n">
        <v>45119</v>
      </c>
      <c r="C353" s="1" t="n">
        <v>46131</v>
      </c>
      <c r="D353" t="inlineStr">
        <is>
          <t>VÄSTRA GÖTALANDS LÄN</t>
        </is>
      </c>
      <c r="E353" t="inlineStr">
        <is>
          <t>BORÅS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32186-2023</t>
        </is>
      </c>
      <c r="B354" s="1" t="n">
        <v>45119.8443287037</v>
      </c>
      <c r="C354" s="1" t="n">
        <v>46131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28581-2023</t>
        </is>
      </c>
      <c r="B355" s="1" t="n">
        <v>45103.55524305555</v>
      </c>
      <c r="C355" s="1" t="n">
        <v>46131</v>
      </c>
      <c r="D355" t="inlineStr">
        <is>
          <t>VÄSTRA GÖTALANDS LÄN</t>
        </is>
      </c>
      <c r="E355" t="inlineStr">
        <is>
          <t>BORÅS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57127-2025</t>
        </is>
      </c>
      <c r="B356" s="1" t="n">
        <v>45979.47140046296</v>
      </c>
      <c r="C356" s="1" t="n">
        <v>46131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35727-2025</t>
        </is>
      </c>
      <c r="B357" s="1" t="n">
        <v>45860</v>
      </c>
      <c r="C357" s="1" t="n">
        <v>46131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32893-2025</t>
        </is>
      </c>
      <c r="B358" s="1" t="n">
        <v>45839</v>
      </c>
      <c r="C358" s="1" t="n">
        <v>46131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32854-2025</t>
        </is>
      </c>
      <c r="B359" s="1" t="n">
        <v>45839</v>
      </c>
      <c r="C359" s="1" t="n">
        <v>46131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13954-2024</t>
        </is>
      </c>
      <c r="B360" s="1" t="n">
        <v>45392.32304398148</v>
      </c>
      <c r="C360" s="1" t="n">
        <v>46131</v>
      </c>
      <c r="D360" t="inlineStr">
        <is>
          <t>VÄSTRA GÖTALANDS LÄN</t>
        </is>
      </c>
      <c r="E360" t="inlineStr">
        <is>
          <t>BORÅS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57130-2025</t>
        </is>
      </c>
      <c r="B361" s="1" t="n">
        <v>45979.47361111111</v>
      </c>
      <c r="C361" s="1" t="n">
        <v>46131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36113-2025</t>
        </is>
      </c>
      <c r="B362" s="1" t="n">
        <v>45866.57512731481</v>
      </c>
      <c r="C362" s="1" t="n">
        <v>46131</v>
      </c>
      <c r="D362" t="inlineStr">
        <is>
          <t>VÄSTRA GÖTALANDS LÄN</t>
        </is>
      </c>
      <c r="E362" t="inlineStr">
        <is>
          <t>BORÅS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36128-2025</t>
        </is>
      </c>
      <c r="B363" s="1" t="n">
        <v>45866</v>
      </c>
      <c r="C363" s="1" t="n">
        <v>46131</v>
      </c>
      <c r="D363" t="inlineStr">
        <is>
          <t>VÄSTRA GÖTALANDS LÄN</t>
        </is>
      </c>
      <c r="E363" t="inlineStr">
        <is>
          <t>BORÅS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36016-2025</t>
        </is>
      </c>
      <c r="B364" s="1" t="n">
        <v>45863.6363425926</v>
      </c>
      <c r="C364" s="1" t="n">
        <v>46131</v>
      </c>
      <c r="D364" t="inlineStr">
        <is>
          <t>VÄSTRA GÖTALANDS LÄN</t>
        </is>
      </c>
      <c r="E364" t="inlineStr">
        <is>
          <t>BORÅS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36028-2025</t>
        </is>
      </c>
      <c r="B365" s="1" t="n">
        <v>45864.64525462963</v>
      </c>
      <c r="C365" s="1" t="n">
        <v>46131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36402-2025</t>
        </is>
      </c>
      <c r="B366" s="1" t="n">
        <v>45868.65326388889</v>
      </c>
      <c r="C366" s="1" t="n">
        <v>46131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36260-2025</t>
        </is>
      </c>
      <c r="B367" s="1" t="n">
        <v>45867.59960648148</v>
      </c>
      <c r="C367" s="1" t="n">
        <v>46131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36408-2025</t>
        </is>
      </c>
      <c r="B368" s="1" t="n">
        <v>45868.6805787037</v>
      </c>
      <c r="C368" s="1" t="n">
        <v>46131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13957-2024</t>
        </is>
      </c>
      <c r="B369" s="1" t="n">
        <v>45392.32523148148</v>
      </c>
      <c r="C369" s="1" t="n">
        <v>46131</v>
      </c>
      <c r="D369" t="inlineStr">
        <is>
          <t>VÄSTRA GÖTALANDS LÄN</t>
        </is>
      </c>
      <c r="E369" t="inlineStr">
        <is>
          <t>BORÅS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57419-2024</t>
        </is>
      </c>
      <c r="B370" s="1" t="n">
        <v>45629.79951388889</v>
      </c>
      <c r="C370" s="1" t="n">
        <v>46131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57421-2024</t>
        </is>
      </c>
      <c r="B371" s="1" t="n">
        <v>45629.80734953703</v>
      </c>
      <c r="C371" s="1" t="n">
        <v>46131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57426-2024</t>
        </is>
      </c>
      <c r="B372" s="1" t="n">
        <v>45629.82334490741</v>
      </c>
      <c r="C372" s="1" t="n">
        <v>46131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36415-2025</t>
        </is>
      </c>
      <c r="B373" s="1" t="n">
        <v>45868.69543981482</v>
      </c>
      <c r="C373" s="1" t="n">
        <v>46131</v>
      </c>
      <c r="D373" t="inlineStr">
        <is>
          <t>VÄSTRA GÖTALANDS LÄN</t>
        </is>
      </c>
      <c r="E373" t="inlineStr">
        <is>
          <t>BORÅS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58302-2025</t>
        </is>
      </c>
      <c r="B374" s="1" t="n">
        <v>45982</v>
      </c>
      <c r="C374" s="1" t="n">
        <v>46131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Kommuner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36412-2025</t>
        </is>
      </c>
      <c r="B375" s="1" t="n">
        <v>45868.69075231482</v>
      </c>
      <c r="C375" s="1" t="n">
        <v>46131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32241-2023</t>
        </is>
      </c>
      <c r="B376" s="1" t="n">
        <v>45119</v>
      </c>
      <c r="C376" s="1" t="n">
        <v>46131</v>
      </c>
      <c r="D376" t="inlineStr">
        <is>
          <t>VÄSTRA GÖTALANDS LÄN</t>
        </is>
      </c>
      <c r="E376" t="inlineStr">
        <is>
          <t>BORÅS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46439-2024</t>
        </is>
      </c>
      <c r="B377" s="1" t="n">
        <v>45582.48012731481</v>
      </c>
      <c r="C377" s="1" t="n">
        <v>46131</v>
      </c>
      <c r="D377" t="inlineStr">
        <is>
          <t>VÄSTRA GÖTALANDS LÄN</t>
        </is>
      </c>
      <c r="E377" t="inlineStr">
        <is>
          <t>BORÅS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47835-2023</t>
        </is>
      </c>
      <c r="B378" s="1" t="n">
        <v>45204.37236111111</v>
      </c>
      <c r="C378" s="1" t="n">
        <v>46131</v>
      </c>
      <c r="D378" t="inlineStr">
        <is>
          <t>VÄSTRA GÖTALANDS LÄN</t>
        </is>
      </c>
      <c r="E378" t="inlineStr">
        <is>
          <t>BORÅS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36635-2025</t>
        </is>
      </c>
      <c r="B379" s="1" t="n">
        <v>45870.70042824074</v>
      </c>
      <c r="C379" s="1" t="n">
        <v>46131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36636-2025</t>
        </is>
      </c>
      <c r="B380" s="1" t="n">
        <v>45870.70177083334</v>
      </c>
      <c r="C380" s="1" t="n">
        <v>46131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36605-2025</t>
        </is>
      </c>
      <c r="B381" s="1" t="n">
        <v>45870</v>
      </c>
      <c r="C381" s="1" t="n">
        <v>46131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54361-2022</t>
        </is>
      </c>
      <c r="B382" s="1" t="n">
        <v>44882</v>
      </c>
      <c r="C382" s="1" t="n">
        <v>46131</v>
      </c>
      <c r="D382" t="inlineStr">
        <is>
          <t>VÄSTRA GÖTALANDS LÄN</t>
        </is>
      </c>
      <c r="E382" t="inlineStr">
        <is>
          <t>BORÅS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53204-2024</t>
        </is>
      </c>
      <c r="B383" s="1" t="n">
        <v>45612.44818287037</v>
      </c>
      <c r="C383" s="1" t="n">
        <v>46131</v>
      </c>
      <c r="D383" t="inlineStr">
        <is>
          <t>VÄSTRA GÖTALANDS LÄN</t>
        </is>
      </c>
      <c r="E383" t="inlineStr">
        <is>
          <t>BORÅS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27458-2021</t>
        </is>
      </c>
      <c r="B384" s="1" t="n">
        <v>44351</v>
      </c>
      <c r="C384" s="1" t="n">
        <v>46131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58304-2025</t>
        </is>
      </c>
      <c r="B385" s="1" t="n">
        <v>45982</v>
      </c>
      <c r="C385" s="1" t="n">
        <v>46131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52904-2024</t>
        </is>
      </c>
      <c r="B386" s="1" t="n">
        <v>45610.69145833333</v>
      </c>
      <c r="C386" s="1" t="n">
        <v>46131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32443-2023</t>
        </is>
      </c>
      <c r="B387" s="1" t="n">
        <v>45120</v>
      </c>
      <c r="C387" s="1" t="n">
        <v>46131</v>
      </c>
      <c r="D387" t="inlineStr">
        <is>
          <t>VÄSTRA GÖTALANDS LÄN</t>
        </is>
      </c>
      <c r="E387" t="inlineStr">
        <is>
          <t>BORÅS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20713-2025</t>
        </is>
      </c>
      <c r="B388" s="1" t="n">
        <v>45776.489375</v>
      </c>
      <c r="C388" s="1" t="n">
        <v>46131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36682-2025</t>
        </is>
      </c>
      <c r="B389" s="1" t="n">
        <v>45873.40289351852</v>
      </c>
      <c r="C389" s="1" t="n">
        <v>46131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57754-2025</t>
        </is>
      </c>
      <c r="B390" s="1" t="n">
        <v>45981.54357638889</v>
      </c>
      <c r="C390" s="1" t="n">
        <v>46131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43185-2024</t>
        </is>
      </c>
      <c r="B391" s="1" t="n">
        <v>45567.66493055555</v>
      </c>
      <c r="C391" s="1" t="n">
        <v>46131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58303-2025</t>
        </is>
      </c>
      <c r="B392" s="1" t="n">
        <v>45982</v>
      </c>
      <c r="C392" s="1" t="n">
        <v>46131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58304-2025</t>
        </is>
      </c>
      <c r="B393" s="1" t="n">
        <v>45982</v>
      </c>
      <c r="C393" s="1" t="n">
        <v>46131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28410-2024</t>
        </is>
      </c>
      <c r="B394" s="1" t="n">
        <v>45477</v>
      </c>
      <c r="C394" s="1" t="n">
        <v>46131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52486-2023</t>
        </is>
      </c>
      <c r="B395" s="1" t="n">
        <v>45225.44538194445</v>
      </c>
      <c r="C395" s="1" t="n">
        <v>46131</v>
      </c>
      <c r="D395" t="inlineStr">
        <is>
          <t>VÄSTRA GÖTALANDS LÄN</t>
        </is>
      </c>
      <c r="E395" t="inlineStr">
        <is>
          <t>BORÅS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37413-2025</t>
        </is>
      </c>
      <c r="B396" s="1" t="n">
        <v>45877.46954861111</v>
      </c>
      <c r="C396" s="1" t="n">
        <v>46131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58452-2025</t>
        </is>
      </c>
      <c r="B397" s="1" t="n">
        <v>45985.62841435185</v>
      </c>
      <c r="C397" s="1" t="n">
        <v>46131</v>
      </c>
      <c r="D397" t="inlineStr">
        <is>
          <t>VÄSTRA GÖTALANDS LÄN</t>
        </is>
      </c>
      <c r="E397" t="inlineStr">
        <is>
          <t>BORÅS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58339-2025</t>
        </is>
      </c>
      <c r="B398" s="1" t="n">
        <v>45985.49490740741</v>
      </c>
      <c r="C398" s="1" t="n">
        <v>46131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3008-2025</t>
        </is>
      </c>
      <c r="B399" s="1" t="n">
        <v>45678</v>
      </c>
      <c r="C399" s="1" t="n">
        <v>46131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28002-2023</t>
        </is>
      </c>
      <c r="B400" s="1" t="n">
        <v>45098</v>
      </c>
      <c r="C400" s="1" t="n">
        <v>46131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59247-2025</t>
        </is>
      </c>
      <c r="B401" s="1" t="n">
        <v>45988.64767361111</v>
      </c>
      <c r="C401" s="1" t="n">
        <v>46131</v>
      </c>
      <c r="D401" t="inlineStr">
        <is>
          <t>VÄSTRA GÖTALANDS LÄN</t>
        </is>
      </c>
      <c r="E401" t="inlineStr">
        <is>
          <t>BORÅS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20464-2025</t>
        </is>
      </c>
      <c r="B402" s="1" t="n">
        <v>45775</v>
      </c>
      <c r="C402" s="1" t="n">
        <v>46131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59831-2025</t>
        </is>
      </c>
      <c r="B403" s="1" t="n">
        <v>45992.65892361111</v>
      </c>
      <c r="C403" s="1" t="n">
        <v>46131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59392-2025</t>
        </is>
      </c>
      <c r="B404" s="1" t="n">
        <v>45989.47251157407</v>
      </c>
      <c r="C404" s="1" t="n">
        <v>46131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31943-2024</t>
        </is>
      </c>
      <c r="B405" s="1" t="n">
        <v>45510</v>
      </c>
      <c r="C405" s="1" t="n">
        <v>46131</v>
      </c>
      <c r="D405" t="inlineStr">
        <is>
          <t>VÄSTRA GÖTALANDS LÄN</t>
        </is>
      </c>
      <c r="E405" t="inlineStr">
        <is>
          <t>BORÅS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58769-2025</t>
        </is>
      </c>
      <c r="B406" s="1" t="n">
        <v>45985</v>
      </c>
      <c r="C406" s="1" t="n">
        <v>46131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41838-2023</t>
        </is>
      </c>
      <c r="B407" s="1" t="n">
        <v>45176.60104166667</v>
      </c>
      <c r="C407" s="1" t="n">
        <v>46131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12024-2025</t>
        </is>
      </c>
      <c r="B408" s="1" t="n">
        <v>45728.63600694444</v>
      </c>
      <c r="C408" s="1" t="n">
        <v>46131</v>
      </c>
      <c r="D408" t="inlineStr">
        <is>
          <t>VÄSTRA GÖTALANDS LÄN</t>
        </is>
      </c>
      <c r="E408" t="inlineStr">
        <is>
          <t>BORÅS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1885-2025</t>
        </is>
      </c>
      <c r="B409" s="1" t="n">
        <v>45671.63178240741</v>
      </c>
      <c r="C409" s="1" t="n">
        <v>46131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60195-2025</t>
        </is>
      </c>
      <c r="B410" s="1" t="n">
        <v>45994.48487268519</v>
      </c>
      <c r="C410" s="1" t="n">
        <v>46131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60204-2025</t>
        </is>
      </c>
      <c r="B411" s="1" t="n">
        <v>45994.49568287037</v>
      </c>
      <c r="C411" s="1" t="n">
        <v>46131</v>
      </c>
      <c r="D411" t="inlineStr">
        <is>
          <t>VÄSTRA GÖTALANDS LÄN</t>
        </is>
      </c>
      <c r="E411" t="inlineStr">
        <is>
          <t>BORÅS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62162-2023</t>
        </is>
      </c>
      <c r="B412" s="1" t="n">
        <v>45267.40234953703</v>
      </c>
      <c r="C412" s="1" t="n">
        <v>46131</v>
      </c>
      <c r="D412" t="inlineStr">
        <is>
          <t>VÄSTRA GÖTALANDS LÄN</t>
        </is>
      </c>
      <c r="E412" t="inlineStr">
        <is>
          <t>BORÅS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41778-2023</t>
        </is>
      </c>
      <c r="B413" s="1" t="n">
        <v>45176.47136574074</v>
      </c>
      <c r="C413" s="1" t="n">
        <v>46131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38674-2024</t>
        </is>
      </c>
      <c r="B414" s="1" t="n">
        <v>45547.33179398148</v>
      </c>
      <c r="C414" s="1" t="n">
        <v>46131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60617-2025</t>
        </is>
      </c>
      <c r="B415" s="1" t="n">
        <v>45996.37564814815</v>
      </c>
      <c r="C415" s="1" t="n">
        <v>46131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34195-2025</t>
        </is>
      </c>
      <c r="B416" s="1" t="n">
        <v>45845</v>
      </c>
      <c r="C416" s="1" t="n">
        <v>46131</v>
      </c>
      <c r="D416" t="inlineStr">
        <is>
          <t>VÄSTRA GÖTALANDS LÄN</t>
        </is>
      </c>
      <c r="E416" t="inlineStr">
        <is>
          <t>BORÅS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26833-2023</t>
        </is>
      </c>
      <c r="B417" s="1" t="n">
        <v>45093</v>
      </c>
      <c r="C417" s="1" t="n">
        <v>46131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63169-2023</t>
        </is>
      </c>
      <c r="B418" s="1" t="n">
        <v>45273.56533564815</v>
      </c>
      <c r="C418" s="1" t="n">
        <v>46131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30861-2023</t>
        </is>
      </c>
      <c r="B419" s="1" t="n">
        <v>45113.25549768518</v>
      </c>
      <c r="C419" s="1" t="n">
        <v>46131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47262-2023</t>
        </is>
      </c>
      <c r="B420" s="1" t="n">
        <v>45202</v>
      </c>
      <c r="C420" s="1" t="n">
        <v>46131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52827-2021</t>
        </is>
      </c>
      <c r="B421" s="1" t="n">
        <v>44467</v>
      </c>
      <c r="C421" s="1" t="n">
        <v>46131</v>
      </c>
      <c r="D421" t="inlineStr">
        <is>
          <t>VÄSTRA GÖTALANDS LÄN</t>
        </is>
      </c>
      <c r="E421" t="inlineStr">
        <is>
          <t>BORÅS</t>
        </is>
      </c>
      <c r="G421" t="n">
        <v>19.4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46382-2023</t>
        </is>
      </c>
      <c r="B422" s="1" t="n">
        <v>45197.4696412037</v>
      </c>
      <c r="C422" s="1" t="n">
        <v>46131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2284-2025</t>
        </is>
      </c>
      <c r="B423" s="1" t="n">
        <v>45673.57069444445</v>
      </c>
      <c r="C423" s="1" t="n">
        <v>46131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19862-2023</t>
        </is>
      </c>
      <c r="B424" s="1" t="n">
        <v>45053.91832175926</v>
      </c>
      <c r="C424" s="1" t="n">
        <v>46131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40118-2023</t>
        </is>
      </c>
      <c r="B425" s="1" t="n">
        <v>45168.94686342592</v>
      </c>
      <c r="C425" s="1" t="n">
        <v>46131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864-2022</t>
        </is>
      </c>
      <c r="B426" s="1" t="n">
        <v>44571.43929398148</v>
      </c>
      <c r="C426" s="1" t="n">
        <v>46131</v>
      </c>
      <c r="D426" t="inlineStr">
        <is>
          <t>VÄSTRA GÖTALANDS LÄN</t>
        </is>
      </c>
      <c r="E426" t="inlineStr">
        <is>
          <t>BORÅS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62645-2025</t>
        </is>
      </c>
      <c r="B427" s="1" t="n">
        <v>46008.39219907407</v>
      </c>
      <c r="C427" s="1" t="n">
        <v>46131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49150-2023</t>
        </is>
      </c>
      <c r="B428" s="1" t="n">
        <v>45210.50472222222</v>
      </c>
      <c r="C428" s="1" t="n">
        <v>46131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62692-2025</t>
        </is>
      </c>
      <c r="B429" s="1" t="n">
        <v>46008.48265046296</v>
      </c>
      <c r="C429" s="1" t="n">
        <v>46131</v>
      </c>
      <c r="D429" t="inlineStr">
        <is>
          <t>VÄSTRA GÖTALANDS LÄN</t>
        </is>
      </c>
      <c r="E429" t="inlineStr">
        <is>
          <t>BORÅS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62850-2025</t>
        </is>
      </c>
      <c r="B430" s="1" t="n">
        <v>46008.70103009259</v>
      </c>
      <c r="C430" s="1" t="n">
        <v>46131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50024-2024</t>
        </is>
      </c>
      <c r="B431" s="1" t="n">
        <v>45599.53886574074</v>
      </c>
      <c r="C431" s="1" t="n">
        <v>46131</v>
      </c>
      <c r="D431" t="inlineStr">
        <is>
          <t>VÄSTRA GÖTALANDS LÄN</t>
        </is>
      </c>
      <c r="E431" t="inlineStr">
        <is>
          <t>BORÅS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24852-2023</t>
        </is>
      </c>
      <c r="B432" s="1" t="n">
        <v>45085.35982638889</v>
      </c>
      <c r="C432" s="1" t="n">
        <v>46131</v>
      </c>
      <c r="D432" t="inlineStr">
        <is>
          <t>VÄSTRA GÖTALANDS LÄN</t>
        </is>
      </c>
      <c r="E432" t="inlineStr">
        <is>
          <t>BORÅS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36781-2024</t>
        </is>
      </c>
      <c r="B433" s="1" t="n">
        <v>45538.42341435186</v>
      </c>
      <c r="C433" s="1" t="n">
        <v>46131</v>
      </c>
      <c r="D433" t="inlineStr">
        <is>
          <t>VÄSTRA GÖTALANDS LÄN</t>
        </is>
      </c>
      <c r="E433" t="inlineStr">
        <is>
          <t>BORÅS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18937-2023</t>
        </is>
      </c>
      <c r="B434" s="1" t="n">
        <v>45044.62524305555</v>
      </c>
      <c r="C434" s="1" t="n">
        <v>46131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51411-2024</t>
        </is>
      </c>
      <c r="B435" s="1" t="n">
        <v>45604</v>
      </c>
      <c r="C435" s="1" t="n">
        <v>46131</v>
      </c>
      <c r="D435" t="inlineStr">
        <is>
          <t>VÄSTRA GÖTALANDS LÄN</t>
        </is>
      </c>
      <c r="E435" t="inlineStr">
        <is>
          <t>BORÅS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57670-2022</t>
        </is>
      </c>
      <c r="B436" s="1" t="n">
        <v>44897.45479166666</v>
      </c>
      <c r="C436" s="1" t="n">
        <v>46131</v>
      </c>
      <c r="D436" t="inlineStr">
        <is>
          <t>VÄSTRA GÖTALANDS LÄN</t>
        </is>
      </c>
      <c r="E436" t="inlineStr">
        <is>
          <t>BORÅS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1786-2025</t>
        </is>
      </c>
      <c r="B437" s="1" t="n">
        <v>45670</v>
      </c>
      <c r="C437" s="1" t="n">
        <v>46131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4757-2025</t>
        </is>
      </c>
      <c r="B438" s="1" t="n">
        <v>45688.47015046296</v>
      </c>
      <c r="C438" s="1" t="n">
        <v>46131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6256-2025</t>
        </is>
      </c>
      <c r="B439" s="1" t="n">
        <v>45698.59190972222</v>
      </c>
      <c r="C439" s="1" t="n">
        <v>46131</v>
      </c>
      <c r="D439" t="inlineStr">
        <is>
          <t>VÄSTRA GÖTALANDS LÄN</t>
        </is>
      </c>
      <c r="E439" t="inlineStr">
        <is>
          <t>BORÅS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61453-2024</t>
        </is>
      </c>
      <c r="B440" s="1" t="n">
        <v>45646.49038194444</v>
      </c>
      <c r="C440" s="1" t="n">
        <v>46131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8629-2025</t>
        </is>
      </c>
      <c r="B441" s="1" t="n">
        <v>45711.66600694445</v>
      </c>
      <c r="C441" s="1" t="n">
        <v>46131</v>
      </c>
      <c r="D441" t="inlineStr">
        <is>
          <t>VÄSTRA GÖTALANDS LÄN</t>
        </is>
      </c>
      <c r="E441" t="inlineStr">
        <is>
          <t>BORÅS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53930-2024</t>
        </is>
      </c>
      <c r="B442" s="1" t="n">
        <v>45615</v>
      </c>
      <c r="C442" s="1" t="n">
        <v>46131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49477-2023</t>
        </is>
      </c>
      <c r="B443" s="1" t="n">
        <v>45211</v>
      </c>
      <c r="C443" s="1" t="n">
        <v>46131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12512-2025</t>
        </is>
      </c>
      <c r="B444" s="1" t="n">
        <v>45730.64863425926</v>
      </c>
      <c r="C444" s="1" t="n">
        <v>46131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27146-2023</t>
        </is>
      </c>
      <c r="B445" s="1" t="n">
        <v>45096</v>
      </c>
      <c r="C445" s="1" t="n">
        <v>46131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4362-2022</t>
        </is>
      </c>
      <c r="B446" s="1" t="n">
        <v>44589</v>
      </c>
      <c r="C446" s="1" t="n">
        <v>46131</v>
      </c>
      <c r="D446" t="inlineStr">
        <is>
          <t>VÄSTRA GÖTALANDS LÄN</t>
        </is>
      </c>
      <c r="E446" t="inlineStr">
        <is>
          <t>BORÅS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59512-2024</t>
        </is>
      </c>
      <c r="B447" s="1" t="n">
        <v>45638.55909722222</v>
      </c>
      <c r="C447" s="1" t="n">
        <v>46131</v>
      </c>
      <c r="D447" t="inlineStr">
        <is>
          <t>VÄSTRA GÖTALANDS LÄN</t>
        </is>
      </c>
      <c r="E447" t="inlineStr">
        <is>
          <t>BORÅS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7095-2025</t>
        </is>
      </c>
      <c r="B448" s="1" t="n">
        <v>45701.7716087963</v>
      </c>
      <c r="C448" s="1" t="n">
        <v>46131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9088-2025</t>
        </is>
      </c>
      <c r="B449" s="1" t="n">
        <v>45713</v>
      </c>
      <c r="C449" s="1" t="n">
        <v>46131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9096-2025</t>
        </is>
      </c>
      <c r="B450" s="1" t="n">
        <v>45713.68238425926</v>
      </c>
      <c r="C450" s="1" t="n">
        <v>46131</v>
      </c>
      <c r="D450" t="inlineStr">
        <is>
          <t>VÄSTRA GÖTALANDS LÄN</t>
        </is>
      </c>
      <c r="E450" t="inlineStr">
        <is>
          <t>BORÅS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9529-2025</t>
        </is>
      </c>
      <c r="B451" s="1" t="n">
        <v>45715.56778935185</v>
      </c>
      <c r="C451" s="1" t="n">
        <v>46131</v>
      </c>
      <c r="D451" t="inlineStr">
        <is>
          <t>VÄSTRA GÖTALANDS LÄN</t>
        </is>
      </c>
      <c r="E451" t="inlineStr">
        <is>
          <t>BORÅS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4943-2025</t>
        </is>
      </c>
      <c r="B452" s="1" t="n">
        <v>45688.77064814815</v>
      </c>
      <c r="C452" s="1" t="n">
        <v>46131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6374-2025</t>
        </is>
      </c>
      <c r="B453" s="1" t="n">
        <v>45699.40152777778</v>
      </c>
      <c r="C453" s="1" t="n">
        <v>46131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44896.43377314815</v>
      </c>
      <c r="C454" s="1" t="n">
        <v>46131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50359-2023</t>
        </is>
      </c>
      <c r="B455" s="1" t="n">
        <v>45216</v>
      </c>
      <c r="C455" s="1" t="n">
        <v>46131</v>
      </c>
      <c r="D455" t="inlineStr">
        <is>
          <t>VÄSTRA GÖTALANDS LÄN</t>
        </is>
      </c>
      <c r="E455" t="inlineStr">
        <is>
          <t>BORÅS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6379-2025</t>
        </is>
      </c>
      <c r="B456" s="1" t="n">
        <v>45699.41542824074</v>
      </c>
      <c r="C456" s="1" t="n">
        <v>46131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6659-2025</t>
        </is>
      </c>
      <c r="B457" s="1" t="n">
        <v>45700</v>
      </c>
      <c r="C457" s="1" t="n">
        <v>46131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7092-2025</t>
        </is>
      </c>
      <c r="B458" s="1" t="n">
        <v>45701.76197916667</v>
      </c>
      <c r="C458" s="1" t="n">
        <v>46131</v>
      </c>
      <c r="D458" t="inlineStr">
        <is>
          <t>VÄSTRA GÖTALANDS LÄN</t>
        </is>
      </c>
      <c r="E458" t="inlineStr">
        <is>
          <t>BORÅS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7115-2025</t>
        </is>
      </c>
      <c r="B459" s="1" t="n">
        <v>45702</v>
      </c>
      <c r="C459" s="1" t="n">
        <v>46131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30078-2023</t>
        </is>
      </c>
      <c r="B460" s="1" t="n">
        <v>45110.43325231481</v>
      </c>
      <c r="C460" s="1" t="n">
        <v>46131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19852-2025</t>
        </is>
      </c>
      <c r="B461" s="1" t="n">
        <v>45771.49827546296</v>
      </c>
      <c r="C461" s="1" t="n">
        <v>46131</v>
      </c>
      <c r="D461" t="inlineStr">
        <is>
          <t>VÄSTRA GÖTALANDS LÄN</t>
        </is>
      </c>
      <c r="E461" t="inlineStr">
        <is>
          <t>BORÅS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50382-2022</t>
        </is>
      </c>
      <c r="B462" s="1" t="n">
        <v>44866</v>
      </c>
      <c r="C462" s="1" t="n">
        <v>46131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11770-2025</t>
        </is>
      </c>
      <c r="B463" s="1" t="n">
        <v>45727.68160879629</v>
      </c>
      <c r="C463" s="1" t="n">
        <v>46131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27465-2023</t>
        </is>
      </c>
      <c r="B464" s="1" t="n">
        <v>45097</v>
      </c>
      <c r="C464" s="1" t="n">
        <v>46131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19537-2025</t>
        </is>
      </c>
      <c r="B465" s="1" t="n">
        <v>45770.4802662037</v>
      </c>
      <c r="C465" s="1" t="n">
        <v>46131</v>
      </c>
      <c r="D465" t="inlineStr">
        <is>
          <t>VÄSTRA GÖTALANDS LÄN</t>
        </is>
      </c>
      <c r="E465" t="inlineStr">
        <is>
          <t>BORÅS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19547-2025</t>
        </is>
      </c>
      <c r="B466" s="1" t="n">
        <v>45770.49056712963</v>
      </c>
      <c r="C466" s="1" t="n">
        <v>46131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180-2024</t>
        </is>
      </c>
      <c r="B467" s="1" t="n">
        <v>45294</v>
      </c>
      <c r="C467" s="1" t="n">
        <v>46131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58771-2021</t>
        </is>
      </c>
      <c r="B468" s="1" t="n">
        <v>44489.54841435186</v>
      </c>
      <c r="C468" s="1" t="n">
        <v>46131</v>
      </c>
      <c r="D468" t="inlineStr">
        <is>
          <t>VÄSTRA GÖTALANDS LÄN</t>
        </is>
      </c>
      <c r="E468" t="inlineStr">
        <is>
          <t>BORÅS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3719-2024</t>
        </is>
      </c>
      <c r="B469" s="1" t="n">
        <v>45321</v>
      </c>
      <c r="C469" s="1" t="n">
        <v>46131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196-2024</t>
        </is>
      </c>
      <c r="B470" s="1" t="n">
        <v>45294</v>
      </c>
      <c r="C470" s="1" t="n">
        <v>46131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29854-2023</t>
        </is>
      </c>
      <c r="B471" s="1" t="n">
        <v>45099</v>
      </c>
      <c r="C471" s="1" t="n">
        <v>46131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72566-2021</t>
        </is>
      </c>
      <c r="B472" s="1" t="n">
        <v>44546.44887731481</v>
      </c>
      <c r="C472" s="1" t="n">
        <v>46131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47624-2021</t>
        </is>
      </c>
      <c r="B473" s="1" t="n">
        <v>44448</v>
      </c>
      <c r="C473" s="1" t="n">
        <v>46131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12388-2024</t>
        </is>
      </c>
      <c r="B474" s="1" t="n">
        <v>45379.33895833333</v>
      </c>
      <c r="C474" s="1" t="n">
        <v>46131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1887-2026</t>
        </is>
      </c>
      <c r="B475" s="1" t="n">
        <v>46035.48997685185</v>
      </c>
      <c r="C475" s="1" t="n">
        <v>46131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32454-2023</t>
        </is>
      </c>
      <c r="B476" s="1" t="n">
        <v>45120</v>
      </c>
      <c r="C476" s="1" t="n">
        <v>46131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32472-2023</t>
        </is>
      </c>
      <c r="B477" s="1" t="n">
        <v>45120.93417824074</v>
      </c>
      <c r="C477" s="1" t="n">
        <v>46131</v>
      </c>
      <c r="D477" t="inlineStr">
        <is>
          <t>VÄSTRA GÖTALANDS LÄN</t>
        </is>
      </c>
      <c r="E477" t="inlineStr">
        <is>
          <t>BORÅS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32482-2023</t>
        </is>
      </c>
      <c r="B478" s="1" t="n">
        <v>45120</v>
      </c>
      <c r="C478" s="1" t="n">
        <v>46131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2198-2026</t>
        </is>
      </c>
      <c r="B479" s="1" t="n">
        <v>46036.47381944444</v>
      </c>
      <c r="C479" s="1" t="n">
        <v>46131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2200-2026</t>
        </is>
      </c>
      <c r="B480" s="1" t="n">
        <v>46036.47501157408</v>
      </c>
      <c r="C480" s="1" t="n">
        <v>46131</v>
      </c>
      <c r="D480" t="inlineStr">
        <is>
          <t>VÄSTRA GÖTALANDS LÄN</t>
        </is>
      </c>
      <c r="E480" t="inlineStr">
        <is>
          <t>BORÅS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6203-2024</t>
        </is>
      </c>
      <c r="B481" s="1" t="n">
        <v>45337</v>
      </c>
      <c r="C481" s="1" t="n">
        <v>46131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32450-2023</t>
        </is>
      </c>
      <c r="B482" s="1" t="n">
        <v>45120</v>
      </c>
      <c r="C482" s="1" t="n">
        <v>46131</v>
      </c>
      <c r="D482" t="inlineStr">
        <is>
          <t>VÄSTRA GÖTALANDS LÄN</t>
        </is>
      </c>
      <c r="E482" t="inlineStr">
        <is>
          <t>BORÅS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5039-2024</t>
        </is>
      </c>
      <c r="B483" s="1" t="n">
        <v>45329.88466435186</v>
      </c>
      <c r="C483" s="1" t="n">
        <v>46131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62773-2023</t>
        </is>
      </c>
      <c r="B484" s="1" t="n">
        <v>45271</v>
      </c>
      <c r="C484" s="1" t="n">
        <v>46131</v>
      </c>
      <c r="D484" t="inlineStr">
        <is>
          <t>VÄSTRA GÖTALANDS LÄN</t>
        </is>
      </c>
      <c r="E484" t="inlineStr">
        <is>
          <t>BORÅS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20062-2025</t>
        </is>
      </c>
      <c r="B485" s="1" t="n">
        <v>45772.42921296296</v>
      </c>
      <c r="C485" s="1" t="n">
        <v>46131</v>
      </c>
      <c r="D485" t="inlineStr">
        <is>
          <t>VÄSTRA GÖTALANDS LÄN</t>
        </is>
      </c>
      <c r="E485" t="inlineStr">
        <is>
          <t>BORÅS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2516-2026</t>
        </is>
      </c>
      <c r="B486" s="1" t="n">
        <v>46037.42465277778</v>
      </c>
      <c r="C486" s="1" t="n">
        <v>46131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25165-2024</t>
        </is>
      </c>
      <c r="B487" s="1" t="n">
        <v>45462.53766203704</v>
      </c>
      <c r="C487" s="1" t="n">
        <v>46131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21331-2023</t>
        </is>
      </c>
      <c r="B488" s="1" t="n">
        <v>45062</v>
      </c>
      <c r="C488" s="1" t="n">
        <v>46131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2530-2026</t>
        </is>
      </c>
      <c r="B489" s="1" t="n">
        <v>46037.44241898148</v>
      </c>
      <c r="C489" s="1" t="n">
        <v>46131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38355-2024</t>
        </is>
      </c>
      <c r="B490" s="1" t="n">
        <v>45545.75199074074</v>
      </c>
      <c r="C490" s="1" t="n">
        <v>46131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178-2024</t>
        </is>
      </c>
      <c r="B491" s="1" t="n">
        <v>45294</v>
      </c>
      <c r="C491" s="1" t="n">
        <v>46131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55959-2022</t>
        </is>
      </c>
      <c r="B492" s="1" t="n">
        <v>44889.42746527777</v>
      </c>
      <c r="C492" s="1" t="n">
        <v>46131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Kyrkan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3270-2026</t>
        </is>
      </c>
      <c r="B493" s="1" t="n">
        <v>46041.606875</v>
      </c>
      <c r="C493" s="1" t="n">
        <v>46131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4041-2026</t>
        </is>
      </c>
      <c r="B494" s="1" t="n">
        <v>46044.46568287037</v>
      </c>
      <c r="C494" s="1" t="n">
        <v>46131</v>
      </c>
      <c r="D494" t="inlineStr">
        <is>
          <t>VÄSTRA GÖTALANDS LÄN</t>
        </is>
      </c>
      <c r="E494" t="inlineStr">
        <is>
          <t>BORÅS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7624-2024</t>
        </is>
      </c>
      <c r="B495" s="1" t="n">
        <v>45348.60578703704</v>
      </c>
      <c r="C495" s="1" t="n">
        <v>46131</v>
      </c>
      <c r="D495" t="inlineStr">
        <is>
          <t>VÄSTRA GÖTALANDS LÄN</t>
        </is>
      </c>
      <c r="E495" t="inlineStr">
        <is>
          <t>BORÅS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3607-2026</t>
        </is>
      </c>
      <c r="B496" s="1" t="n">
        <v>46042.88488425926</v>
      </c>
      <c r="C496" s="1" t="n">
        <v>46131</v>
      </c>
      <c r="D496" t="inlineStr">
        <is>
          <t>VÄSTRA GÖTALANDS LÄN</t>
        </is>
      </c>
      <c r="E496" t="inlineStr">
        <is>
          <t>BORÅS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32473-2023</t>
        </is>
      </c>
      <c r="B497" s="1" t="n">
        <v>45120</v>
      </c>
      <c r="C497" s="1" t="n">
        <v>46131</v>
      </c>
      <c r="D497" t="inlineStr">
        <is>
          <t>VÄSTRA GÖTALANDS LÄN</t>
        </is>
      </c>
      <c r="E497" t="inlineStr">
        <is>
          <t>BORÅS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3103-2024</t>
        </is>
      </c>
      <c r="B498" s="1" t="n">
        <v>45316</v>
      </c>
      <c r="C498" s="1" t="n">
        <v>46131</v>
      </c>
      <c r="D498" t="inlineStr">
        <is>
          <t>VÄSTRA GÖTALANDS LÄN</t>
        </is>
      </c>
      <c r="E498" t="inlineStr">
        <is>
          <t>BORÅS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72582-2021</t>
        </is>
      </c>
      <c r="B499" s="1" t="n">
        <v>44546.4675462963</v>
      </c>
      <c r="C499" s="1" t="n">
        <v>46131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59217-2024</t>
        </is>
      </c>
      <c r="B500" s="1" t="n">
        <v>45637</v>
      </c>
      <c r="C500" s="1" t="n">
        <v>46131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48504-2024</t>
        </is>
      </c>
      <c r="B501" s="1" t="n">
        <v>45593.24111111111</v>
      </c>
      <c r="C501" s="1" t="n">
        <v>46131</v>
      </c>
      <c r="D501" t="inlineStr">
        <is>
          <t>VÄSTRA GÖTALANDS LÄN</t>
        </is>
      </c>
      <c r="E501" t="inlineStr">
        <is>
          <t>BORÅS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38509-2023</t>
        </is>
      </c>
      <c r="B502" s="1" t="n">
        <v>45162.51400462963</v>
      </c>
      <c r="C502" s="1" t="n">
        <v>46131</v>
      </c>
      <c r="D502" t="inlineStr">
        <is>
          <t>VÄSTRA GÖTALANDS LÄN</t>
        </is>
      </c>
      <c r="E502" t="inlineStr">
        <is>
          <t>BORÅS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12635-2026</t>
        </is>
      </c>
      <c r="B503" s="1" t="n">
        <v>46091</v>
      </c>
      <c r="C503" s="1" t="n">
        <v>46131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53125-2024</t>
        </is>
      </c>
      <c r="B504" s="1" t="n">
        <v>45611.5891550926</v>
      </c>
      <c r="C504" s="1" t="n">
        <v>46131</v>
      </c>
      <c r="D504" t="inlineStr">
        <is>
          <t>VÄSTRA GÖTALANDS LÄN</t>
        </is>
      </c>
      <c r="E504" t="inlineStr">
        <is>
          <t>BORÅS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63618-2023</t>
        </is>
      </c>
      <c r="B505" s="1" t="n">
        <v>45275</v>
      </c>
      <c r="C505" s="1" t="n">
        <v>46131</v>
      </c>
      <c r="D505" t="inlineStr">
        <is>
          <t>VÄSTRA GÖTALANDS LÄN</t>
        </is>
      </c>
      <c r="E505" t="inlineStr">
        <is>
          <t>BORÅS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13956-2024</t>
        </is>
      </c>
      <c r="B506" s="1" t="n">
        <v>45392.32475694444</v>
      </c>
      <c r="C506" s="1" t="n">
        <v>46131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42117-2024</t>
        </is>
      </c>
      <c r="B507" s="1" t="n">
        <v>45562.38952546296</v>
      </c>
      <c r="C507" s="1" t="n">
        <v>46131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8240-2022</t>
        </is>
      </c>
      <c r="B508" s="1" t="n">
        <v>44609</v>
      </c>
      <c r="C508" s="1" t="n">
        <v>46131</v>
      </c>
      <c r="D508" t="inlineStr">
        <is>
          <t>VÄSTRA GÖTALANDS LÄN</t>
        </is>
      </c>
      <c r="E508" t="inlineStr">
        <is>
          <t>BORÅS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1514-2025</t>
        </is>
      </c>
      <c r="B509" s="1" t="n">
        <v>45670.45423611111</v>
      </c>
      <c r="C509" s="1" t="n">
        <v>46131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37122-2023</t>
        </is>
      </c>
      <c r="B510" s="1" t="n">
        <v>45155</v>
      </c>
      <c r="C510" s="1" t="n">
        <v>46131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65064-2021</t>
        </is>
      </c>
      <c r="B511" s="1" t="n">
        <v>44515</v>
      </c>
      <c r="C511" s="1" t="n">
        <v>46131</v>
      </c>
      <c r="D511" t="inlineStr">
        <is>
          <t>VÄSTRA GÖTALANDS LÄN</t>
        </is>
      </c>
      <c r="E511" t="inlineStr">
        <is>
          <t>BORÅS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32237-2023</t>
        </is>
      </c>
      <c r="B512" s="1" t="n">
        <v>45119</v>
      </c>
      <c r="C512" s="1" t="n">
        <v>46131</v>
      </c>
      <c r="D512" t="inlineStr">
        <is>
          <t>VÄSTRA GÖTALANDS LÄN</t>
        </is>
      </c>
      <c r="E512" t="inlineStr">
        <is>
          <t>BORÅS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57429-2024</t>
        </is>
      </c>
      <c r="B513" s="1" t="n">
        <v>45629.84033564815</v>
      </c>
      <c r="C513" s="1" t="n">
        <v>46131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50692-2023</t>
        </is>
      </c>
      <c r="B514" s="1" t="n">
        <v>45217.54106481482</v>
      </c>
      <c r="C514" s="1" t="n">
        <v>46131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57592-2024</t>
        </is>
      </c>
      <c r="B515" s="1" t="n">
        <v>45630</v>
      </c>
      <c r="C515" s="1" t="n">
        <v>46131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33140-2023</t>
        </is>
      </c>
      <c r="B516" s="1" t="n">
        <v>45126</v>
      </c>
      <c r="C516" s="1" t="n">
        <v>46131</v>
      </c>
      <c r="D516" t="inlineStr">
        <is>
          <t>VÄSTRA GÖTALANDS LÄN</t>
        </is>
      </c>
      <c r="E516" t="inlineStr">
        <is>
          <t>BORÅS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46134-2023</t>
        </is>
      </c>
      <c r="B517" s="1" t="n">
        <v>45196</v>
      </c>
      <c r="C517" s="1" t="n">
        <v>46131</v>
      </c>
      <c r="D517" t="inlineStr">
        <is>
          <t>VÄSTRA GÖTALANDS LÄN</t>
        </is>
      </c>
      <c r="E517" t="inlineStr">
        <is>
          <t>BORÅS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14275-2026</t>
        </is>
      </c>
      <c r="B518" s="1" t="n">
        <v>46099.65996527778</v>
      </c>
      <c r="C518" s="1" t="n">
        <v>46131</v>
      </c>
      <c r="D518" t="inlineStr">
        <is>
          <t>VÄSTRA GÖTALANDS LÄN</t>
        </is>
      </c>
      <c r="E518" t="inlineStr">
        <is>
          <t>BORÅS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72806-2021</t>
        </is>
      </c>
      <c r="B519" s="1" t="n">
        <v>44547.38486111111</v>
      </c>
      <c r="C519" s="1" t="n">
        <v>46131</v>
      </c>
      <c r="D519" t="inlineStr">
        <is>
          <t>VÄSTRA GÖTALANDS LÄN</t>
        </is>
      </c>
      <c r="E519" t="inlineStr">
        <is>
          <t>BORÅS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9056-2024</t>
        </is>
      </c>
      <c r="B520" s="1" t="n">
        <v>45357.68982638889</v>
      </c>
      <c r="C520" s="1" t="n">
        <v>46131</v>
      </c>
      <c r="D520" t="inlineStr">
        <is>
          <t>VÄSTRA GÖTALANDS LÄN</t>
        </is>
      </c>
      <c r="E520" t="inlineStr">
        <is>
          <t>BORÅS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19936-2023</t>
        </is>
      </c>
      <c r="B521" s="1" t="n">
        <v>45054</v>
      </c>
      <c r="C521" s="1" t="n">
        <v>46131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58000-2024</t>
        </is>
      </c>
      <c r="B522" s="1" t="n">
        <v>45631</v>
      </c>
      <c r="C522" s="1" t="n">
        <v>46131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14230-2026</t>
        </is>
      </c>
      <c r="B523" s="1" t="n">
        <v>46099.58790509259</v>
      </c>
      <c r="C523" s="1" t="n">
        <v>46131</v>
      </c>
      <c r="D523" t="inlineStr">
        <is>
          <t>VÄSTRA GÖTALANDS LÄN</t>
        </is>
      </c>
      <c r="E523" t="inlineStr">
        <is>
          <t>BORÅS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1800-2025</t>
        </is>
      </c>
      <c r="B524" s="1" t="n">
        <v>45671.46813657408</v>
      </c>
      <c r="C524" s="1" t="n">
        <v>46131</v>
      </c>
      <c r="D524" t="inlineStr">
        <is>
          <t>VÄSTRA GÖTALANDS LÄN</t>
        </is>
      </c>
      <c r="E524" t="inlineStr">
        <is>
          <t>BORÅS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7361-2026</t>
        </is>
      </c>
      <c r="B525" s="1" t="n">
        <v>46059.30708333333</v>
      </c>
      <c r="C525" s="1" t="n">
        <v>46131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13107-2022</t>
        </is>
      </c>
      <c r="B526" s="1" t="n">
        <v>44644</v>
      </c>
      <c r="C526" s="1" t="n">
        <v>46131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8097-2024</t>
        </is>
      </c>
      <c r="B527" s="1" t="n">
        <v>45351.45969907408</v>
      </c>
      <c r="C527" s="1" t="n">
        <v>46131</v>
      </c>
      <c r="D527" t="inlineStr">
        <is>
          <t>VÄSTRA GÖTALANDS LÄN</t>
        </is>
      </c>
      <c r="E527" t="inlineStr">
        <is>
          <t>BORÅS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27335-2024</t>
        </is>
      </c>
      <c r="B528" s="1" t="n">
        <v>45472.88256944445</v>
      </c>
      <c r="C528" s="1" t="n">
        <v>46131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14913-2026</t>
        </is>
      </c>
      <c r="B529" s="1" t="n">
        <v>46104.46909722222</v>
      </c>
      <c r="C529" s="1" t="n">
        <v>46131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45618-2024</t>
        </is>
      </c>
      <c r="B530" s="1" t="n">
        <v>45579.45614583333</v>
      </c>
      <c r="C530" s="1" t="n">
        <v>46131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12516-2026</t>
        </is>
      </c>
      <c r="B531" s="1" t="n">
        <v>46090.58697916667</v>
      </c>
      <c r="C531" s="1" t="n">
        <v>46131</v>
      </c>
      <c r="D531" t="inlineStr">
        <is>
          <t>VÄSTRA GÖTALANDS LÄN</t>
        </is>
      </c>
      <c r="E531" t="inlineStr">
        <is>
          <t>BORÅS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32051-2023</t>
        </is>
      </c>
      <c r="B532" s="1" t="n">
        <v>45119.55572916667</v>
      </c>
      <c r="C532" s="1" t="n">
        <v>46131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19691-2024</t>
        </is>
      </c>
      <c r="B533" s="1" t="n">
        <v>45432</v>
      </c>
      <c r="C533" s="1" t="n">
        <v>46131</v>
      </c>
      <c r="D533" t="inlineStr">
        <is>
          <t>VÄSTRA GÖTALANDS LÄN</t>
        </is>
      </c>
      <c r="E533" t="inlineStr">
        <is>
          <t>BORÅS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12584-2022</t>
        </is>
      </c>
      <c r="B534" s="1" t="n">
        <v>44639.43059027778</v>
      </c>
      <c r="C534" s="1" t="n">
        <v>46131</v>
      </c>
      <c r="D534" t="inlineStr">
        <is>
          <t>VÄSTRA GÖTALANDS LÄN</t>
        </is>
      </c>
      <c r="E534" t="inlineStr">
        <is>
          <t>BORÅS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3021-2024</t>
        </is>
      </c>
      <c r="B535" s="1" t="n">
        <v>45316.24631944444</v>
      </c>
      <c r="C535" s="1" t="n">
        <v>46131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3728-2024</t>
        </is>
      </c>
      <c r="B536" s="1" t="n">
        <v>45321</v>
      </c>
      <c r="C536" s="1" t="n">
        <v>46131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46158-2023</t>
        </is>
      </c>
      <c r="B537" s="1" t="n">
        <v>45196</v>
      </c>
      <c r="C537" s="1" t="n">
        <v>46131</v>
      </c>
      <c r="D537" t="inlineStr">
        <is>
          <t>VÄSTRA GÖTALANDS LÄN</t>
        </is>
      </c>
      <c r="E537" t="inlineStr">
        <is>
          <t>BORÅS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217-2022</t>
        </is>
      </c>
      <c r="B538" s="1" t="n">
        <v>44564.85040509259</v>
      </c>
      <c r="C538" s="1" t="n">
        <v>46131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44879-2023</t>
        </is>
      </c>
      <c r="B539" s="1" t="n">
        <v>45190.60921296296</v>
      </c>
      <c r="C539" s="1" t="n">
        <v>46131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1922-2025</t>
        </is>
      </c>
      <c r="B540" s="1" t="n">
        <v>45671.69181712963</v>
      </c>
      <c r="C540" s="1" t="n">
        <v>46131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Kyrkan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8182-2024</t>
        </is>
      </c>
      <c r="B541" s="1" t="n">
        <v>45351.63769675926</v>
      </c>
      <c r="C541" s="1" t="n">
        <v>46131</v>
      </c>
      <c r="D541" t="inlineStr">
        <is>
          <t>VÄSTRA GÖTALANDS LÄN</t>
        </is>
      </c>
      <c r="E541" t="inlineStr">
        <is>
          <t>BORÅS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43690-2024</t>
        </is>
      </c>
      <c r="B542" s="1" t="n">
        <v>45569.58503472222</v>
      </c>
      <c r="C542" s="1" t="n">
        <v>46131</v>
      </c>
      <c r="D542" t="inlineStr">
        <is>
          <t>VÄSTRA GÖTALANDS LÄN</t>
        </is>
      </c>
      <c r="E542" t="inlineStr">
        <is>
          <t>BORÅS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15365-2026</t>
        </is>
      </c>
      <c r="B543" s="1" t="n">
        <v>46105.74155092592</v>
      </c>
      <c r="C543" s="1" t="n">
        <v>46131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52268-2024</t>
        </is>
      </c>
      <c r="B544" s="1" t="n">
        <v>45608.65652777778</v>
      </c>
      <c r="C544" s="1" t="n">
        <v>46131</v>
      </c>
      <c r="D544" t="inlineStr">
        <is>
          <t>VÄSTRA GÖTALANDS LÄN</t>
        </is>
      </c>
      <c r="E544" t="inlineStr">
        <is>
          <t>BORÅS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58895-2024</t>
        </is>
      </c>
      <c r="B545" s="1" t="n">
        <v>45636.46734953704</v>
      </c>
      <c r="C545" s="1" t="n">
        <v>46131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15193-2026</t>
        </is>
      </c>
      <c r="B546" s="1" t="n">
        <v>46105</v>
      </c>
      <c r="C546" s="1" t="n">
        <v>46131</v>
      </c>
      <c r="D546" t="inlineStr">
        <is>
          <t>VÄSTRA GÖTALANDS LÄN</t>
        </is>
      </c>
      <c r="E546" t="inlineStr">
        <is>
          <t>BORÅS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53973-2023</t>
        </is>
      </c>
      <c r="B547" s="1" t="n">
        <v>45231.6437037037</v>
      </c>
      <c r="C547" s="1" t="n">
        <v>46131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48150-2023</t>
        </is>
      </c>
      <c r="B548" s="1" t="n">
        <v>45205</v>
      </c>
      <c r="C548" s="1" t="n">
        <v>46131</v>
      </c>
      <c r="D548" t="inlineStr">
        <is>
          <t>VÄSTRA GÖTALANDS LÄN</t>
        </is>
      </c>
      <c r="E548" t="inlineStr">
        <is>
          <t>BORÅS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2615-2025</t>
        </is>
      </c>
      <c r="B549" s="1" t="n">
        <v>45675.39164351852</v>
      </c>
      <c r="C549" s="1" t="n">
        <v>46131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49729-2023</t>
        </is>
      </c>
      <c r="B550" s="1" t="n">
        <v>45212</v>
      </c>
      <c r="C550" s="1" t="n">
        <v>46131</v>
      </c>
      <c r="D550" t="inlineStr">
        <is>
          <t>VÄSTRA GÖTALANDS LÄN</t>
        </is>
      </c>
      <c r="E550" t="inlineStr">
        <is>
          <t>BORÅS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16406-2026</t>
        </is>
      </c>
      <c r="B551" s="1" t="n">
        <v>46111.64328703703</v>
      </c>
      <c r="C551" s="1" t="n">
        <v>46131</v>
      </c>
      <c r="D551" t="inlineStr">
        <is>
          <t>VÄSTRA GÖTALANDS LÄN</t>
        </is>
      </c>
      <c r="E551" t="inlineStr">
        <is>
          <t>BORÅS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57422-2024</t>
        </is>
      </c>
      <c r="B552" s="1" t="n">
        <v>45629.81206018518</v>
      </c>
      <c r="C552" s="1" t="n">
        <v>46131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35800-2023</t>
        </is>
      </c>
      <c r="B553" s="1" t="n">
        <v>45148</v>
      </c>
      <c r="C553" s="1" t="n">
        <v>46131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13729-2026</t>
        </is>
      </c>
      <c r="B554" s="1" t="n">
        <v>46097.61908564815</v>
      </c>
      <c r="C554" s="1" t="n">
        <v>46131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28219-2023</t>
        </is>
      </c>
      <c r="B555" s="1" t="n">
        <v>45099</v>
      </c>
      <c r="C555" s="1" t="n">
        <v>46131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16949-2026</t>
        </is>
      </c>
      <c r="B556" s="1" t="n">
        <v>46113.99863425926</v>
      </c>
      <c r="C556" s="1" t="n">
        <v>46131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33150-2023</t>
        </is>
      </c>
      <c r="B557" s="1" t="n">
        <v>45126.68759259259</v>
      </c>
      <c r="C557" s="1" t="n">
        <v>46131</v>
      </c>
      <c r="D557" t="inlineStr">
        <is>
          <t>VÄSTRA GÖTALANDS LÄN</t>
        </is>
      </c>
      <c r="E557" t="inlineStr">
        <is>
          <t>BORÅS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45119.91186342593</v>
      </c>
      <c r="C558" s="1" t="n">
        <v>46131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46131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4308-2025</t>
        </is>
      </c>
      <c r="B560" s="1" t="n">
        <v>45685.68934027778</v>
      </c>
      <c r="C560" s="1" t="n">
        <v>46131</v>
      </c>
      <c r="D560" t="inlineStr">
        <is>
          <t>VÄSTRA GÖTALANDS LÄN</t>
        </is>
      </c>
      <c r="E560" t="inlineStr">
        <is>
          <t>BORÅS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244-2025</t>
        </is>
      </c>
      <c r="B561" s="1" t="n">
        <v>45660.41302083333</v>
      </c>
      <c r="C561" s="1" t="n">
        <v>46131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32742-2024</t>
        </is>
      </c>
      <c r="B562" s="1" t="n">
        <v>45516.44384259259</v>
      </c>
      <c r="C562" s="1" t="n">
        <v>46131</v>
      </c>
      <c r="D562" t="inlineStr">
        <is>
          <t>VÄSTRA GÖTALANDS LÄN</t>
        </is>
      </c>
      <c r="E562" t="inlineStr">
        <is>
          <t>BORÅS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10218-2026</t>
        </is>
      </c>
      <c r="B563" s="1" t="n">
        <v>46076.49167824074</v>
      </c>
      <c r="C563" s="1" t="n">
        <v>46131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14396-2025</t>
        </is>
      </c>
      <c r="B564" s="1" t="n">
        <v>45741.44355324074</v>
      </c>
      <c r="C564" s="1" t="n">
        <v>46131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61681-2023</t>
        </is>
      </c>
      <c r="B565" s="1" t="n">
        <v>45264</v>
      </c>
      <c r="C565" s="1" t="n">
        <v>46131</v>
      </c>
      <c r="D565" t="inlineStr">
        <is>
          <t>VÄSTRA GÖTALANDS LÄN</t>
        </is>
      </c>
      <c r="E565" t="inlineStr">
        <is>
          <t>BORÅS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10212-2026</t>
        </is>
      </c>
      <c r="B566" s="1" t="n">
        <v>46076.48876157407</v>
      </c>
      <c r="C566" s="1" t="n">
        <v>46131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32483-2023</t>
        </is>
      </c>
      <c r="B567" s="1" t="n">
        <v>45120</v>
      </c>
      <c r="C567" s="1" t="n">
        <v>46131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55952-2023</t>
        </is>
      </c>
      <c r="B568" s="1" t="n">
        <v>45240.34545138889</v>
      </c>
      <c r="C568" s="1" t="n">
        <v>46131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17234-2026</t>
        </is>
      </c>
      <c r="B569" s="1" t="n">
        <v>46119</v>
      </c>
      <c r="C569" s="1" t="n">
        <v>46131</v>
      </c>
      <c r="D569" t="inlineStr">
        <is>
          <t>VÄSTRA GÖTALANDS LÄN</t>
        </is>
      </c>
      <c r="E569" t="inlineStr">
        <is>
          <t>BORÅS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14222-2024</t>
        </is>
      </c>
      <c r="B570" s="1" t="n">
        <v>45393.46065972222</v>
      </c>
      <c r="C570" s="1" t="n">
        <v>46131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1082-2024</t>
        </is>
      </c>
      <c r="B571" s="1" t="n">
        <v>45302.36549768518</v>
      </c>
      <c r="C571" s="1" t="n">
        <v>46131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21168-2022</t>
        </is>
      </c>
      <c r="B572" s="1" t="n">
        <v>44704</v>
      </c>
      <c r="C572" s="1" t="n">
        <v>46131</v>
      </c>
      <c r="D572" t="inlineStr">
        <is>
          <t>VÄSTRA GÖTALANDS LÄN</t>
        </is>
      </c>
      <c r="E572" t="inlineStr">
        <is>
          <t>BORÅS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15966-2025</t>
        </is>
      </c>
      <c r="B573" s="1" t="n">
        <v>45749.54398148148</v>
      </c>
      <c r="C573" s="1" t="n">
        <v>46131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46131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2875-2024</t>
        </is>
      </c>
      <c r="B575" s="1" t="n">
        <v>45315.46555555556</v>
      </c>
      <c r="C575" s="1" t="n">
        <v>46131</v>
      </c>
      <c r="D575" t="inlineStr">
        <is>
          <t>VÄSTRA GÖTALANDS LÄN</t>
        </is>
      </c>
      <c r="E575" t="inlineStr">
        <is>
          <t>BORÅS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43645-2023</t>
        </is>
      </c>
      <c r="B576" s="1" t="n">
        <v>45186.96988425926</v>
      </c>
      <c r="C576" s="1" t="n">
        <v>46131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54365-2023</t>
        </is>
      </c>
      <c r="B577" s="1" t="n">
        <v>45233</v>
      </c>
      <c r="C577" s="1" t="n">
        <v>46131</v>
      </c>
      <c r="D577" t="inlineStr">
        <is>
          <t>VÄSTRA GÖTALANDS LÄN</t>
        </is>
      </c>
      <c r="E577" t="inlineStr">
        <is>
          <t>BORÅS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11446-2026</t>
        </is>
      </c>
      <c r="B578" s="1" t="n">
        <v>46083.54247685185</v>
      </c>
      <c r="C578" s="1" t="n">
        <v>46131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17837-2025</t>
        </is>
      </c>
      <c r="B579" s="1" t="n">
        <v>45758.58627314815</v>
      </c>
      <c r="C579" s="1" t="n">
        <v>46131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62446-2023</t>
        </is>
      </c>
      <c r="B580" s="1" t="n">
        <v>45268.47841435186</v>
      </c>
      <c r="C580" s="1" t="n">
        <v>46131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17263-2025</t>
        </is>
      </c>
      <c r="B581" s="1" t="n">
        <v>45756</v>
      </c>
      <c r="C581" s="1" t="n">
        <v>46131</v>
      </c>
      <c r="D581" t="inlineStr">
        <is>
          <t>VÄSTRA GÖTALANDS LÄN</t>
        </is>
      </c>
      <c r="E581" t="inlineStr">
        <is>
          <t>BORÅS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65200-2023</t>
        </is>
      </c>
      <c r="B582" s="1" t="n">
        <v>45289.42331018519</v>
      </c>
      <c r="C582" s="1" t="n">
        <v>46131</v>
      </c>
      <c r="D582" t="inlineStr">
        <is>
          <t>VÄSTRA GÖTALANDS LÄN</t>
        </is>
      </c>
      <c r="E582" t="inlineStr">
        <is>
          <t>BORÅS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17763-2026</t>
        </is>
      </c>
      <c r="B583" s="1" t="n">
        <v>46122.35728009259</v>
      </c>
      <c r="C583" s="1" t="n">
        <v>46131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28065-2025</t>
        </is>
      </c>
      <c r="B584" s="1" t="n">
        <v>45817</v>
      </c>
      <c r="C584" s="1" t="n">
        <v>46131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36577-2022</t>
        </is>
      </c>
      <c r="B585" s="1" t="n">
        <v>44804.61065972222</v>
      </c>
      <c r="C585" s="1" t="n">
        <v>46131</v>
      </c>
      <c r="D585" t="inlineStr">
        <is>
          <t>VÄSTRA GÖTALANDS LÄN</t>
        </is>
      </c>
      <c r="E585" t="inlineStr">
        <is>
          <t>BORÅS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3766-2024</t>
        </is>
      </c>
      <c r="B586" s="1" t="n">
        <v>45321</v>
      </c>
      <c r="C586" s="1" t="n">
        <v>46131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44155-2022</t>
        </is>
      </c>
      <c r="B587" s="1" t="n">
        <v>44839</v>
      </c>
      <c r="C587" s="1" t="n">
        <v>46131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11718-2025</t>
        </is>
      </c>
      <c r="B588" s="1" t="n">
        <v>45727.60891203704</v>
      </c>
      <c r="C588" s="1" t="n">
        <v>46131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3476-2023</t>
        </is>
      </c>
      <c r="B589" s="1" t="n">
        <v>44949</v>
      </c>
      <c r="C589" s="1" t="n">
        <v>46131</v>
      </c>
      <c r="D589" t="inlineStr">
        <is>
          <t>VÄSTRA GÖTALANDS LÄN</t>
        </is>
      </c>
      <c r="E589" t="inlineStr">
        <is>
          <t>BORÅS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3784-2024</t>
        </is>
      </c>
      <c r="B590" s="1" t="n">
        <v>45321</v>
      </c>
      <c r="C590" s="1" t="n">
        <v>46131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3190-2024</t>
        </is>
      </c>
      <c r="B591" s="1" t="n">
        <v>45316</v>
      </c>
      <c r="C591" s="1" t="n">
        <v>46131</v>
      </c>
      <c r="D591" t="inlineStr">
        <is>
          <t>VÄSTRA GÖTALANDS LÄN</t>
        </is>
      </c>
      <c r="E591" t="inlineStr">
        <is>
          <t>BORÅS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56007-2023</t>
        </is>
      </c>
      <c r="B592" s="1" t="n">
        <v>45240.40667824074</v>
      </c>
      <c r="C592" s="1" t="n">
        <v>46131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56023-2023</t>
        </is>
      </c>
      <c r="B593" s="1" t="n">
        <v>45240.42798611111</v>
      </c>
      <c r="C593" s="1" t="n">
        <v>46131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11996-2026</t>
        </is>
      </c>
      <c r="B594" s="1" t="n">
        <v>46085.66386574074</v>
      </c>
      <c r="C594" s="1" t="n">
        <v>46131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62532-2022</t>
        </is>
      </c>
      <c r="B595" s="1" t="n">
        <v>44916</v>
      </c>
      <c r="C595" s="1" t="n">
        <v>46131</v>
      </c>
      <c r="D595" t="inlineStr">
        <is>
          <t>VÄSTRA GÖTALANDS LÄN</t>
        </is>
      </c>
      <c r="E595" t="inlineStr">
        <is>
          <t>BORÅS</t>
        </is>
      </c>
      <c r="G595" t="n">
        <v>9.800000000000001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11874-2026</t>
        </is>
      </c>
      <c r="B596" s="1" t="n">
        <v>46085.49350694445</v>
      </c>
      <c r="C596" s="1" t="n">
        <v>46131</v>
      </c>
      <c r="D596" t="inlineStr">
        <is>
          <t>VÄSTRA GÖTALANDS LÄN</t>
        </is>
      </c>
      <c r="E596" t="inlineStr">
        <is>
          <t>BORÅS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29231-2022</t>
        </is>
      </c>
      <c r="B597" s="1" t="n">
        <v>44750</v>
      </c>
      <c r="C597" s="1" t="n">
        <v>46131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11773-2026</t>
        </is>
      </c>
      <c r="B598" s="1" t="n">
        <v>46084.74369212963</v>
      </c>
      <c r="C598" s="1" t="n">
        <v>46131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177-2024</t>
        </is>
      </c>
      <c r="B599" s="1" t="n">
        <v>45294.55914351852</v>
      </c>
      <c r="C599" s="1" t="n">
        <v>46131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57782-2022</t>
        </is>
      </c>
      <c r="B600" s="1" t="n">
        <v>44897</v>
      </c>
      <c r="C600" s="1" t="n">
        <v>46131</v>
      </c>
      <c r="D600" t="inlineStr">
        <is>
          <t>VÄSTRA GÖTALANDS LÄN</t>
        </is>
      </c>
      <c r="E600" t="inlineStr">
        <is>
          <t>BORÅS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3721-2024</t>
        </is>
      </c>
      <c r="B601" s="1" t="n">
        <v>45321</v>
      </c>
      <c r="C601" s="1" t="n">
        <v>46131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57175-2023</t>
        </is>
      </c>
      <c r="B602" s="1" t="n">
        <v>45240</v>
      </c>
      <c r="C602" s="1" t="n">
        <v>46131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6042-2026</t>
        </is>
      </c>
      <c r="B603" s="1" t="n">
        <v>46052</v>
      </c>
      <c r="C603" s="1" t="n">
        <v>46131</v>
      </c>
      <c r="D603" t="inlineStr">
        <is>
          <t>VÄSTRA GÖTALANDS LÄN</t>
        </is>
      </c>
      <c r="E603" t="inlineStr">
        <is>
          <t>BORÅS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44506-2023</t>
        </is>
      </c>
      <c r="B604" s="1" t="n">
        <v>45189</v>
      </c>
      <c r="C604" s="1" t="n">
        <v>46131</v>
      </c>
      <c r="D604" t="inlineStr">
        <is>
          <t>VÄSTRA GÖTALANDS LÄN</t>
        </is>
      </c>
      <c r="E604" t="inlineStr">
        <is>
          <t>BORÅS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38970-2024</t>
        </is>
      </c>
      <c r="B605" s="1" t="n">
        <v>45548</v>
      </c>
      <c r="C605" s="1" t="n">
        <v>46131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47850-2024</t>
        </is>
      </c>
      <c r="B606" s="1" t="n">
        <v>45588.65774305556</v>
      </c>
      <c r="C606" s="1" t="n">
        <v>46131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5578-2025</t>
        </is>
      </c>
      <c r="B607" s="1" t="n">
        <v>45693.54440972222</v>
      </c>
      <c r="C607" s="1" t="n">
        <v>46131</v>
      </c>
      <c r="D607" t="inlineStr">
        <is>
          <t>VÄSTRA GÖTALANDS LÄN</t>
        </is>
      </c>
      <c r="E607" t="inlineStr">
        <is>
          <t>BORÅS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18695-2026</t>
        </is>
      </c>
      <c r="B608" s="1" t="n">
        <v>46128.40917824074</v>
      </c>
      <c r="C608" s="1" t="n">
        <v>46131</v>
      </c>
      <c r="D608" t="inlineStr">
        <is>
          <t>VÄSTRA GÖTALANDS LÄN</t>
        </is>
      </c>
      <c r="E608" t="inlineStr">
        <is>
          <t>BORÅS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46380-2023</t>
        </is>
      </c>
      <c r="B609" s="1" t="n">
        <v>45197.46625</v>
      </c>
      <c r="C609" s="1" t="n">
        <v>46131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52410-2023</t>
        </is>
      </c>
      <c r="B610" s="1" t="n">
        <v>45224</v>
      </c>
      <c r="C610" s="1" t="n">
        <v>46131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46451-2024</t>
        </is>
      </c>
      <c r="B611" s="1" t="n">
        <v>45582.50539351852</v>
      </c>
      <c r="C611" s="1" t="n">
        <v>46131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45197.56680555556</v>
      </c>
      <c r="C612" s="1" t="n">
        <v>46131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53386-2023</t>
        </is>
      </c>
      <c r="B613" s="1" t="n">
        <v>45223</v>
      </c>
      <c r="C613" s="1" t="n">
        <v>46131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42435-2023</t>
        </is>
      </c>
      <c r="B614" s="1" t="n">
        <v>45180.63178240741</v>
      </c>
      <c r="C614" s="1" t="n">
        <v>46131</v>
      </c>
      <c r="D614" t="inlineStr">
        <is>
          <t>VÄSTRA GÖTALANDS LÄN</t>
        </is>
      </c>
      <c r="E614" t="inlineStr">
        <is>
          <t>BORÅS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5964-2023</t>
        </is>
      </c>
      <c r="B615" s="1" t="n">
        <v>44964</v>
      </c>
      <c r="C615" s="1" t="n">
        <v>46131</v>
      </c>
      <c r="D615" t="inlineStr">
        <is>
          <t>VÄSTRA GÖTALANDS LÄN</t>
        </is>
      </c>
      <c r="E615" t="inlineStr">
        <is>
          <t>BORÅS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49948-2023</t>
        </is>
      </c>
      <c r="B616" s="1" t="n">
        <v>45215.36408564815</v>
      </c>
      <c r="C616" s="1" t="n">
        <v>46131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52957-2022</t>
        </is>
      </c>
      <c r="B617" s="1" t="n">
        <v>44875.70405092592</v>
      </c>
      <c r="C617" s="1" t="n">
        <v>46131</v>
      </c>
      <c r="D617" t="inlineStr">
        <is>
          <t>VÄSTRA GÖTALANDS LÄN</t>
        </is>
      </c>
      <c r="E617" t="inlineStr">
        <is>
          <t>BORÅS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41981-2024</t>
        </is>
      </c>
      <c r="B618" s="1" t="n">
        <v>45561.63293981482</v>
      </c>
      <c r="C618" s="1" t="n">
        <v>46131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25317-2024</t>
        </is>
      </c>
      <c r="B619" s="1" t="n">
        <v>45462.70604166666</v>
      </c>
      <c r="C619" s="1" t="n">
        <v>46131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60931-2022</t>
        </is>
      </c>
      <c r="B620" s="1" t="n">
        <v>44914.61763888889</v>
      </c>
      <c r="C620" s="1" t="n">
        <v>46131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19168-2025</t>
        </is>
      </c>
      <c r="B621" s="1" t="n">
        <v>45769.38744212963</v>
      </c>
      <c r="C621" s="1" t="n">
        <v>46131</v>
      </c>
      <c r="D621" t="inlineStr">
        <is>
          <t>VÄSTRA GÖTALANDS LÄN</t>
        </is>
      </c>
      <c r="E621" t="inlineStr">
        <is>
          <t>BORÅS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57906-2022</t>
        </is>
      </c>
      <c r="B622" s="1" t="n">
        <v>44900</v>
      </c>
      <c r="C622" s="1" t="n">
        <v>46131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58734-2021</t>
        </is>
      </c>
      <c r="B623" s="1" t="n">
        <v>44489.4964699074</v>
      </c>
      <c r="C623" s="1" t="n">
        <v>46131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197-2024</t>
        </is>
      </c>
      <c r="B624" s="1" t="n">
        <v>45294</v>
      </c>
      <c r="C624" s="1" t="n">
        <v>46131</v>
      </c>
      <c r="D624" t="inlineStr">
        <is>
          <t>VÄSTRA GÖTALANDS LÄN</t>
        </is>
      </c>
      <c r="E624" t="inlineStr">
        <is>
          <t>BORÅS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14990-2023</t>
        </is>
      </c>
      <c r="B625" s="1" t="n">
        <v>45015</v>
      </c>
      <c r="C625" s="1" t="n">
        <v>46131</v>
      </c>
      <c r="D625" t="inlineStr">
        <is>
          <t>VÄSTRA GÖTALANDS LÄN</t>
        </is>
      </c>
      <c r="E625" t="inlineStr">
        <is>
          <t>BORÅS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11903-2023</t>
        </is>
      </c>
      <c r="B626" s="1" t="n">
        <v>44995</v>
      </c>
      <c r="C626" s="1" t="n">
        <v>46131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40611-2021</t>
        </is>
      </c>
      <c r="B627" s="1" t="n">
        <v>44420.49086805555</v>
      </c>
      <c r="C627" s="1" t="n">
        <v>46131</v>
      </c>
      <c r="D627" t="inlineStr">
        <is>
          <t>VÄSTRA GÖTALANDS LÄN</t>
        </is>
      </c>
      <c r="E627" t="inlineStr">
        <is>
          <t>BORÅS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13913-2023</t>
        </is>
      </c>
      <c r="B628" s="1" t="n">
        <v>45007</v>
      </c>
      <c r="C628" s="1" t="n">
        <v>46131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4617-2022</t>
        </is>
      </c>
      <c r="B629" s="1" t="n">
        <v>44592</v>
      </c>
      <c r="C629" s="1" t="n">
        <v>46131</v>
      </c>
      <c r="D629" t="inlineStr">
        <is>
          <t>VÄSTRA GÖTALANDS LÄN</t>
        </is>
      </c>
      <c r="E629" t="inlineStr">
        <is>
          <t>BORÅS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19095-2023</t>
        </is>
      </c>
      <c r="B630" s="1" t="n">
        <v>45048.4243287037</v>
      </c>
      <c r="C630" s="1" t="n">
        <v>46131</v>
      </c>
      <c r="D630" t="inlineStr">
        <is>
          <t>VÄSTRA GÖTALANDS LÄN</t>
        </is>
      </c>
      <c r="E630" t="inlineStr">
        <is>
          <t>BORÅS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983-2024</t>
        </is>
      </c>
      <c r="B631" s="1" t="n">
        <v>45301</v>
      </c>
      <c r="C631" s="1" t="n">
        <v>46131</v>
      </c>
      <c r="D631" t="inlineStr">
        <is>
          <t>VÄSTRA GÖTALANDS LÄN</t>
        </is>
      </c>
      <c r="E631" t="inlineStr">
        <is>
          <t>BORÅS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31213-2022</t>
        </is>
      </c>
      <c r="B632" s="1" t="n">
        <v>44771</v>
      </c>
      <c r="C632" s="1" t="n">
        <v>46131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Kyrkan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38424-2024</t>
        </is>
      </c>
      <c r="B633" s="1" t="n">
        <v>45546.37292824074</v>
      </c>
      <c r="C633" s="1" t="n">
        <v>46131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48711-2024</t>
        </is>
      </c>
      <c r="B634" s="1" t="n">
        <v>45593.53931712963</v>
      </c>
      <c r="C634" s="1" t="n">
        <v>46131</v>
      </c>
      <c r="D634" t="inlineStr">
        <is>
          <t>VÄSTRA GÖTALANDS LÄN</t>
        </is>
      </c>
      <c r="E634" t="inlineStr">
        <is>
          <t>BORÅS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2008-2024</t>
        </is>
      </c>
      <c r="B635" s="1" t="n">
        <v>45308</v>
      </c>
      <c r="C635" s="1" t="n">
        <v>46131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14783-2022</t>
        </is>
      </c>
      <c r="B636" s="1" t="n">
        <v>44656.46391203703</v>
      </c>
      <c r="C636" s="1" t="n">
        <v>46131</v>
      </c>
      <c r="D636" t="inlineStr">
        <is>
          <t>VÄSTRA GÖTALANDS LÄN</t>
        </is>
      </c>
      <c r="E636" t="inlineStr">
        <is>
          <t>BORÅS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1992-2024</t>
        </is>
      </c>
      <c r="B637" s="1" t="n">
        <v>45308</v>
      </c>
      <c r="C637" s="1" t="n">
        <v>46131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7898-2024</t>
        </is>
      </c>
      <c r="B638" s="1" t="n">
        <v>45350</v>
      </c>
      <c r="C638" s="1" t="n">
        <v>46131</v>
      </c>
      <c r="D638" t="inlineStr">
        <is>
          <t>VÄSTRA GÖTALANDS LÄN</t>
        </is>
      </c>
      <c r="E638" t="inlineStr">
        <is>
          <t>BORÅS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12386-2024</t>
        </is>
      </c>
      <c r="B639" s="1" t="n">
        <v>45379.33655092592</v>
      </c>
      <c r="C639" s="1" t="n">
        <v>46131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1510-2025</t>
        </is>
      </c>
      <c r="B640" s="1" t="n">
        <v>45670.44511574074</v>
      </c>
      <c r="C640" s="1" t="n">
        <v>46131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32136-2024</t>
        </is>
      </c>
      <c r="B641" s="1" t="n">
        <v>45511.4987962963</v>
      </c>
      <c r="C641" s="1" t="n">
        <v>46131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Kyrkan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27944-2021</t>
        </is>
      </c>
      <c r="B642" s="1" t="n">
        <v>44354.87269675926</v>
      </c>
      <c r="C642" s="1" t="n">
        <v>46131</v>
      </c>
      <c r="D642" t="inlineStr">
        <is>
          <t>VÄSTRA GÖTALANDS LÄN</t>
        </is>
      </c>
      <c r="E642" t="inlineStr">
        <is>
          <t>BORÅS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31940-2024</t>
        </is>
      </c>
      <c r="B643" s="1" t="n">
        <v>45510</v>
      </c>
      <c r="C643" s="1" t="n">
        <v>46131</v>
      </c>
      <c r="D643" t="inlineStr">
        <is>
          <t>VÄSTRA GÖTALANDS LÄN</t>
        </is>
      </c>
      <c r="E643" t="inlineStr">
        <is>
          <t>BORÅS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4934-2023</t>
        </is>
      </c>
      <c r="B644" s="1" t="n">
        <v>44958</v>
      </c>
      <c r="C644" s="1" t="n">
        <v>46131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14309-2022</t>
        </is>
      </c>
      <c r="B645" s="1" t="n">
        <v>44652</v>
      </c>
      <c r="C645" s="1" t="n">
        <v>46131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3000-2025</t>
        </is>
      </c>
      <c r="B646" s="1" t="n">
        <v>45678.54986111111</v>
      </c>
      <c r="C646" s="1" t="n">
        <v>46131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45364-2024</t>
        </is>
      </c>
      <c r="B647" s="1" t="n">
        <v>45576</v>
      </c>
      <c r="C647" s="1" t="n">
        <v>46131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49191-2021</t>
        </is>
      </c>
      <c r="B648" s="1" t="n">
        <v>44454.33140046296</v>
      </c>
      <c r="C648" s="1" t="n">
        <v>46131</v>
      </c>
      <c r="D648" t="inlineStr">
        <is>
          <t>VÄSTRA GÖTALANDS LÄN</t>
        </is>
      </c>
      <c r="E648" t="inlineStr">
        <is>
          <t>BORÅS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11153-2023</t>
        </is>
      </c>
      <c r="B649" s="1" t="n">
        <v>44992.52275462963</v>
      </c>
      <c r="C649" s="1" t="n">
        <v>46131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32452-2023</t>
        </is>
      </c>
      <c r="B650" s="1" t="n">
        <v>45120</v>
      </c>
      <c r="C650" s="1" t="n">
        <v>46131</v>
      </c>
      <c r="D650" t="inlineStr">
        <is>
          <t>VÄSTRA GÖTALANDS LÄN</t>
        </is>
      </c>
      <c r="E650" t="inlineStr">
        <is>
          <t>BORÅS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32453-2023</t>
        </is>
      </c>
      <c r="B651" s="1" t="n">
        <v>45120</v>
      </c>
      <c r="C651" s="1" t="n">
        <v>46131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1055-2025</t>
        </is>
      </c>
      <c r="B652" s="1" t="n">
        <v>45666.57021990741</v>
      </c>
      <c r="C652" s="1" t="n">
        <v>46131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10147-2024</t>
        </is>
      </c>
      <c r="B653" s="1" t="n">
        <v>45364.62685185186</v>
      </c>
      <c r="C653" s="1" t="n">
        <v>46131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12840-2023</t>
        </is>
      </c>
      <c r="B654" s="1" t="n">
        <v>45000</v>
      </c>
      <c r="C654" s="1" t="n">
        <v>46131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46574-2022</t>
        </is>
      </c>
      <c r="B655" s="1" t="n">
        <v>44848</v>
      </c>
      <c r="C655" s="1" t="n">
        <v>46131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27334-2024</t>
        </is>
      </c>
      <c r="B656" s="1" t="n">
        <v>45472.87659722222</v>
      </c>
      <c r="C656" s="1" t="n">
        <v>46131</v>
      </c>
      <c r="D656" t="inlineStr">
        <is>
          <t>VÄSTRA GÖTALANDS LÄN</t>
        </is>
      </c>
      <c r="E656" t="inlineStr">
        <is>
          <t>BORÅS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34355-2024</t>
        </is>
      </c>
      <c r="B657" s="1" t="n">
        <v>45525.36525462963</v>
      </c>
      <c r="C657" s="1" t="n">
        <v>46131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19481-2023</t>
        </is>
      </c>
      <c r="B658" s="1" t="n">
        <v>45050.43728009259</v>
      </c>
      <c r="C658" s="1" t="n">
        <v>46131</v>
      </c>
      <c r="D658" t="inlineStr">
        <is>
          <t>VÄSTRA GÖTALANDS LÄN</t>
        </is>
      </c>
      <c r="E658" t="inlineStr">
        <is>
          <t>BORÅS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19483-2023</t>
        </is>
      </c>
      <c r="B659" s="1" t="n">
        <v>45050.44355324074</v>
      </c>
      <c r="C659" s="1" t="n">
        <v>46131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18543-2025</t>
        </is>
      </c>
      <c r="B660" s="1" t="n">
        <v>45762</v>
      </c>
      <c r="C660" s="1" t="n">
        <v>46131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61452-2023</t>
        </is>
      </c>
      <c r="B661" s="1" t="n">
        <v>45264.83583333333</v>
      </c>
      <c r="C661" s="1" t="n">
        <v>46131</v>
      </c>
      <c r="D661" t="inlineStr">
        <is>
          <t>VÄSTRA GÖTALANDS LÄN</t>
        </is>
      </c>
      <c r="E661" t="inlineStr">
        <is>
          <t>BORÅS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46131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61863-2024</t>
        </is>
      </c>
      <c r="B663" s="1" t="n">
        <v>45650.84388888889</v>
      </c>
      <c r="C663" s="1" t="n">
        <v>46131</v>
      </c>
      <c r="D663" t="inlineStr">
        <is>
          <t>VÄSTRA GÖTALANDS LÄN</t>
        </is>
      </c>
      <c r="E663" t="inlineStr">
        <is>
          <t>BORÅS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4937-2023</t>
        </is>
      </c>
      <c r="B664" s="1" t="n">
        <v>44958</v>
      </c>
      <c r="C664" s="1" t="n">
        <v>46131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32163-2023</t>
        </is>
      </c>
      <c r="B665" s="1" t="n">
        <v>45119</v>
      </c>
      <c r="C665" s="1" t="n">
        <v>46131</v>
      </c>
      <c r="D665" t="inlineStr">
        <is>
          <t>VÄSTRA GÖTALANDS LÄN</t>
        </is>
      </c>
      <c r="E665" t="inlineStr">
        <is>
          <t>BORÅS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43574-2023</t>
        </is>
      </c>
      <c r="B666" s="1" t="n">
        <v>45184</v>
      </c>
      <c r="C666" s="1" t="n">
        <v>46131</v>
      </c>
      <c r="D666" t="inlineStr">
        <is>
          <t>VÄSTRA GÖTALANDS LÄN</t>
        </is>
      </c>
      <c r="E666" t="inlineStr">
        <is>
          <t>BORÅS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934-2025</t>
        </is>
      </c>
      <c r="B667" s="1" t="n">
        <v>45666.28506944444</v>
      </c>
      <c r="C667" s="1" t="n">
        <v>46131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18248-2024</t>
        </is>
      </c>
      <c r="B668" s="1" t="n">
        <v>45421.43105324074</v>
      </c>
      <c r="C668" s="1" t="n">
        <v>46131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24860-2022</t>
        </is>
      </c>
      <c r="B669" s="1" t="n">
        <v>44728</v>
      </c>
      <c r="C669" s="1" t="n">
        <v>46131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2282-2025</t>
        </is>
      </c>
      <c r="B670" s="1" t="n">
        <v>45673.56837962963</v>
      </c>
      <c r="C670" s="1" t="n">
        <v>46131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3896-2025</t>
        </is>
      </c>
      <c r="B671" s="1" t="n">
        <v>45684.38349537037</v>
      </c>
      <c r="C671" s="1" t="n">
        <v>46131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183-2024</t>
        </is>
      </c>
      <c r="B672" s="1" t="n">
        <v>45294</v>
      </c>
      <c r="C672" s="1" t="n">
        <v>46131</v>
      </c>
      <c r="D672" t="inlineStr">
        <is>
          <t>VÄSTRA GÖTALANDS LÄN</t>
        </is>
      </c>
      <c r="E672" t="inlineStr">
        <is>
          <t>BORÅS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186-2024</t>
        </is>
      </c>
      <c r="B673" s="1" t="n">
        <v>45294</v>
      </c>
      <c r="C673" s="1" t="n">
        <v>46131</v>
      </c>
      <c r="D673" t="inlineStr">
        <is>
          <t>VÄSTRA GÖTALANDS LÄN</t>
        </is>
      </c>
      <c r="E673" t="inlineStr">
        <is>
          <t>BORÅS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46131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45486-2023</t>
        </is>
      </c>
      <c r="B675" s="1" t="n">
        <v>45194</v>
      </c>
      <c r="C675" s="1" t="n">
        <v>46131</v>
      </c>
      <c r="D675" t="inlineStr">
        <is>
          <t>VÄSTRA GÖTALANDS LÄN</t>
        </is>
      </c>
      <c r="E675" t="inlineStr">
        <is>
          <t>BORÅS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57430-2024</t>
        </is>
      </c>
      <c r="B676" s="1" t="n">
        <v>45629.84854166667</v>
      </c>
      <c r="C676" s="1" t="n">
        <v>46131</v>
      </c>
      <c r="D676" t="inlineStr">
        <is>
          <t>VÄSTRA GÖTALANDS LÄN</t>
        </is>
      </c>
      <c r="E676" t="inlineStr">
        <is>
          <t>BORÅS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32193-2023</t>
        </is>
      </c>
      <c r="B677" s="1" t="n">
        <v>45119.87762731482</v>
      </c>
      <c r="C677" s="1" t="n">
        <v>46131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32170-2023</t>
        </is>
      </c>
      <c r="B678" s="1" t="n">
        <v>45119</v>
      </c>
      <c r="C678" s="1" t="n">
        <v>46131</v>
      </c>
      <c r="D678" t="inlineStr">
        <is>
          <t>VÄSTRA GÖTALANDS LÄN</t>
        </is>
      </c>
      <c r="E678" t="inlineStr">
        <is>
          <t>BORÅS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50605-2022</t>
        </is>
      </c>
      <c r="B679" s="1" t="n">
        <v>44866</v>
      </c>
      <c r="C679" s="1" t="n">
        <v>46131</v>
      </c>
      <c r="D679" t="inlineStr">
        <is>
          <t>VÄSTRA GÖTALANDS LÄN</t>
        </is>
      </c>
      <c r="E679" t="inlineStr">
        <is>
          <t>BORÅS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54246-2023</t>
        </is>
      </c>
      <c r="B680" s="1" t="n">
        <v>45232.6234837963</v>
      </c>
      <c r="C680" s="1" t="n">
        <v>46131</v>
      </c>
      <c r="D680" t="inlineStr">
        <is>
          <t>VÄSTRA GÖTALANDS LÄN</t>
        </is>
      </c>
      <c r="E680" t="inlineStr">
        <is>
          <t>BORÅS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36574-2024</t>
        </is>
      </c>
      <c r="B681" s="1" t="n">
        <v>45537.49616898148</v>
      </c>
      <c r="C681" s="1" t="n">
        <v>46131</v>
      </c>
      <c r="D681" t="inlineStr">
        <is>
          <t>VÄSTRA GÖTALANDS LÄN</t>
        </is>
      </c>
      <c r="E681" t="inlineStr">
        <is>
          <t>BORÅS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17032-2024</t>
        </is>
      </c>
      <c r="B682" s="1" t="n">
        <v>45412.39409722222</v>
      </c>
      <c r="C682" s="1" t="n">
        <v>46131</v>
      </c>
      <c r="D682" t="inlineStr">
        <is>
          <t>VÄSTRA GÖTALANDS LÄN</t>
        </is>
      </c>
      <c r="E682" t="inlineStr">
        <is>
          <t>BORÅS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27342-2022</t>
        </is>
      </c>
      <c r="B683" s="1" t="n">
        <v>44742.39810185185</v>
      </c>
      <c r="C683" s="1" t="n">
        <v>46131</v>
      </c>
      <c r="D683" t="inlineStr">
        <is>
          <t>VÄSTRA GÖTALANDS LÄN</t>
        </is>
      </c>
      <c r="E683" t="inlineStr">
        <is>
          <t>BORÅS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3048-2025</t>
        </is>
      </c>
      <c r="B684" s="1" t="n">
        <v>45678</v>
      </c>
      <c r="C684" s="1" t="n">
        <v>46131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21180-2024</t>
        </is>
      </c>
      <c r="B685" s="1" t="n">
        <v>45440.46910879629</v>
      </c>
      <c r="C685" s="1" t="n">
        <v>46131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48358-2023</t>
        </is>
      </c>
      <c r="B686" s="1" t="n">
        <v>45205</v>
      </c>
      <c r="C686" s="1" t="n">
        <v>46131</v>
      </c>
      <c r="D686" t="inlineStr">
        <is>
          <t>VÄSTRA GÖTALANDS LÄN</t>
        </is>
      </c>
      <c r="E686" t="inlineStr">
        <is>
          <t>BORÅS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45240.40409722222</v>
      </c>
      <c r="C687" s="1" t="n">
        <v>46131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9127-2023</t>
        </is>
      </c>
      <c r="B688" s="1" t="n">
        <v>44980</v>
      </c>
      <c r="C688" s="1" t="n">
        <v>46131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3095-2024</t>
        </is>
      </c>
      <c r="B689" s="1" t="n">
        <v>45316</v>
      </c>
      <c r="C689" s="1" t="n">
        <v>46131</v>
      </c>
      <c r="D689" t="inlineStr">
        <is>
          <t>VÄSTRA GÖTALANDS LÄN</t>
        </is>
      </c>
      <c r="E689" t="inlineStr">
        <is>
          <t>BORÅS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3483-2023</t>
        </is>
      </c>
      <c r="B690" s="1" t="n">
        <v>44949</v>
      </c>
      <c r="C690" s="1" t="n">
        <v>46131</v>
      </c>
      <c r="D690" t="inlineStr">
        <is>
          <t>VÄSTRA GÖTALANDS LÄN</t>
        </is>
      </c>
      <c r="E690" t="inlineStr">
        <is>
          <t>BORÅS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17095-2023</t>
        </is>
      </c>
      <c r="B691" s="1" t="n">
        <v>45034</v>
      </c>
      <c r="C691" s="1" t="n">
        <v>46131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2614-2025</t>
        </is>
      </c>
      <c r="B692" s="1" t="n">
        <v>45675.38304398148</v>
      </c>
      <c r="C692" s="1" t="n">
        <v>46131</v>
      </c>
      <c r="D692" t="inlineStr">
        <is>
          <t>VÄSTRA GÖTALANDS LÄN</t>
        </is>
      </c>
      <c r="E692" t="inlineStr">
        <is>
          <t>BORÅS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3469-2023</t>
        </is>
      </c>
      <c r="B693" s="1" t="n">
        <v>44949</v>
      </c>
      <c r="C693" s="1" t="n">
        <v>46131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60923-2022</t>
        </is>
      </c>
      <c r="B694" s="1" t="n">
        <v>44914.61417824074</v>
      </c>
      <c r="C694" s="1" t="n">
        <v>46131</v>
      </c>
      <c r="D694" t="inlineStr">
        <is>
          <t>VÄSTRA GÖTALANDS LÄN</t>
        </is>
      </c>
      <c r="E694" t="inlineStr">
        <is>
          <t>BORÅS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62448-2023</t>
        </is>
      </c>
      <c r="B695" s="1" t="n">
        <v>45268.4834375</v>
      </c>
      <c r="C695" s="1" t="n">
        <v>46131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49471-2023</t>
        </is>
      </c>
      <c r="B696" s="1" t="n">
        <v>45211</v>
      </c>
      <c r="C696" s="1" t="n">
        <v>46131</v>
      </c>
      <c r="D696" t="inlineStr">
        <is>
          <t>VÄSTRA GÖTALANDS LÄN</t>
        </is>
      </c>
      <c r="E696" t="inlineStr">
        <is>
          <t>BORÅS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3703-2024</t>
        </is>
      </c>
      <c r="B697" s="1" t="n">
        <v>45321</v>
      </c>
      <c r="C697" s="1" t="n">
        <v>46131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48619-2023</t>
        </is>
      </c>
      <c r="B698" s="1" t="n">
        <v>45208.56241898148</v>
      </c>
      <c r="C698" s="1" t="n">
        <v>46131</v>
      </c>
      <c r="D698" t="inlineStr">
        <is>
          <t>VÄSTRA GÖTALANDS LÄN</t>
        </is>
      </c>
      <c r="E698" t="inlineStr">
        <is>
          <t>BORÅS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18533-2025</t>
        </is>
      </c>
      <c r="B699" s="1" t="n">
        <v>45762</v>
      </c>
      <c r="C699" s="1" t="n">
        <v>46131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32158-2023</t>
        </is>
      </c>
      <c r="B700" s="1" t="n">
        <v>45119.72554398148</v>
      </c>
      <c r="C700" s="1" t="n">
        <v>46131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58483-2024</t>
        </is>
      </c>
      <c r="B701" s="1" t="n">
        <v>45632</v>
      </c>
      <c r="C701" s="1" t="n">
        <v>46131</v>
      </c>
      <c r="D701" t="inlineStr">
        <is>
          <t>VÄSTRA GÖTALANDS LÄN</t>
        </is>
      </c>
      <c r="E701" t="inlineStr">
        <is>
          <t>BORÅS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12496-2025</t>
        </is>
      </c>
      <c r="B702" s="1" t="n">
        <v>45730</v>
      </c>
      <c r="C702" s="1" t="n">
        <v>46131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57439-2024</t>
        </is>
      </c>
      <c r="B703" s="1" t="n">
        <v>45629.87395833333</v>
      </c>
      <c r="C703" s="1" t="n">
        <v>46131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45486-2024</t>
        </is>
      </c>
      <c r="B704" s="1" t="n">
        <v>45577.37951388889</v>
      </c>
      <c r="C704" s="1" t="n">
        <v>46131</v>
      </c>
      <c r="D704" t="inlineStr">
        <is>
          <t>VÄSTRA GÖTALANDS LÄN</t>
        </is>
      </c>
      <c r="E704" t="inlineStr">
        <is>
          <t>BORÅS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20635-2025</t>
        </is>
      </c>
      <c r="B705" s="1" t="n">
        <v>45776.3533912037</v>
      </c>
      <c r="C705" s="1" t="n">
        <v>46131</v>
      </c>
      <c r="D705" t="inlineStr">
        <is>
          <t>VÄSTRA GÖTALANDS LÄN</t>
        </is>
      </c>
      <c r="E705" t="inlineStr">
        <is>
          <t>BORÅS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2026-04-19T10:27:15Z</dcterms:created>
  <dcterms:modified xmlns:dcterms="http://purl.org/dc/terms/" xmlns:xsi="http://www.w3.org/2001/XMLSchema-instance" xsi:type="dcterms:W3CDTF">2026-04-19T10:27:15Z</dcterms:modified>
</cp:coreProperties>
</file>