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46283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46283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46283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46283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46283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46283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46283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46283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46283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46283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28586-2022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46283</v>
      </c>
      <c r="F18" t="inlineStr">
        <is>
          <t>VÄSTRA GÖTALANDS LÄN</t>
        </is>
      </c>
      <c r="G18" t="inlineStr">
        <is>
          <t>BORÅS</t>
        </is>
      </c>
      <c r="H18" t="inlineStr">
        <is>
          <t>Kommuner</t>
        </is>
      </c>
      <c r="I18" t="n">
        <v>4.9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Tallriska
Talltita
Brandticka</t>
        </is>
      </c>
      <c r="W18">
        <f>HYPERLINK("https://klasma.github.io/Logging_1490/artfynd/A 28586-2022 artfynd.xlsx", "A 28586-2022")</f>
        <v/>
      </c>
      <c r="X18">
        <f>HYPERLINK("https://klasma.github.io/Logging_1490/kartor/A 28586-2022 karta.png", "A 28586-2022")</f>
        <v/>
      </c>
      <c r="Y18">
        <f>HYPERLINK("https://klasma.github.io/Logging_1490/kartor_geotiff/A 28586-2022 georefererad karta.tif", "A 28586-2022")</f>
        <v/>
      </c>
      <c r="AA18">
        <f>HYPERLINK("https://klasma.github.io/Logging_1490/klagomål/A 28586-2022 FSC-klagomål.docx", "A 28586-2022")</f>
        <v/>
      </c>
      <c r="AB18">
        <f>HYPERLINK("https://klasma.github.io/Logging_1490/klagomålsmail/A 28586-2022 FSC-klagomål mail.docx", "A 28586-2022")</f>
        <v/>
      </c>
      <c r="AC18">
        <f>HYPERLINK("https://klasma.github.io/Logging_1490/tillsyn/A 28586-2022 tillsynsbegäran.docx", "A 28586-2022")</f>
        <v/>
      </c>
      <c r="AD18">
        <f>HYPERLINK("https://klasma.github.io/Logging_1490/tillsynsmail/A 28586-2022 tillsynsbegäran mail.docx", "A 28586-2022")</f>
        <v/>
      </c>
      <c r="AE18">
        <f>HYPERLINK("https://klasma.github.io/Logging_1490/fåglar/A 28586-2022 prioriterade fågelarter.docx", "A 28586-2022")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46283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46283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46283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46283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46283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46283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46283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46283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t="n">
        <v>9</v>
      </c>
      <c r="V26" s="2" t="inlineStr">
        <is>
          <t>Knärot
Huggorm
Nattviol</t>
        </is>
      </c>
      <c r="W26">
        <f>HYPERLINK("https://klasma.github.io/Logging_1490/artfynd/A 51423-2024 artfynd.xlsx", "A 51423-2024")</f>
        <v/>
      </c>
      <c r="X26">
        <f>HYPERLINK("https://klasma.github.io/Logging_1490/kartor/A 51423-2024 karta.png", "A 51423-2024")</f>
        <v/>
      </c>
      <c r="Y26">
        <f>HYPERLINK("https://klasma.github.io/Logging_1490/kartor_geotiff/A 51423-2024 georefererad karta.tif", "A 51423-2024")</f>
        <v/>
      </c>
      <c r="Z26">
        <f>HYPERLINK("https://klasma.github.io/Logging_1490/knärot/A 51423-2024 karta knärot.png", "A 51423-2024")</f>
        <v/>
      </c>
      <c r="AA26">
        <f>HYPERLINK("https://klasma.github.io/Logging_1490/klagomål/A 51423-2024 FSC-klagomål.docx", "A 51423-2024")</f>
        <v/>
      </c>
      <c r="AB26">
        <f>HYPERLINK("https://klasma.github.io/Logging_1490/klagomålsmail/A 51423-2024 FSC-klagomål mail.docx", "A 51423-2024")</f>
        <v/>
      </c>
      <c r="AC26">
        <f>HYPERLINK("https://klasma.github.io/Logging_1490/tillsyn/A 51423-2024 tillsynsbegäran.docx", "A 51423-2024")</f>
        <v/>
      </c>
      <c r="AD26">
        <f>HYPERLINK("https://klasma.github.io/Logging_1490/tillsynsmail/A 51423-2024 tillsynsbegäran mail.docx", "A 51423-2024")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46283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46283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46283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46283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46283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Åkergroda</t>
        </is>
      </c>
      <c r="W32">
        <f>HYPERLINK("https://klasma.github.io/Logging_1490/artfynd/A 11373-2022 artfynd.xlsx", "A 11373-2022")</f>
        <v/>
      </c>
      <c r="X32">
        <f>HYPERLINK("https://klasma.github.io/Logging_1490/kartor/A 11373-2022 karta.png", "A 11373-2022")</f>
        <v/>
      </c>
      <c r="Y32">
        <f>HYPERLINK("https://klasma.github.io/Logging_1490/kartor_geotiff/A 11373-2022 georefererad karta.tif", "A 11373-2022")</f>
        <v/>
      </c>
      <c r="AA32">
        <f>HYPERLINK("https://klasma.github.io/Logging_1490/klagomål/A 11373-2022 FSC-klagomål.docx", "A 11373-2022")</f>
        <v/>
      </c>
      <c r="AB32">
        <f>HYPERLINK("https://klasma.github.io/Logging_1490/klagomålsmail/A 11373-2022 FSC-klagomål mail.docx", "A 11373-2022")</f>
        <v/>
      </c>
      <c r="AC32">
        <f>HYPERLINK("https://klasma.github.io/Logging_1490/tillsyn/A 11373-2022 tillsynsbegäran.docx", "A 11373-2022")</f>
        <v/>
      </c>
      <c r="AD32">
        <f>HYPERLINK("https://klasma.github.io/Logging_1490/tillsynsmail/A 11373-2022 tillsynsbegäran mail.docx", "A 11373-2022")</f>
        <v/>
      </c>
      <c r="AE32">
        <f>HYPERLINK("https://klasma.github.io/Logging_1490/fåglar/A 11373-2022 prioriterade fågelarter.docx", "A 11373-2022")</f>
        <v/>
      </c>
    </row>
    <row r="33" ht="15" customHeight="1">
      <c r="A33" t="inlineStr">
        <is>
          <t>A 34341-2025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46283</v>
      </c>
      <c r="F33" t="inlineStr">
        <is>
          <t>VÄSTRA GÖTALANDS LÄN</t>
        </is>
      </c>
      <c r="G33" t="inlineStr">
        <is>
          <t>BORÅS</t>
        </is>
      </c>
      <c r="I33" t="n">
        <v>2.7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Svavelriska
Nattskärra</t>
        </is>
      </c>
      <c r="W33">
        <f>HYPERLINK("https://klasma.github.io/Logging_1490/artfynd/A 34341-2025 artfynd.xlsx", "A 34341-2025")</f>
        <v/>
      </c>
      <c r="X33">
        <f>HYPERLINK("https://klasma.github.io/Logging_1490/kartor/A 34341-2025 karta.png", "A 34341-2025")</f>
        <v/>
      </c>
      <c r="Y33">
        <f>HYPERLINK("https://klasma.github.io/Logging_1490/kartor_geotiff/A 34341-2025 georefererad karta.tif", "A 34341-2025")</f>
        <v/>
      </c>
      <c r="AA33">
        <f>HYPERLINK("https://klasma.github.io/Logging_1490/klagomål/A 34341-2025 FSC-klagomål.docx", "A 34341-2025")</f>
        <v/>
      </c>
      <c r="AB33">
        <f>HYPERLINK("https://klasma.github.io/Logging_1490/klagomålsmail/A 34341-2025 FSC-klagomål mail.docx", "A 34341-2025")</f>
        <v/>
      </c>
      <c r="AC33">
        <f>HYPERLINK("https://klasma.github.io/Logging_1490/tillsyn/A 34341-2025 tillsynsbegäran.docx", "A 34341-2025")</f>
        <v/>
      </c>
      <c r="AD33">
        <f>HYPERLINK("https://klasma.github.io/Logging_1490/tillsynsmail/A 34341-2025 tillsynsbegäran mail.docx", "A 34341-2025")</f>
        <v/>
      </c>
      <c r="AE33">
        <f>HYPERLINK("https://klasma.github.io/Logging_1490/fåglar/A 34341-2025 prioriterade fågelarter.docx", "A 34341-2025")</f>
        <v/>
      </c>
    </row>
    <row r="34" ht="15" customHeight="1">
      <c r="A34" t="inlineStr">
        <is>
          <t>A 36260-2025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45867</v>
      </c>
      <c r="E34" s="1" t="n">
        <v>46283</v>
      </c>
      <c r="F34" t="inlineStr">
        <is>
          <t>VÄSTRA GÖTALANDS LÄN</t>
        </is>
      </c>
      <c r="G34" t="inlineStr">
        <is>
          <t>BORÅS</t>
        </is>
      </c>
      <c r="I34" t="n">
        <v>0.8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Fällmossa
Guldlockmossa</t>
        </is>
      </c>
      <c r="W34">
        <f>HYPERLINK("https://klasma.github.io/Logging_1490/artfynd/A 36260-2025 artfynd.xlsx", "A 36260-2025")</f>
        <v/>
      </c>
      <c r="X34">
        <f>HYPERLINK("https://klasma.github.io/Logging_1490/kartor/A 36260-2025 karta.png", "A 36260-2025")</f>
        <v/>
      </c>
      <c r="Y34">
        <f>HYPERLINK("https://klasma.github.io/Logging_1490/kartor_geotiff/A 36260-2025 georefererad karta.tif", "A 36260-2025")</f>
        <v/>
      </c>
      <c r="AA34">
        <f>HYPERLINK("https://klasma.github.io/Logging_1490/klagomål/A 36260-2025 FSC-klagomål.docx", "A 36260-2025")</f>
        <v/>
      </c>
      <c r="AB34">
        <f>HYPERLINK("https://klasma.github.io/Logging_1490/klagomålsmail/A 36260-2025 FSC-klagomål mail.docx", "A 36260-2025")</f>
        <v/>
      </c>
      <c r="AC34">
        <f>HYPERLINK("https://klasma.github.io/Logging_1490/tillsyn/A 36260-2025 tillsynsbegäran.docx", "A 36260-2025")</f>
        <v/>
      </c>
      <c r="AD34">
        <f>HYPERLINK("https://klasma.github.io/Logging_1490/tillsynsmail/A 36260-2025 tillsynsbegäran mail.docx", "A 36260-2025")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46283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Lopplummer (aggregat)
Revlummer</t>
        </is>
      </c>
      <c r="W35">
        <f>HYPERLINK("https://klasma.github.io/Logging_1490/artfynd/A 32027-2023 artfynd.xlsx", "A 32027-2023")</f>
        <v/>
      </c>
      <c r="X35">
        <f>HYPERLINK("https://klasma.github.io/Logging_1490/kartor/A 32027-2023 karta.png", "A 32027-2023")</f>
        <v/>
      </c>
      <c r="Y35">
        <f>HYPERLINK("https://klasma.github.io/Logging_1490/kartor_geotiff/A 32027-2023 georefererad karta.tif", "A 32027-2023")</f>
        <v/>
      </c>
      <c r="AA35">
        <f>HYPERLINK("https://klasma.github.io/Logging_1490/klagomål/A 32027-2023 FSC-klagomål.docx", "A 32027-2023")</f>
        <v/>
      </c>
      <c r="AB35">
        <f>HYPERLINK("https://klasma.github.io/Logging_1490/klagomålsmail/A 32027-2023 FSC-klagomål mail.docx", "A 32027-2023")</f>
        <v/>
      </c>
      <c r="AC35">
        <f>HYPERLINK("https://klasma.github.io/Logging_1490/tillsyn/A 32027-2023 tillsynsbegäran.docx", "A 32027-2023")</f>
        <v/>
      </c>
      <c r="AD35">
        <f>HYPERLINK("https://klasma.github.io/Logging_1490/tillsynsmail/A 32027-2023 tillsynsbegäran mail.docx", "A 32027-2023")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46283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4362-2022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44589</v>
      </c>
      <c r="E37" s="1" t="n">
        <v>46283</v>
      </c>
      <c r="F37" t="inlineStr">
        <is>
          <t>VÄSTRA GÖTALANDS LÄN</t>
        </is>
      </c>
      <c r="G37" t="inlineStr">
        <is>
          <t>BORÅS</t>
        </is>
      </c>
      <c r="I37" t="n">
        <v>3.7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Gröngöling
Svartvit flugsnappare</t>
        </is>
      </c>
      <c r="W37">
        <f>HYPERLINK("https://klasma.github.io/Logging_1490/artfynd/A 4362-2022 artfynd.xlsx", "A 4362-2022")</f>
        <v/>
      </c>
      <c r="X37">
        <f>HYPERLINK("https://klasma.github.io/Logging_1490/kartor/A 4362-2022 karta.png", "A 4362-2022")</f>
        <v/>
      </c>
      <c r="Y37">
        <f>HYPERLINK("https://klasma.github.io/Logging_1490/kartor_geotiff/A 4362-2022 georefererad karta.tif", "A 4362-2022")</f>
        <v/>
      </c>
      <c r="AA37">
        <f>HYPERLINK("https://klasma.github.io/Logging_1490/klagomål/A 4362-2022 FSC-klagomål.docx", "A 4362-2022")</f>
        <v/>
      </c>
      <c r="AB37">
        <f>HYPERLINK("https://klasma.github.io/Logging_1490/klagomålsmail/A 4362-2022 FSC-klagomål mail.docx", "A 4362-2022")</f>
        <v/>
      </c>
      <c r="AC37">
        <f>HYPERLINK("https://klasma.github.io/Logging_1490/tillsyn/A 4362-2022 tillsynsbegäran.docx", "A 4362-2022")</f>
        <v/>
      </c>
      <c r="AD37">
        <f>HYPERLINK("https://klasma.github.io/Logging_1490/tillsynsmail/A 4362-2022 tillsynsbegäran mail.docx", "A 4362-2022")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46283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Kattfotslav
Revlummer</t>
        </is>
      </c>
      <c r="W38">
        <f>HYPERLINK("https://klasma.github.io/Logging_1490/artfynd/A 36545-2023 artfynd.xlsx", "A 36545-2023")</f>
        <v/>
      </c>
      <c r="X38">
        <f>HYPERLINK("https://klasma.github.io/Logging_1490/kartor/A 36545-2023 karta.png", "A 36545-2023")</f>
        <v/>
      </c>
      <c r="Y38">
        <f>HYPERLINK("https://klasma.github.io/Logging_1490/kartor_geotiff/A 36545-2023 georefererad karta.tif", "A 36545-2023")</f>
        <v/>
      </c>
      <c r="AA38">
        <f>HYPERLINK("https://klasma.github.io/Logging_1490/klagomål/A 36545-2023 FSC-klagomål.docx", "A 36545-2023")</f>
        <v/>
      </c>
      <c r="AB38">
        <f>HYPERLINK("https://klasma.github.io/Logging_1490/klagomålsmail/A 36545-2023 FSC-klagomål mail.docx", "A 36545-2023")</f>
        <v/>
      </c>
      <c r="AC38">
        <f>HYPERLINK("https://klasma.github.io/Logging_1490/tillsyn/A 36545-2023 tillsynsbegäran.docx", "A 36545-2023")</f>
        <v/>
      </c>
      <c r="AD38">
        <f>HYPERLINK("https://klasma.github.io/Logging_1490/tillsynsmail/A 36545-2023 tillsynsbegäran mail.docx", "A 36545-2023")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46283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34610-2023 artfynd.xlsx", "A 34610-2023")</f>
        <v/>
      </c>
      <c r="X39">
        <f>HYPERLINK("https://klasma.github.io/Logging_1490/kartor/A 34610-2023 karta.png", "A 34610-2023")</f>
        <v/>
      </c>
      <c r="Y39">
        <f>HYPERLINK("https://klasma.github.io/Logging_1490/kartor_geotiff/A 34610-2023 georefererad karta.tif", "A 34610-2023")</f>
        <v/>
      </c>
      <c r="AA39">
        <f>HYPERLINK("https://klasma.github.io/Logging_1490/klagomål/A 34610-2023 FSC-klagomål.docx", "A 34610-2023")</f>
        <v/>
      </c>
      <c r="AB39">
        <f>HYPERLINK("https://klasma.github.io/Logging_1490/klagomålsmail/A 34610-2023 FSC-klagomål mail.docx", "A 34610-2023")</f>
        <v/>
      </c>
      <c r="AC39">
        <f>HYPERLINK("https://klasma.github.io/Logging_1490/tillsyn/A 34610-2023 tillsynsbegäran.docx", "A 34610-2023")</f>
        <v/>
      </c>
      <c r="AD39">
        <f>HYPERLINK("https://klasma.github.io/Logging_1490/tillsynsmail/A 34610-2023 tillsynsbegäran mail.docx", "A 34610-2023")</f>
        <v/>
      </c>
      <c r="AE39">
        <f>HYPERLINK("https://klasma.github.io/Logging_1490/fåglar/A 34610-2023 prioriterade fågelarter.docx", "A 34610-2023")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46283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46283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46283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46283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46283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6659-2025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46283</v>
      </c>
      <c r="F45" t="inlineStr">
        <is>
          <t>VÄSTRA GÖTALANDS LÄN</t>
        </is>
      </c>
      <c r="G45" t="inlineStr">
        <is>
          <t>BORÅS</t>
        </is>
      </c>
      <c r="I45" t="n">
        <v>1.6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Järnsparv
Spillkråka</t>
        </is>
      </c>
      <c r="W45">
        <f>HYPERLINK("https://klasma.github.io/Logging_1490/artfynd/A 6659-2025 artfynd.xlsx", "A 6659-2025")</f>
        <v/>
      </c>
      <c r="X45">
        <f>HYPERLINK("https://klasma.github.io/Logging_1490/kartor/A 6659-2025 karta.png", "A 6659-2025")</f>
        <v/>
      </c>
      <c r="Y45">
        <f>HYPERLINK("https://klasma.github.io/Logging_1490/kartor_geotiff/A 6659-2025 georefererad karta.tif", "A 6659-2025")</f>
        <v/>
      </c>
      <c r="AA45">
        <f>HYPERLINK("https://klasma.github.io/Logging_1490/klagomål/A 6659-2025 FSC-klagomål.docx", "A 6659-2025")</f>
        <v/>
      </c>
      <c r="AB45">
        <f>HYPERLINK("https://klasma.github.io/Logging_1490/klagomålsmail/A 6659-2025 FSC-klagomål mail.docx", "A 6659-2025")</f>
        <v/>
      </c>
      <c r="AC45">
        <f>HYPERLINK("https://klasma.github.io/Logging_1490/tillsyn/A 6659-2025 tillsynsbegäran.docx", "A 6659-2025")</f>
        <v/>
      </c>
      <c r="AD45">
        <f>HYPERLINK("https://klasma.github.io/Logging_1490/tillsynsmail/A 6659-2025 tillsynsbegäran mail.docx", "A 6659-2025")</f>
        <v/>
      </c>
      <c r="AE45">
        <f>HYPERLINK("https://klasma.github.io/Logging_1490/fåglar/A 6659-2025 prioriterade fågelarter.docx", "A 6659-2025")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46283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3469-2023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46283</v>
      </c>
      <c r="F47" t="inlineStr">
        <is>
          <t>VÄSTRA GÖTALANDS LÄN</t>
        </is>
      </c>
      <c r="G47" t="inlineStr">
        <is>
          <t>BORÅS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Ask
Fällmossa</t>
        </is>
      </c>
      <c r="W47">
        <f>HYPERLINK("https://klasma.github.io/Logging_1490/artfynd/A 3469-2023 artfynd.xlsx", "A 3469-2023")</f>
        <v/>
      </c>
      <c r="X47">
        <f>HYPERLINK("https://klasma.github.io/Logging_1490/kartor/A 3469-2023 karta.png", "A 3469-2023")</f>
        <v/>
      </c>
      <c r="Y47">
        <f>HYPERLINK("https://klasma.github.io/Logging_1490/kartor_geotiff/A 3469-2023 georefererad karta.tif", "A 3469-2023")</f>
        <v/>
      </c>
      <c r="AA47">
        <f>HYPERLINK("https://klasma.github.io/Logging_1490/klagomål/A 3469-2023 FSC-klagomål.docx", "A 3469-2023")</f>
        <v/>
      </c>
      <c r="AB47">
        <f>HYPERLINK("https://klasma.github.io/Logging_1490/klagomålsmail/A 3469-2023 FSC-klagomål mail.docx", "A 3469-2023")</f>
        <v/>
      </c>
      <c r="AC47">
        <f>HYPERLINK("https://klasma.github.io/Logging_1490/tillsyn/A 3469-2023 tillsynsbegäran.docx", "A 3469-2023")</f>
        <v/>
      </c>
      <c r="AD47">
        <f>HYPERLINK("https://klasma.github.io/Logging_1490/tillsynsmail/A 3469-2023 tillsynsbegäran mail.docx", "A 3469-2023")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46283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46283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46283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46283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46283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46283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46283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46283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46283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29145-2022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46283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HYPERLINK("https://klasma.github.io/Logging_1490/artfynd/A 29145-2022 artfynd.xlsx", "A 29145-2022")</f>
        <v/>
      </c>
      <c r="X57">
        <f>HYPERLINK("https://klasma.github.io/Logging_1490/kartor/A 29145-2022 karta.png", "A 29145-2022")</f>
        <v/>
      </c>
      <c r="Y57">
        <f>HYPERLINK("https://klasma.github.io/Logging_1490/kartor_geotiff/A 29145-2022 georefererad karta.tif", "A 29145-2022")</f>
        <v/>
      </c>
      <c r="AA57">
        <f>HYPERLINK("https://klasma.github.io/Logging_1490/klagomål/A 29145-2022 FSC-klagomål.docx", "A 29145-2022")</f>
        <v/>
      </c>
      <c r="AB57">
        <f>HYPERLINK("https://klasma.github.io/Logging_1490/klagomålsmail/A 29145-2022 FSC-klagomål mail.docx", "A 29145-2022")</f>
        <v/>
      </c>
      <c r="AC57">
        <f>HYPERLINK("https://klasma.github.io/Logging_1490/tillsyn/A 29145-2022 tillsynsbegäran.docx", "A 29145-2022")</f>
        <v/>
      </c>
      <c r="AD57">
        <f>HYPERLINK("https://klasma.github.io/Logging_1490/tillsynsmail/A 29145-2022 tillsynsbegäran mail.docx", "A 29145-2022")</f>
        <v/>
      </c>
      <c r="AE57">
        <f>HYPERLINK("https://klasma.github.io/Logging_1490/fåglar/A 29145-2022 prioriterade fågelarter.docx", "A 29145-2022")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46283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62162-2023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46283</v>
      </c>
      <c r="F59" t="inlineStr">
        <is>
          <t>VÄSTRA GÖTALANDS LÄN</t>
        </is>
      </c>
      <c r="G59" t="inlineStr">
        <is>
          <t>BORÅS</t>
        </is>
      </c>
      <c r="I59" t="n">
        <v>2.2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62162-2023 artfynd.xlsx", "A 62162-2023")</f>
        <v/>
      </c>
      <c r="X59">
        <f>HYPERLINK("https://klasma.github.io/Logging_1490/kartor/A 62162-2023 karta.png", "A 62162-2023")</f>
        <v/>
      </c>
      <c r="Y59">
        <f>HYPERLINK("https://klasma.github.io/Logging_1490/kartor_geotiff/A 62162-2023 georefererad karta.tif", "A 62162-2023")</f>
        <v/>
      </c>
      <c r="AA59">
        <f>HYPERLINK("https://klasma.github.io/Logging_1490/klagomål/A 62162-2023 FSC-klagomål.docx", "A 62162-2023")</f>
        <v/>
      </c>
      <c r="AB59">
        <f>HYPERLINK("https://klasma.github.io/Logging_1490/klagomålsmail/A 62162-2023 FSC-klagomål mail.docx", "A 62162-2023")</f>
        <v/>
      </c>
      <c r="AC59">
        <f>HYPERLINK("https://klasma.github.io/Logging_1490/tillsyn/A 62162-2023 tillsynsbegäran.docx", "A 62162-2023")</f>
        <v/>
      </c>
      <c r="AD59">
        <f>HYPERLINK("https://klasma.github.io/Logging_1490/tillsynsmail/A 62162-2023 tillsynsbegäran mail.docx", "A 62162-2023")</f>
        <v/>
      </c>
      <c r="AE59">
        <f>HYPERLINK("https://klasma.github.io/Logging_1490/fåglar/A 62162-2023 prioriterade fågelarter.docx", "A 62162-2023")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46283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3719-2024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46283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Hasselmus</t>
        </is>
      </c>
      <c r="W61">
        <f>HYPERLINK("https://klasma.github.io/Logging_1490/artfynd/A 3719-2024 artfynd.xlsx", "A 3719-2024")</f>
        <v/>
      </c>
      <c r="X61">
        <f>HYPERLINK("https://klasma.github.io/Logging_1490/kartor/A 3719-2024 karta.png", "A 3719-2024")</f>
        <v/>
      </c>
      <c r="Y61">
        <f>HYPERLINK("https://klasma.github.io/Logging_1490/kartor_geotiff/A 3719-2024 georefererad karta.tif", "A 3719-2024")</f>
        <v/>
      </c>
      <c r="AA61">
        <f>HYPERLINK("https://klasma.github.io/Logging_1490/klagomål/A 3719-2024 FSC-klagomål.docx", "A 3719-2024")</f>
        <v/>
      </c>
      <c r="AB61">
        <f>HYPERLINK("https://klasma.github.io/Logging_1490/klagomålsmail/A 3719-2024 FSC-klagomål mail.docx", "A 3719-2024")</f>
        <v/>
      </c>
      <c r="AC61">
        <f>HYPERLINK("https://klasma.github.io/Logging_1490/tillsyn/A 3719-2024 tillsynsbegäran.docx", "A 3719-2024")</f>
        <v/>
      </c>
      <c r="AD61">
        <f>HYPERLINK("https://klasma.github.io/Logging_1490/tillsynsmail/A 3719-2024 tillsynsbegäran mail.docx", "A 3719-2024")</f>
        <v/>
      </c>
    </row>
    <row r="62" ht="15" customHeight="1">
      <c r="A62" t="inlineStr">
        <is>
          <t>A 50068-2025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46283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1.2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HYPERLINK("https://klasma.github.io/Logging_1490/artfynd/A 50068-2025 artfynd.xlsx", "A 50068-2025")</f>
        <v/>
      </c>
      <c r="X62">
        <f>HYPERLINK("https://klasma.github.io/Logging_1490/kartor/A 50068-2025 karta.png", "A 50068-2025")</f>
        <v/>
      </c>
      <c r="Y62">
        <f>HYPERLINK("https://klasma.github.io/Logging_1490/kartor_geotiff/A 50068-2025 georefererad karta.tif", "A 50068-2025")</f>
        <v/>
      </c>
      <c r="AA62">
        <f>HYPERLINK("https://klasma.github.io/Logging_1490/klagomål/A 50068-2025 FSC-klagomål.docx", "A 50068-2025")</f>
        <v/>
      </c>
      <c r="AB62">
        <f>HYPERLINK("https://klasma.github.io/Logging_1490/klagomålsmail/A 50068-2025 FSC-klagomål mail.docx", "A 50068-2025")</f>
        <v/>
      </c>
      <c r="AC62">
        <f>HYPERLINK("https://klasma.github.io/Logging_1490/tillsyn/A 50068-2025 tillsynsbegäran.docx", "A 50068-2025")</f>
        <v/>
      </c>
      <c r="AD62">
        <f>HYPERLINK("https://klasma.github.io/Logging_1490/tillsynsmail/A 50068-2025 tillsynsbegäran mail.docx", "A 50068-2025")</f>
        <v/>
      </c>
    </row>
    <row r="63" ht="15" customHeight="1">
      <c r="A63" t="inlineStr">
        <is>
          <t>A 33140-2023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46283</v>
      </c>
      <c r="F63" t="inlineStr">
        <is>
          <t>VÄSTRA GÖTALANDS LÄN</t>
        </is>
      </c>
      <c r="G63" t="inlineStr">
        <is>
          <t>BORÅS</t>
        </is>
      </c>
      <c r="I63" t="n">
        <v>5.1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HYPERLINK("https://klasma.github.io/Logging_1490/artfynd/A 33140-2023 artfynd.xlsx", "A 33140-2023")</f>
        <v/>
      </c>
      <c r="X63">
        <f>HYPERLINK("https://klasma.github.io/Logging_1490/kartor/A 33140-2023 karta.png", "A 33140-2023")</f>
        <v/>
      </c>
      <c r="Y63">
        <f>HYPERLINK("https://klasma.github.io/Logging_1490/kartor_geotiff/A 33140-2023 georefererad karta.tif", "A 33140-2023")</f>
        <v/>
      </c>
      <c r="AA63">
        <f>HYPERLINK("https://klasma.github.io/Logging_1490/klagomål/A 33140-2023 FSC-klagomål.docx", "A 33140-2023")</f>
        <v/>
      </c>
      <c r="AB63">
        <f>HYPERLINK("https://klasma.github.io/Logging_1490/klagomålsmail/A 33140-2023 FSC-klagomål mail.docx", "A 33140-2023")</f>
        <v/>
      </c>
      <c r="AC63">
        <f>HYPERLINK("https://klasma.github.io/Logging_1490/tillsyn/A 33140-2023 tillsynsbegäran.docx", "A 33140-2023")</f>
        <v/>
      </c>
      <c r="AD63">
        <f>HYPERLINK("https://klasma.github.io/Logging_1490/tillsynsmail/A 33140-2023 tillsynsbegäran mail.docx", "A 33140-2023")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46283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46283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Vågbandad barkbock</t>
        </is>
      </c>
      <c r="W65">
        <f>HYPERLINK("https://klasma.github.io/Logging_1490/artfynd/A 3772-2024 artfynd.xlsx", "A 3772-2024")</f>
        <v/>
      </c>
      <c r="X65">
        <f>HYPERLINK("https://klasma.github.io/Logging_1490/kartor/A 3772-2024 karta.png", "A 3772-2024")</f>
        <v/>
      </c>
      <c r="Y65">
        <f>HYPERLINK("https://klasma.github.io/Logging_1490/kartor_geotiff/A 3772-2024 georefererad karta.tif", "A 3772-2024")</f>
        <v/>
      </c>
      <c r="AA65">
        <f>HYPERLINK("https://klasma.github.io/Logging_1490/klagomål/A 3772-2024 FSC-klagomål.docx", "A 3772-2024")</f>
        <v/>
      </c>
      <c r="AB65">
        <f>HYPERLINK("https://klasma.github.io/Logging_1490/klagomålsmail/A 3772-2024 FSC-klagomål mail.docx", "A 3772-2024")</f>
        <v/>
      </c>
      <c r="AC65">
        <f>HYPERLINK("https://klasma.github.io/Logging_1490/tillsyn/A 3772-2024 tillsynsbegäran.docx", "A 3772-2024")</f>
        <v/>
      </c>
      <c r="AD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46283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Kungsfågel</t>
        </is>
      </c>
      <c r="W66">
        <f>HYPERLINK("https://klasma.github.io/Logging_1490/artfynd/A 1922-2025 artfynd.xlsx", "A 1922-2025")</f>
        <v/>
      </c>
      <c r="X66">
        <f>HYPERLINK("https://klasma.github.io/Logging_1490/kartor/A 1922-2025 karta.png", "A 1922-2025")</f>
        <v/>
      </c>
      <c r="Y66">
        <f>HYPERLINK("https://klasma.github.io/Logging_1490/kartor_geotiff/A 1922-2025 georefererad karta.tif", "A 1922-2025")</f>
        <v/>
      </c>
      <c r="AA66">
        <f>HYPERLINK("https://klasma.github.io/Logging_1490/klagomål/A 1922-2025 FSC-klagomål.docx", "A 1922-2025")</f>
        <v/>
      </c>
      <c r="AB66">
        <f>HYPERLINK("https://klasma.github.io/Logging_1490/klagomålsmail/A 1922-2025 FSC-klagomål mail.docx", "A 1922-2025")</f>
        <v/>
      </c>
      <c r="AC66">
        <f>HYPERLINK("https://klasma.github.io/Logging_1490/tillsyn/A 1922-2025 tillsynsbegäran.docx", "A 1922-2025")</f>
        <v/>
      </c>
      <c r="AD66">
        <f>HYPERLINK("https://klasma.github.io/Logging_1490/tillsynsmail/A 1922-2025 tillsynsbegäran mail.docx", "A 1922-2025")</f>
        <v/>
      </c>
    </row>
    <row r="67" ht="15" customHeight="1">
      <c r="A67" t="inlineStr">
        <is>
          <t>A 35135-2026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46259</v>
      </c>
      <c r="E67" s="1" t="n">
        <v>46283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1.1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Strandskata</t>
        </is>
      </c>
      <c r="W67">
        <f>HYPERLINK("https://klasma.github.io/Logging_1490/artfynd/A 35135-2026 artfynd.xlsx", "A 35135-2026")</f>
        <v/>
      </c>
      <c r="X67">
        <f>HYPERLINK("https://klasma.github.io/Logging_1490/kartor/A 35135-2026 karta.png", "A 35135-2026")</f>
        <v/>
      </c>
      <c r="Y67">
        <f>HYPERLINK("https://klasma.github.io/Logging_1490/kartor_geotiff/A 35135-2026 georefererad karta.tif", "A 35135-2026")</f>
        <v/>
      </c>
      <c r="AA67">
        <f>HYPERLINK("https://klasma.github.io/Logging_1490/klagomål/A 35135-2026 FSC-klagomål.docx", "A 35135-2026")</f>
        <v/>
      </c>
      <c r="AB67">
        <f>HYPERLINK("https://klasma.github.io/Logging_1490/klagomålsmail/A 35135-2026 FSC-klagomål mail.docx", "A 35135-2026")</f>
        <v/>
      </c>
      <c r="AC67">
        <f>HYPERLINK("https://klasma.github.io/Logging_1490/tillsyn/A 35135-2026 tillsynsbegäran.docx", "A 35135-2026")</f>
        <v/>
      </c>
      <c r="AD67">
        <f>HYPERLINK("https://klasma.github.io/Logging_1490/tillsynsmail/A 35135-2026 tillsynsbegäran mail.docx", "A 35135-2026")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46283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46283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46283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Fällmossa</t>
        </is>
      </c>
      <c r="W70">
        <f>HYPERLINK("https://klasma.github.io/Logging_1490/artfynd/A 61684-2023 artfynd.xlsx", "A 61684-2023")</f>
        <v/>
      </c>
      <c r="X70">
        <f>HYPERLINK("https://klasma.github.io/Logging_1490/kartor/A 61684-2023 karta.png", "A 61684-2023")</f>
        <v/>
      </c>
      <c r="Y70">
        <f>HYPERLINK("https://klasma.github.io/Logging_1490/kartor_geotiff/A 61684-2023 georefererad karta.tif", "A 61684-2023")</f>
        <v/>
      </c>
      <c r="AA70">
        <f>HYPERLINK("https://klasma.github.io/Logging_1490/klagomål/A 61684-2023 FSC-klagomål.docx", "A 61684-2023")</f>
        <v/>
      </c>
      <c r="AB70">
        <f>HYPERLINK("https://klasma.github.io/Logging_1490/klagomålsmail/A 61684-2023 FSC-klagomål mail.docx", "A 61684-2023")</f>
        <v/>
      </c>
      <c r="AC70">
        <f>HYPERLINK("https://klasma.github.io/Logging_1490/tillsyn/A 61684-2023 tillsynsbegäran.docx", "A 61684-2023")</f>
        <v/>
      </c>
      <c r="AD70">
        <f>HYPERLINK("https://klasma.github.io/Logging_1490/tillsynsmail/A 61684-2023 tillsynsbegäran mail.docx", "A 61684-2023")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46283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46283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46283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HYPERLINK("https://klasma.github.io/Logging_1490/artfynd/A 31980-2024 artfynd.xlsx", "A 31980-2024")</f>
        <v/>
      </c>
      <c r="X73">
        <f>HYPERLINK("https://klasma.github.io/Logging_1490/kartor/A 31980-2024 karta.png", "A 31980-2024")</f>
        <v/>
      </c>
      <c r="Y73">
        <f>HYPERLINK("https://klasma.github.io/Logging_1490/kartor_geotiff/A 31980-2024 georefererad karta.tif", "A 31980-2024")</f>
        <v/>
      </c>
      <c r="AA73">
        <f>HYPERLINK("https://klasma.github.io/Logging_1490/klagomål/A 31980-2024 FSC-klagomål.docx", "A 31980-2024")</f>
        <v/>
      </c>
      <c r="AB73">
        <f>HYPERLINK("https://klasma.github.io/Logging_1490/klagomålsmail/A 31980-2024 FSC-klagomål mail.docx", "A 31980-2024")</f>
        <v/>
      </c>
      <c r="AC73">
        <f>HYPERLINK("https://klasma.github.io/Logging_1490/tillsyn/A 31980-2024 tillsynsbegäran.docx", "A 31980-2024")</f>
        <v/>
      </c>
      <c r="AD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46283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46283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46283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46283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46283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46283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46283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46283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46283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46283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46283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46283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44631</v>
      </c>
      <c r="E86" s="1" t="n">
        <v>46283</v>
      </c>
      <c r="F86" t="inlineStr">
        <is>
          <t>VÄSTRA GÖTALANDS LÄN</t>
        </is>
      </c>
      <c r="G86" t="inlineStr">
        <is>
          <t>BORÅS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46283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46283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46283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46283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46283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46283</v>
      </c>
      <c r="F92" t="inlineStr">
        <is>
          <t>VÄSTRA GÖTALANDS LÄN</t>
        </is>
      </c>
      <c r="G92" t="inlineStr">
        <is>
          <t>BORÅS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46283</v>
      </c>
      <c r="F93" t="inlineStr">
        <is>
          <t>VÄSTRA GÖTALANDS LÄN</t>
        </is>
      </c>
      <c r="G93" t="inlineStr">
        <is>
          <t>BORÅS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71031-2021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46283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46283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46283</v>
      </c>
      <c r="F96" t="inlineStr">
        <is>
          <t>VÄSTRA GÖTALANDS LÄN</t>
        </is>
      </c>
      <c r="G96" t="inlineStr">
        <is>
          <t>BORÅS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46283</v>
      </c>
      <c r="F97" t="inlineStr">
        <is>
          <t>VÄSTRA GÖTALANDS LÄN</t>
        </is>
      </c>
      <c r="G97" t="inlineStr">
        <is>
          <t>BORÅS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46283</v>
      </c>
      <c r="F98" t="inlineStr">
        <is>
          <t>VÄSTRA GÖTALANDS LÄN</t>
        </is>
      </c>
      <c r="G98" t="inlineStr">
        <is>
          <t>BORÅS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44873</v>
      </c>
      <c r="E99" s="1" t="n">
        <v>46283</v>
      </c>
      <c r="F99" t="inlineStr">
        <is>
          <t>VÄSTRA GÖTALANDS LÄN</t>
        </is>
      </c>
      <c r="G99" t="inlineStr">
        <is>
          <t>BORÅS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46283</v>
      </c>
      <c r="F100" t="inlineStr">
        <is>
          <t>VÄSTRA GÖTALANDS LÄN</t>
        </is>
      </c>
      <c r="G100" t="inlineStr">
        <is>
          <t>BORÅS</t>
        </is>
      </c>
      <c r="H100" t="inlineStr">
        <is>
          <t>Kommuner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64223-2021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46283</v>
      </c>
      <c r="F101" t="inlineStr">
        <is>
          <t>VÄSTRA GÖTALANDS LÄN</t>
        </is>
      </c>
      <c r="G101" t="inlineStr">
        <is>
          <t>BORÅS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64466-2021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46283</v>
      </c>
      <c r="F102" t="inlineStr">
        <is>
          <t>VÄSTRA GÖTALANDS LÄN</t>
        </is>
      </c>
      <c r="G102" t="inlineStr">
        <is>
          <t>BORÅS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46283</v>
      </c>
      <c r="F103" t="inlineStr">
        <is>
          <t>VÄSTRA GÖTALANDS LÄN</t>
        </is>
      </c>
      <c r="G103" t="inlineStr">
        <is>
          <t>BORÅS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46283</v>
      </c>
      <c r="F104" t="inlineStr">
        <is>
          <t>VÄSTRA GÖTALANDS LÄN</t>
        </is>
      </c>
      <c r="G104" t="inlineStr">
        <is>
          <t>BORÅS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46283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44475</v>
      </c>
      <c r="E106" s="1" t="n">
        <v>46283</v>
      </c>
      <c r="F106" t="inlineStr">
        <is>
          <t>VÄSTRA GÖTALANDS LÄN</t>
        </is>
      </c>
      <c r="G106" t="inlineStr">
        <is>
          <t>BORÅS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44463</v>
      </c>
      <c r="E107" s="1" t="n">
        <v>46283</v>
      </c>
      <c r="F107" t="inlineStr">
        <is>
          <t>VÄSTRA GÖTALANDS LÄN</t>
        </is>
      </c>
      <c r="G107" t="inlineStr">
        <is>
          <t>BORÅS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59336-2021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46283</v>
      </c>
      <c r="F108" t="inlineStr">
        <is>
          <t>VÄSTRA GÖTALANDS LÄN</t>
        </is>
      </c>
      <c r="G108" t="inlineStr">
        <is>
          <t>BORÅS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46283</v>
      </c>
      <c r="F109" t="inlineStr">
        <is>
          <t>VÄSTRA GÖTALANDS LÄN</t>
        </is>
      </c>
      <c r="G109" t="inlineStr">
        <is>
          <t>BORÅS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46283</v>
      </c>
      <c r="F110" t="inlineStr">
        <is>
          <t>VÄSTRA GÖTALANDS LÄN</t>
        </is>
      </c>
      <c r="G110" t="inlineStr">
        <is>
          <t>BORÅS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46283</v>
      </c>
      <c r="F111" t="inlineStr">
        <is>
          <t>VÄSTRA GÖTALANDS LÄN</t>
        </is>
      </c>
      <c r="G111" t="inlineStr">
        <is>
          <t>BORÅS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44605</v>
      </c>
      <c r="E112" s="1" t="n">
        <v>46283</v>
      </c>
      <c r="F112" t="inlineStr">
        <is>
          <t>VÄSTRA GÖTALANDS LÄN</t>
        </is>
      </c>
      <c r="G112" t="inlineStr">
        <is>
          <t>BORÅS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46283</v>
      </c>
      <c r="F113" t="inlineStr">
        <is>
          <t>VÄSTRA GÖTALANDS LÄN</t>
        </is>
      </c>
      <c r="G113" t="inlineStr">
        <is>
          <t>BORÅS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46283</v>
      </c>
      <c r="F114" t="inlineStr">
        <is>
          <t>VÄSTRA GÖTALANDS LÄN</t>
        </is>
      </c>
      <c r="G114" t="inlineStr">
        <is>
          <t>BORÅS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46283</v>
      </c>
      <c r="F115" t="inlineStr">
        <is>
          <t>VÄSTRA GÖTALANDS LÄN</t>
        </is>
      </c>
      <c r="G115" t="inlineStr">
        <is>
          <t>BORÅS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46283</v>
      </c>
      <c r="F116" t="inlineStr">
        <is>
          <t>VÄSTRA GÖTALANDS LÄN</t>
        </is>
      </c>
      <c r="G116" t="inlineStr">
        <is>
          <t>BORÅS</t>
        </is>
      </c>
      <c r="H116" t="inlineStr">
        <is>
          <t>Kyrkan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46283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51980-2021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44463</v>
      </c>
      <c r="E118" s="1" t="n">
        <v>46283</v>
      </c>
      <c r="F118" t="inlineStr">
        <is>
          <t>VÄSTRA GÖTALANDS LÄN</t>
        </is>
      </c>
      <c r="G118" t="inlineStr">
        <is>
          <t>BORÅS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46283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46283</v>
      </c>
      <c r="F120" t="inlineStr">
        <is>
          <t>VÄSTRA GÖTALANDS LÄN</t>
        </is>
      </c>
      <c r="G120" t="inlineStr">
        <is>
          <t>BORÅS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46283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44873</v>
      </c>
      <c r="E122" s="1" t="n">
        <v>46283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44565</v>
      </c>
      <c r="E123" s="1" t="n">
        <v>46283</v>
      </c>
      <c r="F123" t="inlineStr">
        <is>
          <t>VÄSTRA GÖTALANDS LÄN</t>
        </is>
      </c>
      <c r="G123" t="inlineStr">
        <is>
          <t>BORÅS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73268-2021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46283</v>
      </c>
      <c r="F124" t="inlineStr">
        <is>
          <t>VÄSTRA GÖTALANDS LÄN</t>
        </is>
      </c>
      <c r="G124" t="inlineStr">
        <is>
          <t>BORÅS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46283</v>
      </c>
      <c r="F125" t="inlineStr">
        <is>
          <t>VÄSTRA GÖTALANDS LÄN</t>
        </is>
      </c>
      <c r="G125" t="inlineStr">
        <is>
          <t>BORÅS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46283</v>
      </c>
      <c r="F126" t="inlineStr">
        <is>
          <t>VÄSTRA GÖTALANDS LÄN</t>
        </is>
      </c>
      <c r="G126" t="inlineStr">
        <is>
          <t>BORÅS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44642</v>
      </c>
      <c r="E127" s="1" t="n">
        <v>46283</v>
      </c>
      <c r="F127" t="inlineStr">
        <is>
          <t>VÄSTRA GÖTALANDS LÄN</t>
        </is>
      </c>
      <c r="G127" t="inlineStr">
        <is>
          <t>BORÅS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63038-2021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46283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44678</v>
      </c>
      <c r="E129" s="1" t="n">
        <v>46283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46283</v>
      </c>
      <c r="F130" t="inlineStr">
        <is>
          <t>VÄSTRA GÖTALANDS LÄN</t>
        </is>
      </c>
      <c r="G130" t="inlineStr">
        <is>
          <t>BORÅS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46283</v>
      </c>
      <c r="F131" t="inlineStr">
        <is>
          <t>VÄSTRA GÖTALANDS LÄN</t>
        </is>
      </c>
      <c r="G131" t="inlineStr">
        <is>
          <t>BORÅS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45050</v>
      </c>
      <c r="E132" s="1" t="n">
        <v>46283</v>
      </c>
      <c r="F132" t="inlineStr">
        <is>
          <t>VÄSTRA GÖTALANDS LÄN</t>
        </is>
      </c>
      <c r="G132" t="inlineStr">
        <is>
          <t>BORÅS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46283</v>
      </c>
      <c r="F133" t="inlineStr">
        <is>
          <t>VÄSTRA GÖTALANDS LÄN</t>
        </is>
      </c>
      <c r="G133" t="inlineStr">
        <is>
          <t>BORÅS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46283</v>
      </c>
      <c r="F134" t="inlineStr">
        <is>
          <t>VÄSTRA GÖTALANDS LÄN</t>
        </is>
      </c>
      <c r="G134" t="inlineStr">
        <is>
          <t>BORÅS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46283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46283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46283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46283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46283</v>
      </c>
      <c r="F139" t="inlineStr">
        <is>
          <t>VÄSTRA GÖTALANDS LÄN</t>
        </is>
      </c>
      <c r="G139" t="inlineStr">
        <is>
          <t>BORÅS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44837</v>
      </c>
      <c r="E140" s="1" t="n">
        <v>46283</v>
      </c>
      <c r="F140" t="inlineStr">
        <is>
          <t>VÄSTRA GÖTALANDS LÄN</t>
        </is>
      </c>
      <c r="G140" t="inlineStr">
        <is>
          <t>BORÅS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46283</v>
      </c>
      <c r="F141" t="inlineStr">
        <is>
          <t>VÄSTRA GÖTALANDS LÄN</t>
        </is>
      </c>
      <c r="G141" t="inlineStr">
        <is>
          <t>BORÅS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44577</v>
      </c>
      <c r="E142" s="1" t="n">
        <v>46283</v>
      </c>
      <c r="F142" t="inlineStr">
        <is>
          <t>VÄSTRA GÖTALANDS LÄN</t>
        </is>
      </c>
      <c r="G142" t="inlineStr">
        <is>
          <t>BORÅS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45546</v>
      </c>
      <c r="E143" s="1" t="n">
        <v>46283</v>
      </c>
      <c r="F143" t="inlineStr">
        <is>
          <t>VÄSTRA GÖTALANDS LÄN</t>
        </is>
      </c>
      <c r="G143" t="inlineStr">
        <is>
          <t>BORÅS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46283</v>
      </c>
      <c r="F144" t="inlineStr">
        <is>
          <t>VÄSTRA GÖTALANDS LÄN</t>
        </is>
      </c>
      <c r="G144" t="inlineStr">
        <is>
          <t>BORÅS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46283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46283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11362-2022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44630</v>
      </c>
      <c r="E147" s="1" t="n">
        <v>46283</v>
      </c>
      <c r="F147" t="inlineStr">
        <is>
          <t>VÄSTRA GÖTALANDS LÄN</t>
        </is>
      </c>
      <c r="G147" t="inlineStr">
        <is>
          <t>BORÅS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46283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46283</v>
      </c>
      <c r="F149" t="inlineStr">
        <is>
          <t>VÄSTRA GÖTALANDS LÄN</t>
        </is>
      </c>
      <c r="G149" t="inlineStr">
        <is>
          <t>BORÅS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46283</v>
      </c>
      <c r="F150" t="inlineStr">
        <is>
          <t>VÄSTRA GÖTALANDS LÄN</t>
        </is>
      </c>
      <c r="G150" t="inlineStr">
        <is>
          <t>BORÅS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73822-2021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46283</v>
      </c>
      <c r="F151" t="inlineStr">
        <is>
          <t>VÄSTRA GÖTALANDS LÄN</t>
        </is>
      </c>
      <c r="G151" t="inlineStr">
        <is>
          <t>BORÅS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56684-2022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44888</v>
      </c>
      <c r="E152" s="1" t="n">
        <v>46283</v>
      </c>
      <c r="F152" t="inlineStr">
        <is>
          <t>VÄSTRA GÖTALANDS LÄN</t>
        </is>
      </c>
      <c r="G152" t="inlineStr">
        <is>
          <t>BORÅS</t>
        </is>
      </c>
      <c r="H152" t="inlineStr">
        <is>
          <t>Kyrkan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46283</v>
      </c>
      <c r="F153" t="inlineStr">
        <is>
          <t>VÄSTRA GÖTALANDS LÄN</t>
        </is>
      </c>
      <c r="G153" t="inlineStr">
        <is>
          <t>BORÅS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46283</v>
      </c>
      <c r="F154" t="inlineStr">
        <is>
          <t>VÄSTRA GÖTALANDS LÄN</t>
        </is>
      </c>
      <c r="G154" t="inlineStr">
        <is>
          <t>BORÅS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44639</v>
      </c>
      <c r="E155" s="1" t="n">
        <v>46283</v>
      </c>
      <c r="F155" t="inlineStr">
        <is>
          <t>VÄSTRA GÖTALANDS LÄN</t>
        </is>
      </c>
      <c r="G155" t="inlineStr">
        <is>
          <t>BORÅS</t>
        </is>
      </c>
      <c r="I155" t="n">
        <v>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46283</v>
      </c>
      <c r="F156" t="inlineStr">
        <is>
          <t>VÄSTRA GÖTALANDS LÄN</t>
        </is>
      </c>
      <c r="G156" t="inlineStr">
        <is>
          <t>BORÅS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46283</v>
      </c>
      <c r="F157" t="inlineStr">
        <is>
          <t>VÄSTRA GÖTALANDS LÄN</t>
        </is>
      </c>
      <c r="G157" t="inlineStr">
        <is>
          <t>BORÅS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46283</v>
      </c>
      <c r="F158" t="inlineStr">
        <is>
          <t>VÄSTRA GÖTALANDS LÄN</t>
        </is>
      </c>
      <c r="G158" t="inlineStr">
        <is>
          <t>BORÅS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46283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46283</v>
      </c>
      <c r="F160" t="inlineStr">
        <is>
          <t>VÄSTRA GÖTALANDS LÄN</t>
        </is>
      </c>
      <c r="G160" t="inlineStr">
        <is>
          <t>BORÅS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46283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45472</v>
      </c>
      <c r="E162" s="1" t="n">
        <v>46283</v>
      </c>
      <c r="F162" t="inlineStr">
        <is>
          <t>VÄSTRA GÖTALANDS LÄN</t>
        </is>
      </c>
      <c r="G162" t="inlineStr">
        <is>
          <t>BORÅS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45821</v>
      </c>
      <c r="E163" s="1" t="n">
        <v>46283</v>
      </c>
      <c r="F163" t="inlineStr">
        <is>
          <t>VÄSTRA GÖTALANDS LÄN</t>
        </is>
      </c>
      <c r="G163" t="inlineStr">
        <is>
          <t>BORÅS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46283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45823</v>
      </c>
      <c r="E165" s="1" t="n">
        <v>46283</v>
      </c>
      <c r="F165" t="inlineStr">
        <is>
          <t>VÄSTRA GÖTALANDS LÄN</t>
        </is>
      </c>
      <c r="G165" t="inlineStr">
        <is>
          <t>BORÅS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46283</v>
      </c>
      <c r="F166" t="inlineStr">
        <is>
          <t>VÄSTRA GÖTALANDS LÄN</t>
        </is>
      </c>
      <c r="G166" t="inlineStr">
        <is>
          <t>BORÅS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46283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45720</v>
      </c>
      <c r="E168" s="1" t="n">
        <v>46283</v>
      </c>
      <c r="F168" t="inlineStr">
        <is>
          <t>VÄSTRA GÖTALANDS LÄN</t>
        </is>
      </c>
      <c r="G168" t="inlineStr">
        <is>
          <t>BORÅS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46283</v>
      </c>
      <c r="F169" t="inlineStr">
        <is>
          <t>VÄSTRA GÖTALANDS LÄN</t>
        </is>
      </c>
      <c r="G169" t="inlineStr">
        <is>
          <t>BORÅS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45723</v>
      </c>
      <c r="E170" s="1" t="n">
        <v>46283</v>
      </c>
      <c r="F170" t="inlineStr">
        <is>
          <t>VÄSTRA GÖTALANDS LÄN</t>
        </is>
      </c>
      <c r="G170" t="inlineStr">
        <is>
          <t>BORÅS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46283</v>
      </c>
      <c r="F171" t="inlineStr">
        <is>
          <t>VÄSTRA GÖTALANDS LÄN</t>
        </is>
      </c>
      <c r="G171" t="inlineStr">
        <is>
          <t>BORÅS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46283</v>
      </c>
      <c r="F172" t="inlineStr">
        <is>
          <t>VÄSTRA GÖTALANDS LÄN</t>
        </is>
      </c>
      <c r="G172" t="inlineStr">
        <is>
          <t>BORÅS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44941</v>
      </c>
      <c r="E173" s="1" t="n">
        <v>46283</v>
      </c>
      <c r="F173" t="inlineStr">
        <is>
          <t>VÄSTRA GÖTALANDS LÄN</t>
        </is>
      </c>
      <c r="G173" t="inlineStr">
        <is>
          <t>BORÅS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30312-2025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45827</v>
      </c>
      <c r="E174" s="1" t="n">
        <v>46283</v>
      </c>
      <c r="F174" t="inlineStr">
        <is>
          <t>VÄSTRA GÖTALANDS LÄN</t>
        </is>
      </c>
      <c r="G174" t="inlineStr">
        <is>
          <t>BORÅS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46283</v>
      </c>
      <c r="F175" t="inlineStr">
        <is>
          <t>VÄSTRA GÖTALANDS LÄN</t>
        </is>
      </c>
      <c r="G175" t="inlineStr">
        <is>
          <t>BORÅS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46076</v>
      </c>
      <c r="E176" s="1" t="n">
        <v>46283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45609-2024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46283</v>
      </c>
      <c r="F177" t="inlineStr">
        <is>
          <t>VÄSTRA GÖTALANDS LÄN</t>
        </is>
      </c>
      <c r="G177" t="inlineStr">
        <is>
          <t>BORÅS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46283</v>
      </c>
      <c r="F178" t="inlineStr">
        <is>
          <t>VÄSTRA GÖTALANDS LÄN</t>
        </is>
      </c>
      <c r="G178" t="inlineStr">
        <is>
          <t>BORÅS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46283</v>
      </c>
      <c r="F179" t="inlineStr">
        <is>
          <t>VÄSTRA GÖTALANDS LÄN</t>
        </is>
      </c>
      <c r="G179" t="inlineStr">
        <is>
          <t>BORÅS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46283</v>
      </c>
      <c r="F180" t="inlineStr">
        <is>
          <t>VÄSTRA GÖTALANDS LÄN</t>
        </is>
      </c>
      <c r="G180" t="inlineStr">
        <is>
          <t>BORÅS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46283</v>
      </c>
      <c r="F181" t="inlineStr">
        <is>
          <t>VÄSTRA GÖTALANDS LÄN</t>
        </is>
      </c>
      <c r="G181" t="inlineStr">
        <is>
          <t>BORÅS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46283</v>
      </c>
      <c r="F182" t="inlineStr">
        <is>
          <t>VÄSTRA GÖTALANDS LÄN</t>
        </is>
      </c>
      <c r="G182" t="inlineStr">
        <is>
          <t>BORÅS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48508-2024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45593</v>
      </c>
      <c r="E183" s="1" t="n">
        <v>46283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46283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46283</v>
      </c>
      <c r="F185" t="inlineStr">
        <is>
          <t>VÄSTRA GÖTALANDS LÄN</t>
        </is>
      </c>
      <c r="G185" t="inlineStr">
        <is>
          <t>BORÅS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57786-2022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46283</v>
      </c>
      <c r="F186" t="inlineStr">
        <is>
          <t>VÄSTRA GÖTALANDS LÄN</t>
        </is>
      </c>
      <c r="G186" t="inlineStr">
        <is>
          <t>BORÅS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46283</v>
      </c>
      <c r="F187" t="inlineStr">
        <is>
          <t>VÄSTRA GÖTALANDS LÄN</t>
        </is>
      </c>
      <c r="G187" t="inlineStr">
        <is>
          <t>BORÅS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46283</v>
      </c>
      <c r="F188" t="inlineStr">
        <is>
          <t>VÄSTRA GÖTALANDS LÄN</t>
        </is>
      </c>
      <c r="G188" t="inlineStr">
        <is>
          <t>BORÅS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46283</v>
      </c>
      <c r="F189" t="inlineStr">
        <is>
          <t>VÄSTRA GÖTALANDS LÄN</t>
        </is>
      </c>
      <c r="G189" t="inlineStr">
        <is>
          <t>BORÅS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45836</v>
      </c>
      <c r="E190" s="1" t="n">
        <v>46283</v>
      </c>
      <c r="F190" t="inlineStr">
        <is>
          <t>VÄSTRA GÖTALANDS LÄN</t>
        </is>
      </c>
      <c r="G190" t="inlineStr">
        <is>
          <t>BORÅS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45836</v>
      </c>
      <c r="E191" s="1" t="n">
        <v>46283</v>
      </c>
      <c r="F191" t="inlineStr">
        <is>
          <t>VÄSTRA GÖTALANDS LÄN</t>
        </is>
      </c>
      <c r="G191" t="inlineStr">
        <is>
          <t>BORÅS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46283</v>
      </c>
      <c r="F192" t="inlineStr">
        <is>
          <t>VÄSTRA GÖTALANDS LÄN</t>
        </is>
      </c>
      <c r="G192" t="inlineStr">
        <is>
          <t>BORÅS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46283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46283</v>
      </c>
      <c r="F194" t="inlineStr">
        <is>
          <t>VÄSTRA GÖTALANDS LÄN</t>
        </is>
      </c>
      <c r="G194" t="inlineStr">
        <is>
          <t>BORÅS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46283</v>
      </c>
      <c r="F195" t="inlineStr">
        <is>
          <t>VÄSTRA GÖTALANDS LÄN</t>
        </is>
      </c>
      <c r="G195" t="inlineStr">
        <is>
          <t>BORÅS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46283</v>
      </c>
      <c r="F196" t="inlineStr">
        <is>
          <t>VÄSTRA GÖTALANDS LÄN</t>
        </is>
      </c>
      <c r="G196" t="inlineStr">
        <is>
          <t>BORÅS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46283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28552-2022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46283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46283</v>
      </c>
      <c r="F199" t="inlineStr">
        <is>
          <t>VÄSTRA GÖTALANDS LÄN</t>
        </is>
      </c>
      <c r="G199" t="inlineStr">
        <is>
          <t>BORÅS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46283</v>
      </c>
      <c r="F200" t="inlineStr">
        <is>
          <t>VÄSTRA GÖTALANDS LÄN</t>
        </is>
      </c>
      <c r="G200" t="inlineStr">
        <is>
          <t>BORÅS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44740</v>
      </c>
      <c r="E201" s="1" t="n">
        <v>46283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12635-2026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46091</v>
      </c>
      <c r="E202" s="1" t="n">
        <v>46283</v>
      </c>
      <c r="F202" t="inlineStr">
        <is>
          <t>VÄSTRA GÖTALANDS LÄN</t>
        </is>
      </c>
      <c r="G202" t="inlineStr">
        <is>
          <t>BORÅS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46283</v>
      </c>
      <c r="F203" t="inlineStr">
        <is>
          <t>VÄSTRA GÖTALANDS LÄN</t>
        </is>
      </c>
      <c r="G203" t="inlineStr">
        <is>
          <t>BORÅS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45392</v>
      </c>
      <c r="E204" s="1" t="n">
        <v>46283</v>
      </c>
      <c r="F204" t="inlineStr">
        <is>
          <t>VÄSTRA GÖTALANDS LÄN</t>
        </is>
      </c>
      <c r="G204" t="inlineStr">
        <is>
          <t>BORÅS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46283</v>
      </c>
      <c r="F205" t="inlineStr">
        <is>
          <t>VÄSTRA GÖTALANDS LÄN</t>
        </is>
      </c>
      <c r="G205" t="inlineStr">
        <is>
          <t>BORÅS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46283</v>
      </c>
      <c r="F206" t="inlineStr">
        <is>
          <t>VÄSTRA GÖTALANDS LÄN</t>
        </is>
      </c>
      <c r="G206" t="inlineStr">
        <is>
          <t>BORÅS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46097</v>
      </c>
      <c r="E207" s="1" t="n">
        <v>46283</v>
      </c>
      <c r="F207" t="inlineStr">
        <is>
          <t>VÄSTRA GÖTALANDS LÄN</t>
        </is>
      </c>
      <c r="G207" t="inlineStr">
        <is>
          <t>BORÅS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14230-2026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46283</v>
      </c>
      <c r="F208" t="inlineStr">
        <is>
          <t>VÄSTRA GÖTALANDS LÄN</t>
        </is>
      </c>
      <c r="G208" t="inlineStr">
        <is>
          <t>BORÅS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46283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46099</v>
      </c>
      <c r="E210" s="1" t="n">
        <v>46283</v>
      </c>
      <c r="F210" t="inlineStr">
        <is>
          <t>VÄSTRA GÖTALANDS LÄN</t>
        </is>
      </c>
      <c r="G210" t="inlineStr">
        <is>
          <t>BORÅS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46283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46283</v>
      </c>
      <c r="F212" t="inlineStr">
        <is>
          <t>VÄSTRA GÖTALANDS LÄN</t>
        </is>
      </c>
      <c r="G212" t="inlineStr">
        <is>
          <t>BORÅS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24183-2024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45456</v>
      </c>
      <c r="E213" s="1" t="n">
        <v>46283</v>
      </c>
      <c r="F213" t="inlineStr">
        <is>
          <t>VÄSTRA GÖTALANDS LÄN</t>
        </is>
      </c>
      <c r="G213" t="inlineStr">
        <is>
          <t>BORÅS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44854</v>
      </c>
      <c r="E214" s="1" t="n">
        <v>46283</v>
      </c>
      <c r="F214" t="inlineStr">
        <is>
          <t>VÄSTRA GÖTALANDS LÄN</t>
        </is>
      </c>
      <c r="G214" t="inlineStr">
        <is>
          <t>BORÅS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46283</v>
      </c>
      <c r="F215" t="inlineStr">
        <is>
          <t>VÄSTRA GÖTALANDS LÄN</t>
        </is>
      </c>
      <c r="G215" t="inlineStr">
        <is>
          <t>BORÅS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50382-2022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44866</v>
      </c>
      <c r="E216" s="1" t="n">
        <v>46283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46283</v>
      </c>
      <c r="F217" t="inlineStr">
        <is>
          <t>VÄSTRA GÖTALANDS LÄN</t>
        </is>
      </c>
      <c r="G217" t="inlineStr">
        <is>
          <t>BORÅS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28171-2022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44746</v>
      </c>
      <c r="E218" s="1" t="n">
        <v>46283</v>
      </c>
      <c r="F218" t="inlineStr">
        <is>
          <t>VÄSTRA GÖTALANDS LÄN</t>
        </is>
      </c>
      <c r="G218" t="inlineStr">
        <is>
          <t>BORÅS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46283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44886</v>
      </c>
      <c r="E220" s="1" t="n">
        <v>46283</v>
      </c>
      <c r="F220" t="inlineStr">
        <is>
          <t>VÄSTRA GÖTALANDS LÄN</t>
        </is>
      </c>
      <c r="G220" t="inlineStr">
        <is>
          <t>BORÅS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46283</v>
      </c>
      <c r="F221" t="inlineStr">
        <is>
          <t>VÄSTRA GÖTALANDS LÄN</t>
        </is>
      </c>
      <c r="G221" t="inlineStr">
        <is>
          <t>BORÅS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46283</v>
      </c>
      <c r="F222" t="inlineStr">
        <is>
          <t>VÄSTRA GÖTALANDS LÄN</t>
        </is>
      </c>
      <c r="G222" t="inlineStr">
        <is>
          <t>BORÅS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46283</v>
      </c>
      <c r="F223" t="inlineStr">
        <is>
          <t>VÄSTRA GÖTALANDS LÄN</t>
        </is>
      </c>
      <c r="G223" t="inlineStr">
        <is>
          <t>BORÅS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15193-2026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46105</v>
      </c>
      <c r="E224" s="1" t="n">
        <v>46283</v>
      </c>
      <c r="F224" t="inlineStr">
        <is>
          <t>VÄSTRA GÖTALANDS LÄN</t>
        </is>
      </c>
      <c r="G224" t="inlineStr">
        <is>
          <t>BORÅS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46283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Kyrkan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46283</v>
      </c>
      <c r="F226" t="inlineStr">
        <is>
          <t>VÄSTRA GÖTALANDS LÄN</t>
        </is>
      </c>
      <c r="G226" t="inlineStr">
        <is>
          <t>BORÅS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46283</v>
      </c>
      <c r="F227" t="inlineStr">
        <is>
          <t>VÄSTRA GÖTALANDS LÄN</t>
        </is>
      </c>
      <c r="G227" t="inlineStr">
        <is>
          <t>BORÅS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45483</v>
      </c>
      <c r="E228" s="1" t="n">
        <v>46283</v>
      </c>
      <c r="F228" t="inlineStr">
        <is>
          <t>VÄSTRA GÖTALANDS LÄN</t>
        </is>
      </c>
      <c r="G228" t="inlineStr">
        <is>
          <t>BORÅS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45866</v>
      </c>
      <c r="E229" s="1" t="n">
        <v>46283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46283</v>
      </c>
      <c r="F230" t="inlineStr">
        <is>
          <t>VÄSTRA GÖTALANDS LÄN</t>
        </is>
      </c>
      <c r="G230" t="inlineStr">
        <is>
          <t>BORÅS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45483</v>
      </c>
      <c r="E231" s="1" t="n">
        <v>46283</v>
      </c>
      <c r="F231" t="inlineStr">
        <is>
          <t>VÄSTRA GÖTALANDS LÄN</t>
        </is>
      </c>
      <c r="G231" t="inlineStr">
        <is>
          <t>BORÅS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44959</v>
      </c>
      <c r="E232" s="1" t="n">
        <v>46283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46283</v>
      </c>
      <c r="F233" t="inlineStr">
        <is>
          <t>VÄSTRA GÖTALANDS LÄN</t>
        </is>
      </c>
      <c r="G233" t="inlineStr">
        <is>
          <t>BORÅS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46283</v>
      </c>
      <c r="F234" t="inlineStr">
        <is>
          <t>VÄSTRA GÖTALANDS LÄN</t>
        </is>
      </c>
      <c r="G234" t="inlineStr">
        <is>
          <t>BORÅS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46283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44882</v>
      </c>
      <c r="E236" s="1" t="n">
        <v>46283</v>
      </c>
      <c r="F236" t="inlineStr">
        <is>
          <t>VÄSTRA GÖTALANDS LÄN</t>
        </is>
      </c>
      <c r="G236" t="inlineStr">
        <is>
          <t>BORÅS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53204-2024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45612</v>
      </c>
      <c r="E237" s="1" t="n">
        <v>46283</v>
      </c>
      <c r="F237" t="inlineStr">
        <is>
          <t>VÄSTRA GÖTALANDS LÄN</t>
        </is>
      </c>
      <c r="G237" t="inlineStr">
        <is>
          <t>BORÅS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46283</v>
      </c>
      <c r="F238" t="inlineStr">
        <is>
          <t>VÄSTRA GÖTALANDS LÄN</t>
        </is>
      </c>
      <c r="G238" t="inlineStr">
        <is>
          <t>BORÅS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46283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46283</v>
      </c>
      <c r="F240" t="inlineStr">
        <is>
          <t>VÄSTRA GÖTALANDS LÄN</t>
        </is>
      </c>
      <c r="G240" t="inlineStr">
        <is>
          <t>BORÅS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46283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46283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17234-2026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46119</v>
      </c>
      <c r="E243" s="1" t="n">
        <v>46283</v>
      </c>
      <c r="F243" t="inlineStr">
        <is>
          <t>VÄSTRA GÖTALANDS LÄN</t>
        </is>
      </c>
      <c r="G243" t="inlineStr">
        <is>
          <t>BORÅS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46283</v>
      </c>
      <c r="F244" t="inlineStr">
        <is>
          <t>VÄSTRA GÖTALANDS LÄN</t>
        </is>
      </c>
      <c r="G244" t="inlineStr">
        <is>
          <t>BORÅS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46283</v>
      </c>
      <c r="F245" t="inlineStr">
        <is>
          <t>VÄSTRA GÖTALANDS LÄN</t>
        </is>
      </c>
      <c r="G245" t="inlineStr">
        <is>
          <t>BORÅS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46283</v>
      </c>
      <c r="F246" t="inlineStr">
        <is>
          <t>VÄSTRA GÖTALANDS LÄN</t>
        </is>
      </c>
      <c r="G246" t="inlineStr">
        <is>
          <t>BORÅS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46283</v>
      </c>
      <c r="F247" t="inlineStr">
        <is>
          <t>VÄSTRA GÖTALANDS LÄN</t>
        </is>
      </c>
      <c r="G247" t="inlineStr">
        <is>
          <t>BORÅS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46283</v>
      </c>
      <c r="F248" t="inlineStr">
        <is>
          <t>VÄSTRA GÖTALANDS LÄN</t>
        </is>
      </c>
      <c r="G248" t="inlineStr">
        <is>
          <t>BORÅS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46283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46283</v>
      </c>
      <c r="F250" t="inlineStr">
        <is>
          <t>VÄSTRA GÖTALANDS LÄN</t>
        </is>
      </c>
      <c r="G250" t="inlineStr">
        <is>
          <t>BORÅS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46283</v>
      </c>
      <c r="F251" t="inlineStr">
        <is>
          <t>VÄSTRA GÖTALANDS LÄN</t>
        </is>
      </c>
      <c r="G251" t="inlineStr">
        <is>
          <t>BORÅS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46283</v>
      </c>
      <c r="F252" t="inlineStr">
        <is>
          <t>VÄSTRA GÖTALANDS LÄN</t>
        </is>
      </c>
      <c r="G252" t="inlineStr">
        <is>
          <t>BORÅS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46283</v>
      </c>
      <c r="F253" t="inlineStr">
        <is>
          <t>VÄSTRA GÖTALANDS LÄN</t>
        </is>
      </c>
      <c r="G253" t="inlineStr">
        <is>
          <t>BORÅS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46283</v>
      </c>
      <c r="F254" t="inlineStr">
        <is>
          <t>VÄSTRA GÖTALANDS LÄN</t>
        </is>
      </c>
      <c r="G254" t="inlineStr">
        <is>
          <t>BORÅS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46283</v>
      </c>
      <c r="F255" t="inlineStr">
        <is>
          <t>VÄSTRA GÖTALANDS LÄN</t>
        </is>
      </c>
      <c r="G255" t="inlineStr">
        <is>
          <t>BORÅS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32241-2023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46283</v>
      </c>
      <c r="F256" t="inlineStr">
        <is>
          <t>VÄSTRA GÖTALANDS LÄN</t>
        </is>
      </c>
      <c r="G256" t="inlineStr">
        <is>
          <t>BORÅS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46283</v>
      </c>
      <c r="F257" t="inlineStr">
        <is>
          <t>VÄSTRA GÖTALANDS LÄN</t>
        </is>
      </c>
      <c r="G257" t="inlineStr">
        <is>
          <t>BORÅS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46283</v>
      </c>
      <c r="F258" t="inlineStr">
        <is>
          <t>VÄSTRA GÖTALANDS LÄN</t>
        </is>
      </c>
      <c r="G258" t="inlineStr">
        <is>
          <t>BORÅS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46283</v>
      </c>
      <c r="F259" t="inlineStr">
        <is>
          <t>VÄSTRA GÖTALANDS LÄN</t>
        </is>
      </c>
      <c r="G259" t="inlineStr">
        <is>
          <t>BORÅS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45120</v>
      </c>
      <c r="E260" s="1" t="n">
        <v>46283</v>
      </c>
      <c r="F260" t="inlineStr">
        <is>
          <t>VÄSTRA GÖTALANDS LÄN</t>
        </is>
      </c>
      <c r="G260" t="inlineStr">
        <is>
          <t>BORÅS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46283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46283</v>
      </c>
      <c r="F262" t="inlineStr">
        <is>
          <t>VÄSTRA GÖTALANDS LÄN</t>
        </is>
      </c>
      <c r="G262" t="inlineStr">
        <is>
          <t>BORÅS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44987</v>
      </c>
      <c r="E263" s="1" t="n">
        <v>46283</v>
      </c>
      <c r="F263" t="inlineStr">
        <is>
          <t>VÄSTRA GÖTALANDS LÄN</t>
        </is>
      </c>
      <c r="G263" t="inlineStr">
        <is>
          <t>BORÅS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45477</v>
      </c>
      <c r="E264" s="1" t="n">
        <v>46283</v>
      </c>
      <c r="F264" t="inlineStr">
        <is>
          <t>VÄSTRA GÖTALANDS LÄN</t>
        </is>
      </c>
      <c r="G264" t="inlineStr">
        <is>
          <t>BORÅS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52486-2023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46283</v>
      </c>
      <c r="F265" t="inlineStr">
        <is>
          <t>VÄSTRA GÖTALANDS LÄN</t>
        </is>
      </c>
      <c r="G265" t="inlineStr">
        <is>
          <t>BORÅS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46283</v>
      </c>
      <c r="F266" t="inlineStr">
        <is>
          <t>VÄSTRA GÖTALANDS LÄN</t>
        </is>
      </c>
      <c r="G266" t="inlineStr">
        <is>
          <t>BORÅS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46283</v>
      </c>
      <c r="F267" t="inlineStr">
        <is>
          <t>VÄSTRA GÖTALANDS LÄN</t>
        </is>
      </c>
      <c r="G267" t="inlineStr">
        <is>
          <t>BORÅS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46283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46283</v>
      </c>
      <c r="F269" t="inlineStr">
        <is>
          <t>VÄSTRA GÖTALANDS LÄN</t>
        </is>
      </c>
      <c r="G269" t="inlineStr">
        <is>
          <t>BORÅS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31943-2024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45510</v>
      </c>
      <c r="E270" s="1" t="n">
        <v>46283</v>
      </c>
      <c r="F270" t="inlineStr">
        <is>
          <t>VÄSTRA GÖTALANDS LÄN</t>
        </is>
      </c>
      <c r="G270" t="inlineStr">
        <is>
          <t>BORÅS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46283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70988-2021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44538</v>
      </c>
      <c r="E272" s="1" t="n">
        <v>46283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46283</v>
      </c>
      <c r="F273" t="inlineStr">
        <is>
          <t>VÄSTRA GÖTALANDS LÄN</t>
        </is>
      </c>
      <c r="G273" t="inlineStr">
        <is>
          <t>BORÅS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46283</v>
      </c>
      <c r="F274" t="inlineStr">
        <is>
          <t>VÄSTRA GÖTALANDS LÄN</t>
        </is>
      </c>
      <c r="G274" t="inlineStr">
        <is>
          <t>BORÅS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46283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21739-2026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46147</v>
      </c>
      <c r="E276" s="1" t="n">
        <v>46283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46283</v>
      </c>
      <c r="F277" t="inlineStr">
        <is>
          <t>VÄSTRA GÖTALANDS LÄN</t>
        </is>
      </c>
      <c r="G277" t="inlineStr">
        <is>
          <t>BORÅS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46283</v>
      </c>
      <c r="F278" t="inlineStr">
        <is>
          <t>VÄSTRA GÖTALANDS LÄN</t>
        </is>
      </c>
      <c r="G278" t="inlineStr">
        <is>
          <t>BORÅS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45863</v>
      </c>
      <c r="E279" s="1" t="n">
        <v>46283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46283</v>
      </c>
      <c r="F280" t="inlineStr">
        <is>
          <t>VÄSTRA GÖTALANDS LÄN</t>
        </is>
      </c>
      <c r="G280" t="inlineStr">
        <is>
          <t>BORÅS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46283</v>
      </c>
      <c r="F281" t="inlineStr">
        <is>
          <t>VÄSTRA GÖTALANDS LÄN</t>
        </is>
      </c>
      <c r="G281" t="inlineStr">
        <is>
          <t>BORÅS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45688</v>
      </c>
      <c r="E282" s="1" t="n">
        <v>46283</v>
      </c>
      <c r="F282" t="inlineStr">
        <is>
          <t>VÄSTRA GÖTALANDS LÄN</t>
        </is>
      </c>
      <c r="G282" t="inlineStr">
        <is>
          <t>BORÅS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46283</v>
      </c>
      <c r="F283" t="inlineStr">
        <is>
          <t>VÄSTRA GÖTALANDS LÄN</t>
        </is>
      </c>
      <c r="G283" t="inlineStr">
        <is>
          <t>BORÅS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46283</v>
      </c>
      <c r="F284" t="inlineStr">
        <is>
          <t>VÄSTRA GÖTALANDS LÄN</t>
        </is>
      </c>
      <c r="G284" t="inlineStr">
        <is>
          <t>BORÅS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45113</v>
      </c>
      <c r="E285" s="1" t="n">
        <v>46283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46283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46283</v>
      </c>
      <c r="F287" t="inlineStr">
        <is>
          <t>VÄSTRA GÖTALANDS LÄN</t>
        </is>
      </c>
      <c r="G287" t="inlineStr">
        <is>
          <t>BORÅS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46283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52827-2021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44467</v>
      </c>
      <c r="E289" s="1" t="n">
        <v>46283</v>
      </c>
      <c r="F289" t="inlineStr">
        <is>
          <t>VÄSTRA GÖTALANDS LÄN</t>
        </is>
      </c>
      <c r="G289" t="inlineStr">
        <is>
          <t>BORÅS</t>
        </is>
      </c>
      <c r="I289" t="n">
        <v>19.4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46283</v>
      </c>
      <c r="F290" t="inlineStr">
        <is>
          <t>VÄSTRA GÖTALANDS LÄN</t>
        </is>
      </c>
      <c r="G290" t="inlineStr">
        <is>
          <t>BORÅS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45197</v>
      </c>
      <c r="E291" s="1" t="n">
        <v>46283</v>
      </c>
      <c r="F291" t="inlineStr">
        <is>
          <t>VÄSTRA GÖTALANDS LÄN</t>
        </is>
      </c>
      <c r="G291" t="inlineStr">
        <is>
          <t>BORÅS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45053</v>
      </c>
      <c r="E292" s="1" t="n">
        <v>46283</v>
      </c>
      <c r="F292" t="inlineStr">
        <is>
          <t>VÄSTRA GÖTALANDS LÄN</t>
        </is>
      </c>
      <c r="G292" t="inlineStr">
        <is>
          <t>BORÅS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45870</v>
      </c>
      <c r="E293" s="1" t="n">
        <v>46283</v>
      </c>
      <c r="F293" t="inlineStr">
        <is>
          <t>VÄSTRA GÖTALANDS LÄN</t>
        </is>
      </c>
      <c r="G293" t="inlineStr">
        <is>
          <t>BORÅS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46283</v>
      </c>
      <c r="F294" t="inlineStr">
        <is>
          <t>VÄSTRA GÖTALANDS LÄN</t>
        </is>
      </c>
      <c r="G294" t="inlineStr">
        <is>
          <t>BORÅS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45925</v>
      </c>
      <c r="E295" s="1" t="n">
        <v>46283</v>
      </c>
      <c r="F295" t="inlineStr">
        <is>
          <t>VÄSTRA GÖTALANDS LÄN</t>
        </is>
      </c>
      <c r="G295" t="inlineStr">
        <is>
          <t>BORÅS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45870</v>
      </c>
      <c r="E296" s="1" t="n">
        <v>46283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46283</v>
      </c>
      <c r="F297" t="inlineStr">
        <is>
          <t>VÄSTRA GÖTALANDS LÄN</t>
        </is>
      </c>
      <c r="G297" t="inlineStr">
        <is>
          <t>BORÅS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45968</v>
      </c>
      <c r="E298" s="1" t="n">
        <v>46283</v>
      </c>
      <c r="F298" t="inlineStr">
        <is>
          <t>VÄSTRA GÖTALANDS LÄN</t>
        </is>
      </c>
      <c r="G298" t="inlineStr">
        <is>
          <t>BORÅS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46283</v>
      </c>
      <c r="F299" t="inlineStr">
        <is>
          <t>VÄSTRA GÖTALANDS LÄN</t>
        </is>
      </c>
      <c r="G299" t="inlineStr">
        <is>
          <t>BORÅS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45085</v>
      </c>
      <c r="E300" s="1" t="n">
        <v>46283</v>
      </c>
      <c r="F300" t="inlineStr">
        <is>
          <t>VÄSTRA GÖTALANDS LÄN</t>
        </is>
      </c>
      <c r="G300" t="inlineStr">
        <is>
          <t>BORÅS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36781-2024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46283</v>
      </c>
      <c r="F301" t="inlineStr">
        <is>
          <t>VÄSTRA GÖTALANDS LÄN</t>
        </is>
      </c>
      <c r="G301" t="inlineStr">
        <is>
          <t>BORÅS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45044</v>
      </c>
      <c r="E302" s="1" t="n">
        <v>46283</v>
      </c>
      <c r="F302" t="inlineStr">
        <is>
          <t>VÄSTRA GÖTALANDS LÄN</t>
        </is>
      </c>
      <c r="G302" t="inlineStr">
        <is>
          <t>BORÅS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46283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46283</v>
      </c>
      <c r="F304" t="inlineStr">
        <is>
          <t>VÄSTRA GÖTALANDS LÄN</t>
        </is>
      </c>
      <c r="G304" t="inlineStr">
        <is>
          <t>BORÅS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45294</v>
      </c>
      <c r="E305" s="1" t="n">
        <v>46283</v>
      </c>
      <c r="F305" t="inlineStr">
        <is>
          <t>VÄSTRA GÖTALANDS LÄN</t>
        </is>
      </c>
      <c r="G305" t="inlineStr">
        <is>
          <t>BORÅS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20653-2026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46141</v>
      </c>
      <c r="E306" s="1" t="n">
        <v>46283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57670-2022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46283</v>
      </c>
      <c r="F307" t="inlineStr">
        <is>
          <t>VÄSTRA GÖTALANDS LÄN</t>
        </is>
      </c>
      <c r="G307" t="inlineStr">
        <is>
          <t>BORÅS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47594-2025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46283</v>
      </c>
      <c r="F308" t="inlineStr">
        <is>
          <t>VÄSTRA GÖTALANDS LÄN</t>
        </is>
      </c>
      <c r="G308" t="inlineStr">
        <is>
          <t>BORÅS</t>
        </is>
      </c>
      <c r="H308" t="inlineStr">
        <is>
          <t>Kommuner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46283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20279-2026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46136</v>
      </c>
      <c r="E310" s="1" t="n">
        <v>46283</v>
      </c>
      <c r="F310" t="inlineStr">
        <is>
          <t>VÄSTRA GÖTALANDS LÄN</t>
        </is>
      </c>
      <c r="G310" t="inlineStr">
        <is>
          <t>BORÅS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46283</v>
      </c>
      <c r="F311" t="inlineStr">
        <is>
          <t>VÄSTRA GÖTALANDS LÄN</t>
        </is>
      </c>
      <c r="G311" t="inlineStr">
        <is>
          <t>BORÅS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45096</v>
      </c>
      <c r="E312" s="1" t="n">
        <v>46283</v>
      </c>
      <c r="F312" t="inlineStr">
        <is>
          <t>VÄSTRA GÖTALANDS LÄN</t>
        </is>
      </c>
      <c r="G312" t="inlineStr">
        <is>
          <t>BORÅS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46283</v>
      </c>
      <c r="F313" t="inlineStr">
        <is>
          <t>VÄSTRA GÖTALANDS LÄN</t>
        </is>
      </c>
      <c r="G313" t="inlineStr">
        <is>
          <t>BORÅS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45216</v>
      </c>
      <c r="E314" s="1" t="n">
        <v>46283</v>
      </c>
      <c r="F314" t="inlineStr">
        <is>
          <t>VÄSTRA GÖTALANDS LÄN</t>
        </is>
      </c>
      <c r="G314" t="inlineStr">
        <is>
          <t>BORÅS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45110</v>
      </c>
      <c r="E315" s="1" t="n">
        <v>46283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47613-2025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46283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46283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46283</v>
      </c>
      <c r="F318" t="inlineStr">
        <is>
          <t>VÄSTRA GÖTALANDS LÄN</t>
        </is>
      </c>
      <c r="G318" t="inlineStr">
        <is>
          <t>BORÅS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45935</v>
      </c>
      <c r="E319" s="1" t="n">
        <v>46283</v>
      </c>
      <c r="F319" t="inlineStr">
        <is>
          <t>VÄSTRA GÖTALANDS LÄN</t>
        </is>
      </c>
      <c r="G319" t="inlineStr">
        <is>
          <t>BORÅS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45727</v>
      </c>
      <c r="E320" s="1" t="n">
        <v>46283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Kyrkan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46283</v>
      </c>
      <c r="F321" t="inlineStr">
        <is>
          <t>VÄSTRA GÖTALANDS LÄN</t>
        </is>
      </c>
      <c r="G321" t="inlineStr">
        <is>
          <t>BORÅS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46283</v>
      </c>
      <c r="F322" t="inlineStr">
        <is>
          <t>VÄSTRA GÖTALANDS LÄN</t>
        </is>
      </c>
      <c r="G322" t="inlineStr">
        <is>
          <t>BORÅS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45097</v>
      </c>
      <c r="E323" s="1" t="n">
        <v>46283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45770</v>
      </c>
      <c r="E324" s="1" t="n">
        <v>46283</v>
      </c>
      <c r="F324" t="inlineStr">
        <is>
          <t>VÄSTRA GÖTALANDS LÄN</t>
        </is>
      </c>
      <c r="G324" t="inlineStr">
        <is>
          <t>BORÅS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46283</v>
      </c>
      <c r="F325" t="inlineStr">
        <is>
          <t>VÄSTRA GÖTALANDS LÄN</t>
        </is>
      </c>
      <c r="G325" t="inlineStr">
        <is>
          <t>BORÅS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46283</v>
      </c>
      <c r="F326" t="inlineStr">
        <is>
          <t>VÄSTRA GÖTALANDS LÄN</t>
        </is>
      </c>
      <c r="G326" t="inlineStr">
        <is>
          <t>BORÅS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46283</v>
      </c>
      <c r="F327" t="inlineStr">
        <is>
          <t>VÄSTRA GÖTALANDS LÄN</t>
        </is>
      </c>
      <c r="G327" t="inlineStr">
        <is>
          <t>BORÅS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46283</v>
      </c>
      <c r="F328" t="inlineStr">
        <is>
          <t>VÄSTRA GÖTALANDS LÄN</t>
        </is>
      </c>
      <c r="G328" t="inlineStr">
        <is>
          <t>BORÅS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46283</v>
      </c>
      <c r="F329" t="inlineStr">
        <is>
          <t>VÄSTRA GÖTALANDS LÄN</t>
        </is>
      </c>
      <c r="G329" t="inlineStr">
        <is>
          <t>BORÅS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46283</v>
      </c>
      <c r="F330" t="inlineStr">
        <is>
          <t>VÄSTRA GÖTALANDS LÄN</t>
        </is>
      </c>
      <c r="G330" t="inlineStr">
        <is>
          <t>BORÅS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58771-2021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44489</v>
      </c>
      <c r="E331" s="1" t="n">
        <v>46283</v>
      </c>
      <c r="F331" t="inlineStr">
        <is>
          <t>VÄSTRA GÖTALANDS LÄN</t>
        </is>
      </c>
      <c r="G331" t="inlineStr">
        <is>
          <t>BORÅS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46283</v>
      </c>
      <c r="F332" t="inlineStr">
        <is>
          <t>VÄSTRA GÖTALANDS LÄN</t>
        </is>
      </c>
      <c r="G332" t="inlineStr">
        <is>
          <t>BORÅS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46283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46283</v>
      </c>
      <c r="F334" t="inlineStr">
        <is>
          <t>VÄSTRA GÖTALANDS LÄN</t>
        </is>
      </c>
      <c r="G334" t="inlineStr">
        <is>
          <t>BORÅS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45337</v>
      </c>
      <c r="E335" s="1" t="n">
        <v>46283</v>
      </c>
      <c r="F335" t="inlineStr">
        <is>
          <t>VÄSTRA GÖTALANDS LÄN</t>
        </is>
      </c>
      <c r="G335" t="inlineStr">
        <is>
          <t>BORÅS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72566-2021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44546</v>
      </c>
      <c r="E336" s="1" t="n">
        <v>46283</v>
      </c>
      <c r="F336" t="inlineStr">
        <is>
          <t>VÄSTRA GÖTALANDS LÄN</t>
        </is>
      </c>
      <c r="G336" t="inlineStr">
        <is>
          <t>BORÅS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46283</v>
      </c>
      <c r="F337" t="inlineStr">
        <is>
          <t>VÄSTRA GÖTALANDS LÄN</t>
        </is>
      </c>
      <c r="G337" t="inlineStr">
        <is>
          <t>BORÅS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32454-2023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45120</v>
      </c>
      <c r="E338" s="1" t="n">
        <v>46283</v>
      </c>
      <c r="F338" t="inlineStr">
        <is>
          <t>VÄSTRA GÖTALANDS LÄN</t>
        </is>
      </c>
      <c r="G338" t="inlineStr">
        <is>
          <t>BORÅS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46283</v>
      </c>
      <c r="F339" t="inlineStr">
        <is>
          <t>VÄSTRA GÖTALANDS LÄN</t>
        </is>
      </c>
      <c r="G339" t="inlineStr">
        <is>
          <t>BORÅS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32482-2023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45120</v>
      </c>
      <c r="E340" s="1" t="n">
        <v>46283</v>
      </c>
      <c r="F340" t="inlineStr">
        <is>
          <t>VÄSTRA GÖTALANDS LÄN</t>
        </is>
      </c>
      <c r="G340" t="inlineStr">
        <is>
          <t>BORÅS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32450-2023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46283</v>
      </c>
      <c r="F341" t="inlineStr">
        <is>
          <t>VÄSTRA GÖTALANDS LÄN</t>
        </is>
      </c>
      <c r="G341" t="inlineStr">
        <is>
          <t>BORÅS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46283</v>
      </c>
      <c r="F342" t="inlineStr">
        <is>
          <t>VÄSTRA GÖTALANDS LÄN</t>
        </is>
      </c>
      <c r="G342" t="inlineStr">
        <is>
          <t>BORÅS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46283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45271</v>
      </c>
      <c r="E344" s="1" t="n">
        <v>46283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46283</v>
      </c>
      <c r="F345" t="inlineStr">
        <is>
          <t>VÄSTRA GÖTALANDS LÄN</t>
        </is>
      </c>
      <c r="G345" t="inlineStr">
        <is>
          <t>BORÅS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46283</v>
      </c>
      <c r="F346" t="inlineStr">
        <is>
          <t>VÄSTRA GÖTALANDS LÄN</t>
        </is>
      </c>
      <c r="G346" t="inlineStr">
        <is>
          <t>BORÅS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21331-2023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45062</v>
      </c>
      <c r="E347" s="1" t="n">
        <v>46283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46283</v>
      </c>
      <c r="F348" t="inlineStr">
        <is>
          <t>VÄSTRA GÖTALANDS LÄN</t>
        </is>
      </c>
      <c r="G348" t="inlineStr">
        <is>
          <t>BORÅS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45294</v>
      </c>
      <c r="E349" s="1" t="n">
        <v>46283</v>
      </c>
      <c r="F349" t="inlineStr">
        <is>
          <t>VÄSTRA GÖTALANDS LÄN</t>
        </is>
      </c>
      <c r="G349" t="inlineStr">
        <is>
          <t>BORÅS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46283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46283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Kyrkan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46283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45937</v>
      </c>
      <c r="E353" s="1" t="n">
        <v>46283</v>
      </c>
      <c r="F353" t="inlineStr">
        <is>
          <t>VÄSTRA GÖTALANDS LÄN</t>
        </is>
      </c>
      <c r="G353" t="inlineStr">
        <is>
          <t>BORÅS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44782-2025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45917</v>
      </c>
      <c r="E354" s="1" t="n">
        <v>46283</v>
      </c>
      <c r="F354" t="inlineStr">
        <is>
          <t>VÄSTRA GÖTALANDS LÄN</t>
        </is>
      </c>
      <c r="G354" t="inlineStr">
        <is>
          <t>BORÅS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34195-2025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45845</v>
      </c>
      <c r="E355" s="1" t="n">
        <v>46283</v>
      </c>
      <c r="F355" t="inlineStr">
        <is>
          <t>VÄSTRA GÖTALANDS LÄN</t>
        </is>
      </c>
      <c r="G355" t="inlineStr">
        <is>
          <t>BORÅS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46283</v>
      </c>
      <c r="F356" t="inlineStr">
        <is>
          <t>VÄSTRA GÖTALANDS LÄN</t>
        </is>
      </c>
      <c r="G356" t="inlineStr">
        <is>
          <t>BORÅS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46283</v>
      </c>
      <c r="F357" t="inlineStr">
        <is>
          <t>VÄSTRA GÖTALANDS LÄN</t>
        </is>
      </c>
      <c r="G357" t="inlineStr">
        <is>
          <t>BORÅS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25238-2026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46175</v>
      </c>
      <c r="E358" s="1" t="n">
        <v>46283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45637</v>
      </c>
      <c r="E359" s="1" t="n">
        <v>46283</v>
      </c>
      <c r="F359" t="inlineStr">
        <is>
          <t>VÄSTRA GÖTALANDS LÄN</t>
        </is>
      </c>
      <c r="G359" t="inlineStr">
        <is>
          <t>BORÅS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45593</v>
      </c>
      <c r="E360" s="1" t="n">
        <v>46283</v>
      </c>
      <c r="F360" t="inlineStr">
        <is>
          <t>VÄSTRA GÖTALANDS LÄN</t>
        </is>
      </c>
      <c r="G360" t="inlineStr">
        <is>
          <t>BORÅS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45947</v>
      </c>
      <c r="E361" s="1" t="n">
        <v>46283</v>
      </c>
      <c r="F361" t="inlineStr">
        <is>
          <t>VÄSTRA GÖTALANDS LÄN</t>
        </is>
      </c>
      <c r="G361" t="inlineStr">
        <is>
          <t>BORÅS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45947</v>
      </c>
      <c r="E362" s="1" t="n">
        <v>46283</v>
      </c>
      <c r="F362" t="inlineStr">
        <is>
          <t>VÄSTRA GÖTALANDS LÄN</t>
        </is>
      </c>
      <c r="G362" t="inlineStr">
        <is>
          <t>BORÅS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46283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46283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53125-2024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46283</v>
      </c>
      <c r="F365" t="inlineStr">
        <is>
          <t>VÄSTRA GÖTALANDS LÄN</t>
        </is>
      </c>
      <c r="G365" t="inlineStr">
        <is>
          <t>BORÅS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46283</v>
      </c>
      <c r="F366" t="inlineStr">
        <is>
          <t>VÄSTRA GÖTALANDS LÄN</t>
        </is>
      </c>
      <c r="G366" t="inlineStr">
        <is>
          <t>BORÅS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45562</v>
      </c>
      <c r="E367" s="1" t="n">
        <v>46283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8240-2022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44609</v>
      </c>
      <c r="E368" s="1" t="n">
        <v>46283</v>
      </c>
      <c r="F368" t="inlineStr">
        <is>
          <t>VÄSTRA GÖTALANDS LÄN</t>
        </is>
      </c>
      <c r="G368" t="inlineStr">
        <is>
          <t>BORÅS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46283</v>
      </c>
      <c r="F369" t="inlineStr">
        <is>
          <t>VÄSTRA GÖTALANDS LÄN</t>
        </is>
      </c>
      <c r="G369" t="inlineStr">
        <is>
          <t>BORÅS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46283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Kyrkan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46283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Kyrkan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45155</v>
      </c>
      <c r="E372" s="1" t="n">
        <v>46283</v>
      </c>
      <c r="F372" t="inlineStr">
        <is>
          <t>VÄSTRA GÖTALANDS LÄN</t>
        </is>
      </c>
      <c r="G372" t="inlineStr">
        <is>
          <t>BORÅS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46283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65064-2021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44515</v>
      </c>
      <c r="E374" s="1" t="n">
        <v>46283</v>
      </c>
      <c r="F374" t="inlineStr">
        <is>
          <t>VÄSTRA GÖTALANDS LÄN</t>
        </is>
      </c>
      <c r="G374" t="inlineStr">
        <is>
          <t>BORÅS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32237-2023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45119</v>
      </c>
      <c r="E375" s="1" t="n">
        <v>46283</v>
      </c>
      <c r="F375" t="inlineStr">
        <is>
          <t>VÄSTRA GÖTALANDS LÄN</t>
        </is>
      </c>
      <c r="G375" t="inlineStr">
        <is>
          <t>BORÅS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46283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Kyrkan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52369-2025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45953</v>
      </c>
      <c r="E377" s="1" t="n">
        <v>46283</v>
      </c>
      <c r="F377" t="inlineStr">
        <is>
          <t>VÄSTRA GÖTALANDS LÄN</t>
        </is>
      </c>
      <c r="G377" t="inlineStr">
        <is>
          <t>BORÅS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46283</v>
      </c>
      <c r="F378" t="inlineStr">
        <is>
          <t>VÄSTRA GÖTALANDS LÄN</t>
        </is>
      </c>
      <c r="G378" t="inlineStr">
        <is>
          <t>BORÅS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46283</v>
      </c>
      <c r="F379" t="inlineStr">
        <is>
          <t>VÄSTRA GÖTALANDS LÄN</t>
        </is>
      </c>
      <c r="G379" t="inlineStr">
        <is>
          <t>BORÅS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46283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46283</v>
      </c>
      <c r="F381" t="inlineStr">
        <is>
          <t>VÄSTRA GÖTALANDS LÄN</t>
        </is>
      </c>
      <c r="G381" t="inlineStr">
        <is>
          <t>BORÅS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46283</v>
      </c>
      <c r="F382" t="inlineStr">
        <is>
          <t>VÄSTRA GÖTALANDS LÄN</t>
        </is>
      </c>
      <c r="G382" t="inlineStr">
        <is>
          <t>BORÅS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46283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45959</v>
      </c>
      <c r="E384" s="1" t="n">
        <v>46283</v>
      </c>
      <c r="F384" t="inlineStr">
        <is>
          <t>VÄSTRA GÖTALANDS LÄN</t>
        </is>
      </c>
      <c r="G384" t="inlineStr">
        <is>
          <t>BORÅS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46134-2023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45196</v>
      </c>
      <c r="E385" s="1" t="n">
        <v>46283</v>
      </c>
      <c r="F385" t="inlineStr">
        <is>
          <t>VÄSTRA GÖTALANDS LÄN</t>
        </is>
      </c>
      <c r="G385" t="inlineStr">
        <is>
          <t>BORÅS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72806-2021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44547</v>
      </c>
      <c r="E386" s="1" t="n">
        <v>46283</v>
      </c>
      <c r="F386" t="inlineStr">
        <is>
          <t>VÄSTRA GÖTALANDS LÄN</t>
        </is>
      </c>
      <c r="G386" t="inlineStr">
        <is>
          <t>BORÅS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45951</v>
      </c>
      <c r="E387" s="1" t="n">
        <v>46283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Kommuner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46283</v>
      </c>
      <c r="F388" t="inlineStr">
        <is>
          <t>VÄSTRA GÖTALANDS LÄN</t>
        </is>
      </c>
      <c r="G388" t="inlineStr">
        <is>
          <t>BORÅS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46283</v>
      </c>
      <c r="F389" t="inlineStr">
        <is>
          <t>VÄSTRA GÖTALANDS LÄN</t>
        </is>
      </c>
      <c r="G389" t="inlineStr">
        <is>
          <t>BORÅS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58000-2024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45631</v>
      </c>
      <c r="E390" s="1" t="n">
        <v>46283</v>
      </c>
      <c r="F390" t="inlineStr">
        <is>
          <t>VÄSTRA GÖTALANDS LÄN</t>
        </is>
      </c>
      <c r="G390" t="inlineStr">
        <is>
          <t>BORÅS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45961</v>
      </c>
      <c r="E391" s="1" t="n">
        <v>46283</v>
      </c>
      <c r="F391" t="inlineStr">
        <is>
          <t>VÄSTRA GÖTALANDS LÄN</t>
        </is>
      </c>
      <c r="G391" t="inlineStr">
        <is>
          <t>BORÅS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45671</v>
      </c>
      <c r="E392" s="1" t="n">
        <v>46283</v>
      </c>
      <c r="F392" t="inlineStr">
        <is>
          <t>VÄSTRA GÖTALANDS LÄN</t>
        </is>
      </c>
      <c r="G392" t="inlineStr">
        <is>
          <t>BORÅS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44644</v>
      </c>
      <c r="E393" s="1" t="n">
        <v>46283</v>
      </c>
      <c r="F393" t="inlineStr">
        <is>
          <t>VÄSTRA GÖTALANDS LÄN</t>
        </is>
      </c>
      <c r="G393" t="inlineStr">
        <is>
          <t>BORÅS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46283</v>
      </c>
      <c r="F394" t="inlineStr">
        <is>
          <t>VÄSTRA GÖTALANDS LÄN</t>
        </is>
      </c>
      <c r="G394" t="inlineStr">
        <is>
          <t>BORÅS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27335-2024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45472</v>
      </c>
      <c r="E395" s="1" t="n">
        <v>46283</v>
      </c>
      <c r="F395" t="inlineStr">
        <is>
          <t>VÄSTRA GÖTALANDS LÄN</t>
        </is>
      </c>
      <c r="G395" t="inlineStr">
        <is>
          <t>BORÅS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53942-2025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45961</v>
      </c>
      <c r="E396" s="1" t="n">
        <v>46283</v>
      </c>
      <c r="F396" t="inlineStr">
        <is>
          <t>VÄSTRA GÖTALANDS LÄN</t>
        </is>
      </c>
      <c r="G396" t="inlineStr">
        <is>
          <t>BORÅS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45618-2024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46283</v>
      </c>
      <c r="F397" t="inlineStr">
        <is>
          <t>VÄSTRA GÖTALANDS LÄN</t>
        </is>
      </c>
      <c r="G397" t="inlineStr">
        <is>
          <t>BORÅS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46283</v>
      </c>
      <c r="F398" t="inlineStr">
        <is>
          <t>VÄSTRA GÖTALANDS LÄN</t>
        </is>
      </c>
      <c r="G398" t="inlineStr">
        <is>
          <t>BORÅS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46283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46283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46283</v>
      </c>
      <c r="F401" t="inlineStr">
        <is>
          <t>VÄSTRA GÖTALANDS LÄN</t>
        </is>
      </c>
      <c r="G401" t="inlineStr">
        <is>
          <t>BORÅS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44639</v>
      </c>
      <c r="E402" s="1" t="n">
        <v>46283</v>
      </c>
      <c r="F402" t="inlineStr">
        <is>
          <t>VÄSTRA GÖTALANDS LÄN</t>
        </is>
      </c>
      <c r="G402" t="inlineStr">
        <is>
          <t>BORÅS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46283</v>
      </c>
      <c r="F403" t="inlineStr">
        <is>
          <t>VÄSTRA GÖTALANDS LÄN</t>
        </is>
      </c>
      <c r="G403" t="inlineStr">
        <is>
          <t>BORÅS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45196</v>
      </c>
      <c r="E404" s="1" t="n">
        <v>46283</v>
      </c>
      <c r="F404" t="inlineStr">
        <is>
          <t>VÄSTRA GÖTALANDS LÄN</t>
        </is>
      </c>
      <c r="G404" t="inlineStr">
        <is>
          <t>BORÅS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44564</v>
      </c>
      <c r="E405" s="1" t="n">
        <v>46283</v>
      </c>
      <c r="F405" t="inlineStr">
        <is>
          <t>VÄSTRA GÖTALANDS LÄN</t>
        </is>
      </c>
      <c r="G405" t="inlineStr">
        <is>
          <t>BORÅS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44879-2023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45190</v>
      </c>
      <c r="E406" s="1" t="n">
        <v>46283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8182-2024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45351</v>
      </c>
      <c r="E407" s="1" t="n">
        <v>46283</v>
      </c>
      <c r="F407" t="inlineStr">
        <is>
          <t>VÄSTRA GÖTALANDS LÄN</t>
        </is>
      </c>
      <c r="G407" t="inlineStr">
        <is>
          <t>BORÅS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46283</v>
      </c>
      <c r="F408" t="inlineStr">
        <is>
          <t>VÄSTRA GÖTALANDS LÄN</t>
        </is>
      </c>
      <c r="G408" t="inlineStr">
        <is>
          <t>BORÅS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56376-2025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45974</v>
      </c>
      <c r="E409" s="1" t="n">
        <v>46283</v>
      </c>
      <c r="F409" t="inlineStr">
        <is>
          <t>VÄSTRA GÖTALANDS LÄN</t>
        </is>
      </c>
      <c r="G409" t="inlineStr">
        <is>
          <t>BORÅS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46283</v>
      </c>
      <c r="F410" t="inlineStr">
        <is>
          <t>VÄSTRA GÖTALANDS LÄN</t>
        </is>
      </c>
      <c r="G410" t="inlineStr">
        <is>
          <t>BORÅS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45231</v>
      </c>
      <c r="E411" s="1" t="n">
        <v>46283</v>
      </c>
      <c r="F411" t="inlineStr">
        <is>
          <t>VÄSTRA GÖTALANDS LÄN</t>
        </is>
      </c>
      <c r="G411" t="inlineStr">
        <is>
          <t>BORÅS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46283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Kyrkan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46203</v>
      </c>
      <c r="E413" s="1" t="n">
        <v>46283</v>
      </c>
      <c r="F413" t="inlineStr">
        <is>
          <t>VÄSTRA GÖTALANDS LÄN</t>
        </is>
      </c>
      <c r="G413" t="inlineStr">
        <is>
          <t>BORÅS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46283</v>
      </c>
      <c r="F414" t="inlineStr">
        <is>
          <t>VÄSTRA GÖTALANDS LÄN</t>
        </is>
      </c>
      <c r="G414" t="inlineStr">
        <is>
          <t>BORÅS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46283</v>
      </c>
      <c r="F415" t="inlineStr">
        <is>
          <t>VÄSTRA GÖTALANDS LÄN</t>
        </is>
      </c>
      <c r="G415" t="inlineStr">
        <is>
          <t>BORÅS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46283</v>
      </c>
      <c r="F416" t="inlineStr">
        <is>
          <t>VÄSTRA GÖTALANDS LÄN</t>
        </is>
      </c>
      <c r="G416" t="inlineStr">
        <is>
          <t>BORÅS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46283</v>
      </c>
      <c r="F417" t="inlineStr">
        <is>
          <t>VÄSTRA GÖTALANDS LÄN</t>
        </is>
      </c>
      <c r="G417" t="inlineStr">
        <is>
          <t>BORÅS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45205</v>
      </c>
      <c r="E418" s="1" t="n">
        <v>46283</v>
      </c>
      <c r="F418" t="inlineStr">
        <is>
          <t>VÄSTRA GÖTALANDS LÄN</t>
        </is>
      </c>
      <c r="G418" t="inlineStr">
        <is>
          <t>BORÅS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45212</v>
      </c>
      <c r="E419" s="1" t="n">
        <v>46283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46283</v>
      </c>
      <c r="F420" t="inlineStr">
        <is>
          <t>VÄSTRA GÖTALANDS LÄN</t>
        </is>
      </c>
      <c r="G420" t="inlineStr">
        <is>
          <t>BORÅS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45982</v>
      </c>
      <c r="E421" s="1" t="n">
        <v>46283</v>
      </c>
      <c r="F421" t="inlineStr">
        <is>
          <t>VÄSTRA GÖTALANDS LÄN</t>
        </is>
      </c>
      <c r="G421" t="inlineStr">
        <is>
          <t>BORÅS</t>
        </is>
      </c>
      <c r="H421" t="inlineStr">
        <is>
          <t>Kommuner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46283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46283</v>
      </c>
      <c r="F423" t="inlineStr">
        <is>
          <t>VÄSTRA GÖTALANDS LÄN</t>
        </is>
      </c>
      <c r="G423" t="inlineStr">
        <is>
          <t>BORÅS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58304-2025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45982</v>
      </c>
      <c r="E424" s="1" t="n">
        <v>46283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Kommuner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  <c r="X424">
        <f>HYPERLINK("https://klasma.github.io/Logging_1490/kartor/A 58304-2025 karta.png", "A 58304-2025")</f>
        <v/>
      </c>
      <c r="Y424">
        <f>HYPERLINK("https://klasma.github.io/Logging_1490/kartor_geotiff/A 58304-2025 georefererad karta.tif", "A 58304-2025")</f>
        <v/>
      </c>
      <c r="AA424">
        <f>HYPERLINK("https://klasma.github.io/Logging_1490/klagomål/A 58304-2025 FSC-klagomål.docx", "A 58304-2025")</f>
        <v/>
      </c>
      <c r="AB424">
        <f>HYPERLINK("https://klasma.github.io/Logging_1490/klagomålsmail/A 58304-2025 FSC-klagomål mail.docx", "A 58304-2025")</f>
        <v/>
      </c>
      <c r="AC424">
        <f>HYPERLINK("https://klasma.github.io/Logging_1490/tillsyn/A 58304-2025 tillsynsbegäran.docx", "A 58304-2025")</f>
        <v/>
      </c>
      <c r="AD424">
        <f>HYPERLINK("https://klasma.github.io/Logging_1490/tillsynsmail/A 58304-2025 tillsynsbegäran mail.docx", "A 58304-2025")</f>
        <v/>
      </c>
    </row>
    <row r="425" ht="15" customHeight="1">
      <c r="A425" t="inlineStr">
        <is>
          <t>A 58303-2025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45982</v>
      </c>
      <c r="E425" s="1" t="n">
        <v>46283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Kommuner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29626-2026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46283</v>
      </c>
      <c r="F426" t="inlineStr">
        <is>
          <t>VÄSTRA GÖTALANDS LÄN</t>
        </is>
      </c>
      <c r="G426" t="inlineStr">
        <is>
          <t>BORÅS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46283</v>
      </c>
      <c r="F427" t="inlineStr">
        <is>
          <t>VÄSTRA GÖTALANDS LÄN</t>
        </is>
      </c>
      <c r="G427" t="inlineStr">
        <is>
          <t>BORÅS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29606-2026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46283</v>
      </c>
      <c r="F428" t="inlineStr">
        <is>
          <t>VÄSTRA GÖTALANDS LÄN</t>
        </is>
      </c>
      <c r="G428" t="inlineStr">
        <is>
          <t>BORÅS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46283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46283</v>
      </c>
      <c r="F430" t="inlineStr">
        <is>
          <t>VÄSTRA GÖTALANDS LÄN</t>
        </is>
      </c>
      <c r="G430" t="inlineStr">
        <is>
          <t>BORÅS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46283</v>
      </c>
      <c r="F431" t="inlineStr">
        <is>
          <t>VÄSTRA GÖTALANDS LÄN</t>
        </is>
      </c>
      <c r="G431" t="inlineStr">
        <is>
          <t>BORÅS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46283</v>
      </c>
      <c r="F432" t="inlineStr">
        <is>
          <t>VÄSTRA GÖTALANDS LÄN</t>
        </is>
      </c>
      <c r="G432" t="inlineStr">
        <is>
          <t>BORÅS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45126</v>
      </c>
      <c r="E433" s="1" t="n">
        <v>46283</v>
      </c>
      <c r="F433" t="inlineStr">
        <is>
          <t>VÄSTRA GÖTALANDS LÄN</t>
        </is>
      </c>
      <c r="G433" t="inlineStr">
        <is>
          <t>BORÅS</t>
        </is>
      </c>
      <c r="I433" t="n">
        <v>10.2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46283</v>
      </c>
      <c r="F434" t="inlineStr">
        <is>
          <t>VÄSTRA GÖTALANDS LÄN</t>
        </is>
      </c>
      <c r="G434" t="inlineStr">
        <is>
          <t>BORÅS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46283</v>
      </c>
      <c r="F435" t="inlineStr">
        <is>
          <t>VÄSTRA GÖTALANDS LÄN</t>
        </is>
      </c>
      <c r="G435" t="inlineStr">
        <is>
          <t>BORÅS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32234-2023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46283</v>
      </c>
      <c r="F436" t="inlineStr">
        <is>
          <t>VÄSTRA GÖTALANDS LÄN</t>
        </is>
      </c>
      <c r="G436" t="inlineStr">
        <is>
          <t>BORÅS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45685</v>
      </c>
      <c r="E437" s="1" t="n">
        <v>46283</v>
      </c>
      <c r="F437" t="inlineStr">
        <is>
          <t>VÄSTRA GÖTALANDS LÄN</t>
        </is>
      </c>
      <c r="G437" t="inlineStr">
        <is>
          <t>BORÅS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45516</v>
      </c>
      <c r="E438" s="1" t="n">
        <v>46283</v>
      </c>
      <c r="F438" t="inlineStr">
        <is>
          <t>VÄSTRA GÖTALANDS LÄN</t>
        </is>
      </c>
      <c r="G438" t="inlineStr">
        <is>
          <t>BORÅS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45741</v>
      </c>
      <c r="E439" s="1" t="n">
        <v>46283</v>
      </c>
      <c r="F439" t="inlineStr">
        <is>
          <t>VÄSTRA GÖTALANDS LÄN</t>
        </is>
      </c>
      <c r="G439" t="inlineStr">
        <is>
          <t>BORÅS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46252</v>
      </c>
      <c r="E440" s="1" t="n">
        <v>46283</v>
      </c>
      <c r="F440" t="inlineStr">
        <is>
          <t>VÄSTRA GÖTALANDS LÄN</t>
        </is>
      </c>
      <c r="G440" t="inlineStr">
        <is>
          <t>BORÅS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61681-2023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46283</v>
      </c>
      <c r="F441" t="inlineStr">
        <is>
          <t>VÄSTRA GÖTALANDS LÄN</t>
        </is>
      </c>
      <c r="G441" t="inlineStr">
        <is>
          <t>BORÅS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33792-2026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46283</v>
      </c>
      <c r="F442" t="inlineStr">
        <is>
          <t>VÄSTRA GÖTALANDS LÄN</t>
        </is>
      </c>
      <c r="G442" t="inlineStr">
        <is>
          <t>BORÅS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45120</v>
      </c>
      <c r="E443" s="1" t="n">
        <v>46283</v>
      </c>
      <c r="F443" t="inlineStr">
        <is>
          <t>VÄSTRA GÖTALANDS LÄN</t>
        </is>
      </c>
      <c r="G443" t="inlineStr">
        <is>
          <t>BORÅS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46283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46283</v>
      </c>
      <c r="F445" t="inlineStr">
        <is>
          <t>VÄSTRA GÖTALANDS LÄN</t>
        </is>
      </c>
      <c r="G445" t="inlineStr">
        <is>
          <t>BORÅS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46283</v>
      </c>
      <c r="F446" t="inlineStr">
        <is>
          <t>VÄSTRA GÖTALANDS LÄN</t>
        </is>
      </c>
      <c r="G446" t="inlineStr">
        <is>
          <t>BORÅS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46283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45302</v>
      </c>
      <c r="E448" s="1" t="n">
        <v>46283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21168-2022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44704</v>
      </c>
      <c r="E449" s="1" t="n">
        <v>46283</v>
      </c>
      <c r="F449" t="inlineStr">
        <is>
          <t>VÄSTRA GÖTALANDS LÄN</t>
        </is>
      </c>
      <c r="G449" t="inlineStr">
        <is>
          <t>BORÅS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59831-2025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46283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59392-2025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46283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46283</v>
      </c>
      <c r="F452" t="inlineStr">
        <is>
          <t>VÄSTRA GÖTALANDS LÄN</t>
        </is>
      </c>
      <c r="G452" t="inlineStr">
        <is>
          <t>BORÅS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45239</v>
      </c>
      <c r="E453" s="1" t="n">
        <v>46283</v>
      </c>
      <c r="F453" t="inlineStr">
        <is>
          <t>VÄSTRA GÖTALANDS LÄN</t>
        </is>
      </c>
      <c r="G453" t="inlineStr">
        <is>
          <t>BORÅS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46283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45315</v>
      </c>
      <c r="E455" s="1" t="n">
        <v>46283</v>
      </c>
      <c r="F455" t="inlineStr">
        <is>
          <t>VÄSTRA GÖTALANDS LÄN</t>
        </is>
      </c>
      <c r="G455" t="inlineStr">
        <is>
          <t>BORÅS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45186</v>
      </c>
      <c r="E456" s="1" t="n">
        <v>46283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45233</v>
      </c>
      <c r="E457" s="1" t="n">
        <v>46283</v>
      </c>
      <c r="F457" t="inlineStr">
        <is>
          <t>VÄSTRA GÖTALANDS LÄN</t>
        </is>
      </c>
      <c r="G457" t="inlineStr">
        <is>
          <t>BORÅS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45758</v>
      </c>
      <c r="E458" s="1" t="n">
        <v>46283</v>
      </c>
      <c r="F458" t="inlineStr">
        <is>
          <t>VÄSTRA GÖTALANDS LÄN</t>
        </is>
      </c>
      <c r="G458" t="inlineStr">
        <is>
          <t>BORÅS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45268</v>
      </c>
      <c r="E459" s="1" t="n">
        <v>46283</v>
      </c>
      <c r="F459" t="inlineStr">
        <is>
          <t>VÄSTRA GÖTALANDS LÄN</t>
        </is>
      </c>
      <c r="G459" t="inlineStr">
        <is>
          <t>BORÅS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17263-2025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45756</v>
      </c>
      <c r="E460" s="1" t="n">
        <v>46283</v>
      </c>
      <c r="F460" t="inlineStr">
        <is>
          <t>VÄSTRA GÖTALANDS LÄN</t>
        </is>
      </c>
      <c r="G460" t="inlineStr">
        <is>
          <t>BORÅS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45994</v>
      </c>
      <c r="E461" s="1" t="n">
        <v>46283</v>
      </c>
      <c r="F461" t="inlineStr">
        <is>
          <t>VÄSTRA GÖTALANDS LÄN</t>
        </is>
      </c>
      <c r="G461" t="inlineStr">
        <is>
          <t>BORÅS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45994</v>
      </c>
      <c r="E462" s="1" t="n">
        <v>46283</v>
      </c>
      <c r="F462" t="inlineStr">
        <is>
          <t>VÄSTRA GÖTALANDS LÄN</t>
        </is>
      </c>
      <c r="G462" t="inlineStr">
        <is>
          <t>BORÅS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65200-2023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45289</v>
      </c>
      <c r="E463" s="1" t="n">
        <v>46283</v>
      </c>
      <c r="F463" t="inlineStr">
        <is>
          <t>VÄSTRA GÖTALANDS LÄN</t>
        </is>
      </c>
      <c r="G463" t="inlineStr">
        <is>
          <t>BORÅS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60617-2025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45996</v>
      </c>
      <c r="E464" s="1" t="n">
        <v>46283</v>
      </c>
      <c r="F464" t="inlineStr">
        <is>
          <t>VÄSTRA GÖTALANDS LÄN</t>
        </is>
      </c>
      <c r="G464" t="inlineStr">
        <is>
          <t>BORÅS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44804</v>
      </c>
      <c r="E465" s="1" t="n">
        <v>46283</v>
      </c>
      <c r="F465" t="inlineStr">
        <is>
          <t>VÄSTRA GÖTALANDS LÄN</t>
        </is>
      </c>
      <c r="G465" t="inlineStr">
        <is>
          <t>BORÅS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46217</v>
      </c>
      <c r="E466" s="1" t="n">
        <v>46283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46216</v>
      </c>
      <c r="E467" s="1" t="n">
        <v>46283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46260</v>
      </c>
      <c r="E468" s="1" t="n">
        <v>46283</v>
      </c>
      <c r="F468" t="inlineStr">
        <is>
          <t>VÄSTRA GÖTALANDS LÄN</t>
        </is>
      </c>
      <c r="G468" t="inlineStr">
        <is>
          <t>BORÅS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46216</v>
      </c>
      <c r="E469" s="1" t="n">
        <v>46283</v>
      </c>
      <c r="F469" t="inlineStr">
        <is>
          <t>VÄSTRA GÖTALANDS LÄN</t>
        </is>
      </c>
      <c r="G469" t="inlineStr">
        <is>
          <t>BORÅS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45321</v>
      </c>
      <c r="E470" s="1" t="n">
        <v>46283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Kommuner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44839</v>
      </c>
      <c r="E471" s="1" t="n">
        <v>46283</v>
      </c>
      <c r="F471" t="inlineStr">
        <is>
          <t>VÄSTRA GÖTALANDS LÄN</t>
        </is>
      </c>
      <c r="G471" t="inlineStr">
        <is>
          <t>BORÅS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46283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46283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46260</v>
      </c>
      <c r="E474" s="1" t="n">
        <v>46283</v>
      </c>
      <c r="F474" t="inlineStr">
        <is>
          <t>VÄSTRA GÖTALANDS LÄN</t>
        </is>
      </c>
      <c r="G474" t="inlineStr">
        <is>
          <t>BORÅS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46283</v>
      </c>
      <c r="F475" t="inlineStr">
        <is>
          <t>VÄSTRA GÖTALANDS LÄN</t>
        </is>
      </c>
      <c r="G475" t="inlineStr">
        <is>
          <t>BORÅS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46283</v>
      </c>
      <c r="F476" t="inlineStr">
        <is>
          <t>VÄSTRA GÖTALANDS LÄN</t>
        </is>
      </c>
      <c r="G476" t="inlineStr">
        <is>
          <t>BORÅS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46283</v>
      </c>
      <c r="F477" t="inlineStr">
        <is>
          <t>VÄSTRA GÖTALANDS LÄN</t>
        </is>
      </c>
      <c r="G477" t="inlineStr">
        <is>
          <t>BORÅS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45321</v>
      </c>
      <c r="E478" s="1" t="n">
        <v>46283</v>
      </c>
      <c r="F478" t="inlineStr">
        <is>
          <t>VÄSTRA GÖTALANDS LÄN</t>
        </is>
      </c>
      <c r="G478" t="inlineStr">
        <is>
          <t>BORÅS</t>
        </is>
      </c>
      <c r="H478" t="inlineStr">
        <is>
          <t>Kommuner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46283</v>
      </c>
      <c r="F479" t="inlineStr">
        <is>
          <t>VÄSTRA GÖTALANDS LÄN</t>
        </is>
      </c>
      <c r="G479" t="inlineStr">
        <is>
          <t>BORÅS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56007-2023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46283</v>
      </c>
      <c r="F480" t="inlineStr">
        <is>
          <t>VÄSTRA GÖTALANDS LÄN</t>
        </is>
      </c>
      <c r="G480" t="inlineStr">
        <is>
          <t>BORÅS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62532-2022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44916</v>
      </c>
      <c r="E481" s="1" t="n">
        <v>46283</v>
      </c>
      <c r="F481" t="inlineStr">
        <is>
          <t>VÄSTRA GÖTALANDS LÄN</t>
        </is>
      </c>
      <c r="G481" t="inlineStr">
        <is>
          <t>BORÅS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45294</v>
      </c>
      <c r="E482" s="1" t="n">
        <v>46283</v>
      </c>
      <c r="F482" t="inlineStr">
        <is>
          <t>VÄSTRA GÖTALANDS LÄN</t>
        </is>
      </c>
      <c r="G482" t="inlineStr">
        <is>
          <t>BORÅS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57782-2022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46283</v>
      </c>
      <c r="F483" t="inlineStr">
        <is>
          <t>VÄSTRA GÖTALANDS LÄN</t>
        </is>
      </c>
      <c r="G483" t="inlineStr">
        <is>
          <t>BORÅS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45321</v>
      </c>
      <c r="E484" s="1" t="n">
        <v>46283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Kommuner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46283</v>
      </c>
      <c r="F485" t="inlineStr">
        <is>
          <t>VÄSTRA GÖTALANDS LÄN</t>
        </is>
      </c>
      <c r="G485" t="inlineStr">
        <is>
          <t>BORÅS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46268</v>
      </c>
      <c r="E486" s="1" t="n">
        <v>46283</v>
      </c>
      <c r="F486" t="inlineStr">
        <is>
          <t>VÄSTRA GÖTALANDS LÄN</t>
        </is>
      </c>
      <c r="G486" t="inlineStr">
        <is>
          <t>BORÅS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45308</v>
      </c>
      <c r="E487" s="1" t="n">
        <v>46283</v>
      </c>
      <c r="F487" t="inlineStr">
        <is>
          <t>VÄSTRA GÖTALANDS LÄN</t>
        </is>
      </c>
      <c r="G487" t="inlineStr">
        <is>
          <t>BORÅS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46267</v>
      </c>
      <c r="E488" s="1" t="n">
        <v>46283</v>
      </c>
      <c r="F488" t="inlineStr">
        <is>
          <t>VÄSTRA GÖTALANDS LÄN</t>
        </is>
      </c>
      <c r="G488" t="inlineStr">
        <is>
          <t>BORÅS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45294</v>
      </c>
      <c r="E489" s="1" t="n">
        <v>46283</v>
      </c>
      <c r="F489" t="inlineStr">
        <is>
          <t>VÄSTRA GÖTALANDS LÄN</t>
        </is>
      </c>
      <c r="G489" t="inlineStr">
        <is>
          <t>BORÅS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45294</v>
      </c>
      <c r="E490" s="1" t="n">
        <v>46283</v>
      </c>
      <c r="F490" t="inlineStr">
        <is>
          <t>VÄSTRA GÖTALANDS LÄN</t>
        </is>
      </c>
      <c r="G490" t="inlineStr">
        <is>
          <t>BORÅS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45294</v>
      </c>
      <c r="E491" s="1" t="n">
        <v>46283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45189</v>
      </c>
      <c r="E492" s="1" t="n">
        <v>46283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46268</v>
      </c>
      <c r="E493" s="1" t="n">
        <v>46283</v>
      </c>
      <c r="F493" t="inlineStr">
        <is>
          <t>VÄSTRA GÖTALANDS LÄN</t>
        </is>
      </c>
      <c r="G493" t="inlineStr">
        <is>
          <t>BORÅS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38970-2024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45548</v>
      </c>
      <c r="E494" s="1" t="n">
        <v>46283</v>
      </c>
      <c r="F494" t="inlineStr">
        <is>
          <t>VÄSTRA GÖTALANDS LÄN</t>
        </is>
      </c>
      <c r="G494" t="inlineStr">
        <is>
          <t>BORÅS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46224</v>
      </c>
      <c r="E495" s="1" t="n">
        <v>46283</v>
      </c>
      <c r="F495" t="inlineStr">
        <is>
          <t>VÄSTRA GÖTALANDS LÄN</t>
        </is>
      </c>
      <c r="G495" t="inlineStr">
        <is>
          <t>BORÅS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47850-2024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45588</v>
      </c>
      <c r="E496" s="1" t="n">
        <v>46283</v>
      </c>
      <c r="F496" t="inlineStr">
        <is>
          <t>VÄSTRA GÖTALANDS LÄN</t>
        </is>
      </c>
      <c r="G496" t="inlineStr">
        <is>
          <t>BORÅS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46283</v>
      </c>
      <c r="F497" t="inlineStr">
        <is>
          <t>VÄSTRA GÖTALANDS LÄN</t>
        </is>
      </c>
      <c r="G497" t="inlineStr">
        <is>
          <t>BORÅS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62692-2025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46008</v>
      </c>
      <c r="E498" s="1" t="n">
        <v>46283</v>
      </c>
      <c r="F498" t="inlineStr">
        <is>
          <t>VÄSTRA GÖTALANDS LÄN</t>
        </is>
      </c>
      <c r="G498" t="inlineStr">
        <is>
          <t>BORÅS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46283</v>
      </c>
      <c r="F499" t="inlineStr">
        <is>
          <t>VÄSTRA GÖTALANDS LÄN</t>
        </is>
      </c>
      <c r="G499" t="inlineStr">
        <is>
          <t>BORÅS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52410-2023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45224</v>
      </c>
      <c r="E500" s="1" t="n">
        <v>46283</v>
      </c>
      <c r="F500" t="inlineStr">
        <is>
          <t>VÄSTRA GÖTALANDS LÄN</t>
        </is>
      </c>
      <c r="G500" t="inlineStr">
        <is>
          <t>BORÅS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46426-2023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45197</v>
      </c>
      <c r="E501" s="1" t="n">
        <v>46283</v>
      </c>
      <c r="F501" t="inlineStr">
        <is>
          <t>VÄSTRA GÖTALANDS LÄN</t>
        </is>
      </c>
      <c r="G501" t="inlineStr">
        <is>
          <t>BORÅS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45294</v>
      </c>
      <c r="E502" s="1" t="n">
        <v>46283</v>
      </c>
      <c r="F502" t="inlineStr">
        <is>
          <t>VÄSTRA GÖTALANDS LÄN</t>
        </is>
      </c>
      <c r="G502" t="inlineStr">
        <is>
          <t>BORÅS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46283</v>
      </c>
      <c r="F503" t="inlineStr">
        <is>
          <t>VÄSTRA GÖTALANDS LÄN</t>
        </is>
      </c>
      <c r="G503" t="inlineStr">
        <is>
          <t>BORÅS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5964-2023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44964</v>
      </c>
      <c r="E504" s="1" t="n">
        <v>46283</v>
      </c>
      <c r="F504" t="inlineStr">
        <is>
          <t>VÄSTRA GÖTALANDS LÄN</t>
        </is>
      </c>
      <c r="G504" t="inlineStr">
        <is>
          <t>BORÅS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49948-2023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45215</v>
      </c>
      <c r="E505" s="1" t="n">
        <v>46283</v>
      </c>
      <c r="F505" t="inlineStr">
        <is>
          <t>VÄSTRA GÖTALANDS LÄN</t>
        </is>
      </c>
      <c r="G505" t="inlineStr">
        <is>
          <t>BORÅS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44875</v>
      </c>
      <c r="E506" s="1" t="n">
        <v>46283</v>
      </c>
      <c r="F506" t="inlineStr">
        <is>
          <t>VÄSTRA GÖTALANDS LÄN</t>
        </is>
      </c>
      <c r="G506" t="inlineStr">
        <is>
          <t>BORÅS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46283</v>
      </c>
      <c r="F507" t="inlineStr">
        <is>
          <t>VÄSTRA GÖTALANDS LÄN</t>
        </is>
      </c>
      <c r="G507" t="inlineStr">
        <is>
          <t>BORÅS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4757-2025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45688</v>
      </c>
      <c r="E508" s="1" t="n">
        <v>46283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45698</v>
      </c>
      <c r="E509" s="1" t="n">
        <v>46283</v>
      </c>
      <c r="F509" t="inlineStr">
        <is>
          <t>VÄSTRA GÖTALANDS LÄN</t>
        </is>
      </c>
      <c r="G509" t="inlineStr">
        <is>
          <t>BORÅS</t>
        </is>
      </c>
      <c r="I509" t="n">
        <v>12.8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46283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46283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45701</v>
      </c>
      <c r="E512" s="1" t="n">
        <v>46283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45713</v>
      </c>
      <c r="E513" s="1" t="n">
        <v>46283</v>
      </c>
      <c r="F513" t="inlineStr">
        <is>
          <t>VÄSTRA GÖTALANDS LÄN</t>
        </is>
      </c>
      <c r="G513" t="inlineStr">
        <is>
          <t>BORÅS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9529-2025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45715</v>
      </c>
      <c r="E514" s="1" t="n">
        <v>46283</v>
      </c>
      <c r="F514" t="inlineStr">
        <is>
          <t>VÄSTRA GÖTALANDS LÄN</t>
        </is>
      </c>
      <c r="G514" t="inlineStr">
        <is>
          <t>BORÅS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46283</v>
      </c>
      <c r="F515" t="inlineStr">
        <is>
          <t>VÄSTRA GÖTALANDS LÄN</t>
        </is>
      </c>
      <c r="G515" t="inlineStr">
        <is>
          <t>BORÅS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45699</v>
      </c>
      <c r="E516" s="1" t="n">
        <v>46283</v>
      </c>
      <c r="F516" t="inlineStr">
        <is>
          <t>VÄSTRA GÖTALANDS LÄN</t>
        </is>
      </c>
      <c r="G516" t="inlineStr">
        <is>
          <t>BORÅS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60931-2022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44914</v>
      </c>
      <c r="E517" s="1" t="n">
        <v>46283</v>
      </c>
      <c r="F517" t="inlineStr">
        <is>
          <t>VÄSTRA GÖTALANDS LÄN</t>
        </is>
      </c>
      <c r="G517" t="inlineStr">
        <is>
          <t>BORÅS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45769</v>
      </c>
      <c r="E518" s="1" t="n">
        <v>46283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44900</v>
      </c>
      <c r="E519" s="1" t="n">
        <v>46283</v>
      </c>
      <c r="F519" t="inlineStr">
        <is>
          <t>VÄSTRA GÖTALANDS LÄN</t>
        </is>
      </c>
      <c r="G519" t="inlineStr">
        <is>
          <t>BORÅS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58734-2021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44489</v>
      </c>
      <c r="E520" s="1" t="n">
        <v>46283</v>
      </c>
      <c r="F520" t="inlineStr">
        <is>
          <t>VÄSTRA GÖTALANDS LÄN</t>
        </is>
      </c>
      <c r="G520" t="inlineStr">
        <is>
          <t>BORÅS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14990-2023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45015</v>
      </c>
      <c r="E521" s="1" t="n">
        <v>46283</v>
      </c>
      <c r="F521" t="inlineStr">
        <is>
          <t>VÄSTRA GÖTALANDS LÄN</t>
        </is>
      </c>
      <c r="G521" t="inlineStr">
        <is>
          <t>BORÅS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44995</v>
      </c>
      <c r="E522" s="1" t="n">
        <v>46283</v>
      </c>
      <c r="F522" t="inlineStr">
        <is>
          <t>VÄSTRA GÖTALANDS LÄN</t>
        </is>
      </c>
      <c r="G522" t="inlineStr">
        <is>
          <t>BORÅS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44592</v>
      </c>
      <c r="E523" s="1" t="n">
        <v>46283</v>
      </c>
      <c r="F523" t="inlineStr">
        <is>
          <t>VÄSTRA GÖTALANDS LÄN</t>
        </is>
      </c>
      <c r="G523" t="inlineStr">
        <is>
          <t>BORÅS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46283</v>
      </c>
      <c r="F524" t="inlineStr">
        <is>
          <t>VÄSTRA GÖTALANDS LÄN</t>
        </is>
      </c>
      <c r="G524" t="inlineStr">
        <is>
          <t>BORÅS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45048</v>
      </c>
      <c r="E525" s="1" t="n">
        <v>46283</v>
      </c>
      <c r="F525" t="inlineStr">
        <is>
          <t>VÄSTRA GÖTALANDS LÄN</t>
        </is>
      </c>
      <c r="G525" t="inlineStr">
        <is>
          <t>BORÅS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46283</v>
      </c>
      <c r="F526" t="inlineStr">
        <is>
          <t>VÄSTRA GÖTALANDS LÄN</t>
        </is>
      </c>
      <c r="G526" t="inlineStr">
        <is>
          <t>BORÅS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31213-2022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44771</v>
      </c>
      <c r="E527" s="1" t="n">
        <v>46283</v>
      </c>
      <c r="F527" t="inlineStr">
        <is>
          <t>VÄSTRA GÖTALANDS LÄN</t>
        </is>
      </c>
      <c r="G527" t="inlineStr">
        <is>
          <t>BORÅS</t>
        </is>
      </c>
      <c r="H527" t="inlineStr">
        <is>
          <t>Kyrkan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46283</v>
      </c>
      <c r="F528" t="inlineStr">
        <is>
          <t>VÄSTRA GÖTALANDS LÄN</t>
        </is>
      </c>
      <c r="G528" t="inlineStr">
        <is>
          <t>BORÅS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45593</v>
      </c>
      <c r="E529" s="1" t="n">
        <v>46283</v>
      </c>
      <c r="F529" t="inlineStr">
        <is>
          <t>VÄSTRA GÖTALANDS LÄN</t>
        </is>
      </c>
      <c r="G529" t="inlineStr">
        <is>
          <t>BORÅS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2008-2024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45308</v>
      </c>
      <c r="E530" s="1" t="n">
        <v>46283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Kommuner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46283</v>
      </c>
      <c r="F531" t="inlineStr">
        <is>
          <t>VÄSTRA GÖTALANDS LÄN</t>
        </is>
      </c>
      <c r="G531" t="inlineStr">
        <is>
          <t>BORÅS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46280</v>
      </c>
      <c r="E532" s="1" t="n">
        <v>46283</v>
      </c>
      <c r="F532" t="inlineStr">
        <is>
          <t>VÄSTRA GÖTALANDS LÄN</t>
        </is>
      </c>
      <c r="G532" t="inlineStr">
        <is>
          <t>BORÅS</t>
        </is>
      </c>
      <c r="H532" t="inlineStr">
        <is>
          <t>Kommuner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14783-2022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44656</v>
      </c>
      <c r="E533" s="1" t="n">
        <v>46283</v>
      </c>
      <c r="F533" t="inlineStr">
        <is>
          <t>VÄSTRA GÖTALANDS LÄN</t>
        </is>
      </c>
      <c r="G533" t="inlineStr">
        <is>
          <t>BORÅS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46283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Kommuner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46283</v>
      </c>
      <c r="F535" t="inlineStr">
        <is>
          <t>VÄSTRA GÖTALANDS LÄN</t>
        </is>
      </c>
      <c r="G535" t="inlineStr">
        <is>
          <t>BORÅS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46283</v>
      </c>
      <c r="F536" t="inlineStr">
        <is>
          <t>VÄSTRA GÖTALANDS LÄN</t>
        </is>
      </c>
      <c r="G536" t="inlineStr">
        <is>
          <t>BORÅS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46283</v>
      </c>
      <c r="F537" t="inlineStr">
        <is>
          <t>VÄSTRA GÖTALANDS LÄN</t>
        </is>
      </c>
      <c r="G537" t="inlineStr">
        <is>
          <t>BORÅS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46036</v>
      </c>
      <c r="E538" s="1" t="n">
        <v>46283</v>
      </c>
      <c r="F538" t="inlineStr">
        <is>
          <t>VÄSTRA GÖTALANDS LÄN</t>
        </is>
      </c>
      <c r="G538" t="inlineStr">
        <is>
          <t>BORÅS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46283</v>
      </c>
      <c r="F539" t="inlineStr">
        <is>
          <t>VÄSTRA GÖTALANDS LÄN</t>
        </is>
      </c>
      <c r="G539" t="inlineStr">
        <is>
          <t>BORÅS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46283</v>
      </c>
      <c r="F540" t="inlineStr">
        <is>
          <t>VÄSTRA GÖTALANDS LÄN</t>
        </is>
      </c>
      <c r="G540" t="inlineStr">
        <is>
          <t>BORÅS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46283</v>
      </c>
      <c r="F541" t="inlineStr">
        <is>
          <t>VÄSTRA GÖTALANDS LÄN</t>
        </is>
      </c>
      <c r="G541" t="inlineStr">
        <is>
          <t>BORÅS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31940-2024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45510</v>
      </c>
      <c r="E542" s="1" t="n">
        <v>46283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46283</v>
      </c>
      <c r="F543" t="inlineStr">
        <is>
          <t>VÄSTRA GÖTALANDS LÄN</t>
        </is>
      </c>
      <c r="G543" t="inlineStr">
        <is>
          <t>BORÅS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14309-2022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44652</v>
      </c>
      <c r="E544" s="1" t="n">
        <v>46283</v>
      </c>
      <c r="F544" t="inlineStr">
        <is>
          <t>VÄSTRA GÖTALANDS LÄN</t>
        </is>
      </c>
      <c r="G544" t="inlineStr">
        <is>
          <t>BORÅS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45678</v>
      </c>
      <c r="E545" s="1" t="n">
        <v>46283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Sveaskog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46283</v>
      </c>
      <c r="F546" t="inlineStr">
        <is>
          <t>VÄSTRA GÖTALANDS LÄN</t>
        </is>
      </c>
      <c r="G546" t="inlineStr">
        <is>
          <t>BORÅS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46044</v>
      </c>
      <c r="E547" s="1" t="n">
        <v>46283</v>
      </c>
      <c r="F547" t="inlineStr">
        <is>
          <t>VÄSTRA GÖTALANDS LÄN</t>
        </is>
      </c>
      <c r="G547" t="inlineStr">
        <is>
          <t>BORÅS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44992</v>
      </c>
      <c r="E548" s="1" t="n">
        <v>46283</v>
      </c>
      <c r="F548" t="inlineStr">
        <is>
          <t>VÄSTRA GÖTALANDS LÄN</t>
        </is>
      </c>
      <c r="G548" t="inlineStr">
        <is>
          <t>BORÅS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46283</v>
      </c>
      <c r="F549" t="inlineStr">
        <is>
          <t>VÄSTRA GÖTALANDS LÄN</t>
        </is>
      </c>
      <c r="G549" t="inlineStr">
        <is>
          <t>BORÅS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45120</v>
      </c>
      <c r="E550" s="1" t="n">
        <v>46283</v>
      </c>
      <c r="F550" t="inlineStr">
        <is>
          <t>VÄSTRA GÖTALANDS LÄN</t>
        </is>
      </c>
      <c r="G550" t="inlineStr">
        <is>
          <t>BORÅS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45364</v>
      </c>
      <c r="E551" s="1" t="n">
        <v>46283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45000</v>
      </c>
      <c r="E552" s="1" t="n">
        <v>46283</v>
      </c>
      <c r="F552" t="inlineStr">
        <is>
          <t>VÄSTRA GÖTALANDS LÄN</t>
        </is>
      </c>
      <c r="G552" t="inlineStr">
        <is>
          <t>BORÅS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46574-2022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44848</v>
      </c>
      <c r="E553" s="1" t="n">
        <v>46283</v>
      </c>
      <c r="F553" t="inlineStr">
        <is>
          <t>VÄSTRA GÖTALANDS LÄN</t>
        </is>
      </c>
      <c r="G553" t="inlineStr">
        <is>
          <t>BORÅS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27334-2024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45472</v>
      </c>
      <c r="E554" s="1" t="n">
        <v>46283</v>
      </c>
      <c r="F554" t="inlineStr">
        <is>
          <t>VÄSTRA GÖTALANDS LÄN</t>
        </is>
      </c>
      <c r="G554" t="inlineStr">
        <is>
          <t>BORÅS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46283</v>
      </c>
      <c r="F555" t="inlineStr">
        <is>
          <t>VÄSTRA GÖTALANDS LÄN</t>
        </is>
      </c>
      <c r="G555" t="inlineStr">
        <is>
          <t>BORÅS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19481-2023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45050</v>
      </c>
      <c r="E556" s="1" t="n">
        <v>46283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19483-2023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45050</v>
      </c>
      <c r="E557" s="1" t="n">
        <v>46283</v>
      </c>
      <c r="F557" t="inlineStr">
        <is>
          <t>VÄSTRA GÖTALANDS LÄN</t>
        </is>
      </c>
      <c r="G557" t="inlineStr">
        <is>
          <t>BORÅS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46283</v>
      </c>
      <c r="F558" t="inlineStr">
        <is>
          <t>VÄSTRA GÖTALANDS LÄN</t>
        </is>
      </c>
      <c r="G558" t="inlineStr">
        <is>
          <t>BORÅS</t>
        </is>
      </c>
      <c r="H558" t="inlineStr">
        <is>
          <t>Sveaskog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45264</v>
      </c>
      <c r="E559" s="1" t="n">
        <v>46283</v>
      </c>
      <c r="F559" t="inlineStr">
        <is>
          <t>VÄSTRA GÖTALANDS LÄN</t>
        </is>
      </c>
      <c r="G559" t="inlineStr">
        <is>
          <t>BORÅS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45120</v>
      </c>
      <c r="E560" s="1" t="n">
        <v>46283</v>
      </c>
      <c r="F560" t="inlineStr">
        <is>
          <t>VÄSTRA GÖTALANDS LÄN</t>
        </is>
      </c>
      <c r="G560" t="inlineStr">
        <is>
          <t>BORÅS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61863-2024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45650</v>
      </c>
      <c r="E561" s="1" t="n">
        <v>46283</v>
      </c>
      <c r="F561" t="inlineStr">
        <is>
          <t>VÄSTRA GÖTALANDS LÄN</t>
        </is>
      </c>
      <c r="G561" t="inlineStr">
        <is>
          <t>BORÅS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4937-2023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44958</v>
      </c>
      <c r="E562" s="1" t="n">
        <v>46283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32163-2023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46283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43574-2023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45184</v>
      </c>
      <c r="E564" s="1" t="n">
        <v>46283</v>
      </c>
      <c r="F564" t="inlineStr">
        <is>
          <t>VÄSTRA GÖTALANDS LÄN</t>
        </is>
      </c>
      <c r="G564" t="inlineStr">
        <is>
          <t>BORÅS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45666</v>
      </c>
      <c r="E565" s="1" t="n">
        <v>46283</v>
      </c>
      <c r="F565" t="inlineStr">
        <is>
          <t>VÄSTRA GÖTALANDS LÄN</t>
        </is>
      </c>
      <c r="G565" t="inlineStr">
        <is>
          <t>BORÅS</t>
        </is>
      </c>
      <c r="H565" t="inlineStr">
        <is>
          <t>Sveaskog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18248-2024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45421</v>
      </c>
      <c r="E566" s="1" t="n">
        <v>46283</v>
      </c>
      <c r="F566" t="inlineStr">
        <is>
          <t>VÄSTRA GÖTALANDS LÄN</t>
        </is>
      </c>
      <c r="G566" t="inlineStr">
        <is>
          <t>BORÅS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24860-2022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44728</v>
      </c>
      <c r="E567" s="1" t="n">
        <v>46283</v>
      </c>
      <c r="F567" t="inlineStr">
        <is>
          <t>VÄSTRA GÖTALANDS LÄN</t>
        </is>
      </c>
      <c r="G567" t="inlineStr">
        <is>
          <t>BORÅS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45126</v>
      </c>
      <c r="E568" s="1" t="n">
        <v>46283</v>
      </c>
      <c r="F568" t="inlineStr">
        <is>
          <t>VÄSTRA GÖTALANDS LÄN</t>
        </is>
      </c>
      <c r="G568" t="inlineStr">
        <is>
          <t>BORÅS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46283</v>
      </c>
      <c r="F569" t="inlineStr">
        <is>
          <t>VÄSTRA GÖTALANDS LÄN</t>
        </is>
      </c>
      <c r="G569" t="inlineStr">
        <is>
          <t>BORÅS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57430-2024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46283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46283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32170-2023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46283</v>
      </c>
      <c r="F572" t="inlineStr">
        <is>
          <t>VÄSTRA GÖTALANDS LÄN</t>
        </is>
      </c>
      <c r="G572" t="inlineStr">
        <is>
          <t>BORÅS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50605-2022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44866</v>
      </c>
      <c r="E573" s="1" t="n">
        <v>46283</v>
      </c>
      <c r="F573" t="inlineStr">
        <is>
          <t>VÄSTRA GÖTALANDS LÄN</t>
        </is>
      </c>
      <c r="G573" t="inlineStr">
        <is>
          <t>BORÅS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45232</v>
      </c>
      <c r="E574" s="1" t="n">
        <v>46283</v>
      </c>
      <c r="F574" t="inlineStr">
        <is>
          <t>VÄSTRA GÖTALANDS LÄN</t>
        </is>
      </c>
      <c r="G574" t="inlineStr">
        <is>
          <t>BORÅS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45537</v>
      </c>
      <c r="E575" s="1" t="n">
        <v>46283</v>
      </c>
      <c r="F575" t="inlineStr">
        <is>
          <t>VÄSTRA GÖTALANDS LÄN</t>
        </is>
      </c>
      <c r="G575" t="inlineStr">
        <is>
          <t>BORÅS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45412</v>
      </c>
      <c r="E576" s="1" t="n">
        <v>46283</v>
      </c>
      <c r="F576" t="inlineStr">
        <is>
          <t>VÄSTRA GÖTALANDS LÄN</t>
        </is>
      </c>
      <c r="G576" t="inlineStr">
        <is>
          <t>BORÅS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21180-2024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46283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48358-2023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45205</v>
      </c>
      <c r="E578" s="1" t="n">
        <v>46283</v>
      </c>
      <c r="F578" t="inlineStr">
        <is>
          <t>VÄSTRA GÖTALANDS LÄN</t>
        </is>
      </c>
      <c r="G578" t="inlineStr">
        <is>
          <t>BORÅS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56002-2023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45240</v>
      </c>
      <c r="E579" s="1" t="n">
        <v>46283</v>
      </c>
      <c r="F579" t="inlineStr">
        <is>
          <t>VÄSTRA GÖTALANDS LÄN</t>
        </is>
      </c>
      <c r="G579" t="inlineStr">
        <is>
          <t>BORÅS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9127-2023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44980</v>
      </c>
      <c r="E580" s="1" t="n">
        <v>46283</v>
      </c>
      <c r="F580" t="inlineStr">
        <is>
          <t>VÄSTRA GÖTALANDS LÄN</t>
        </is>
      </c>
      <c r="G580" t="inlineStr">
        <is>
          <t>BORÅS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17095-2023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45034</v>
      </c>
      <c r="E581" s="1" t="n">
        <v>46283</v>
      </c>
      <c r="F581" t="inlineStr">
        <is>
          <t>VÄSTRA GÖTALANDS LÄN</t>
        </is>
      </c>
      <c r="G581" t="inlineStr">
        <is>
          <t>BORÅS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60923-2022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46283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45268</v>
      </c>
      <c r="E583" s="1" t="n">
        <v>46283</v>
      </c>
      <c r="F583" t="inlineStr">
        <is>
          <t>VÄSTRA GÖTALANDS LÄN</t>
        </is>
      </c>
      <c r="G583" t="inlineStr">
        <is>
          <t>BORÅS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49471-2023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46283</v>
      </c>
      <c r="F584" t="inlineStr">
        <is>
          <t>VÄSTRA GÖTALANDS LÄN</t>
        </is>
      </c>
      <c r="G584" t="inlineStr">
        <is>
          <t>BORÅS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3703-2024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45321</v>
      </c>
      <c r="E585" s="1" t="n">
        <v>46283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Kommuner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48619-2023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45208</v>
      </c>
      <c r="E586" s="1" t="n">
        <v>46283</v>
      </c>
      <c r="F586" t="inlineStr">
        <is>
          <t>VÄSTRA GÖTALANDS LÄN</t>
        </is>
      </c>
      <c r="G586" t="inlineStr">
        <is>
          <t>BORÅS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45762</v>
      </c>
      <c r="E587" s="1" t="n">
        <v>46283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Kommuner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46283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58483-2024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45632</v>
      </c>
      <c r="E589" s="1" t="n">
        <v>46283</v>
      </c>
      <c r="F589" t="inlineStr">
        <is>
          <t>VÄSTRA GÖTALANDS LÄN</t>
        </is>
      </c>
      <c r="G589" t="inlineStr">
        <is>
          <t>BORÅS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45776</v>
      </c>
      <c r="E590" s="1" t="n">
        <v>46283</v>
      </c>
      <c r="F590" t="inlineStr">
        <is>
          <t>VÄSTRA GÖTALANDS LÄN</t>
        </is>
      </c>
      <c r="G590" t="inlineStr">
        <is>
          <t>BORÅS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45782</v>
      </c>
      <c r="E591" s="1" t="n">
        <v>46283</v>
      </c>
      <c r="F591" t="inlineStr">
        <is>
          <t>VÄSTRA GÖTALANDS LÄN</t>
        </is>
      </c>
      <c r="G591" t="inlineStr">
        <is>
          <t>BORÅS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45475</v>
      </c>
      <c r="E592" s="1" t="n">
        <v>46283</v>
      </c>
      <c r="F592" t="inlineStr">
        <is>
          <t>VÄSTRA GÖTALANDS LÄN</t>
        </is>
      </c>
      <c r="G592" t="inlineStr">
        <is>
          <t>BORÅS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47358-2024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45587</v>
      </c>
      <c r="E593" s="1" t="n">
        <v>46283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46283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46283</v>
      </c>
      <c r="F595" t="inlineStr">
        <is>
          <t>VÄSTRA GÖTALANDS LÄN</t>
        </is>
      </c>
      <c r="G595" t="inlineStr">
        <is>
          <t>BORÅS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46283</v>
      </c>
      <c r="F596" t="inlineStr">
        <is>
          <t>VÄSTRA GÖTALANDS LÄN</t>
        </is>
      </c>
      <c r="G596" t="inlineStr">
        <is>
          <t>BORÅS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49584-2024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45596</v>
      </c>
      <c r="E597" s="1" t="n">
        <v>46283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45721</v>
      </c>
      <c r="E598" s="1" t="n">
        <v>46283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45209</v>
      </c>
      <c r="E599" s="1" t="n">
        <v>46283</v>
      </c>
      <c r="F599" t="inlineStr">
        <is>
          <t>VÄSTRA GÖTALANDS LÄN</t>
        </is>
      </c>
      <c r="G599" t="inlineStr">
        <is>
          <t>BORÅS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46283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45789</v>
      </c>
      <c r="E601" s="1" t="n">
        <v>46283</v>
      </c>
      <c r="F601" t="inlineStr">
        <is>
          <t>VÄSTRA GÖTALANDS LÄN</t>
        </is>
      </c>
      <c r="G601" t="inlineStr">
        <is>
          <t>BORÅS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23504-2025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46283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45726</v>
      </c>
      <c r="E603" s="1" t="n">
        <v>46283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46283</v>
      </c>
      <c r="F604" t="inlineStr">
        <is>
          <t>VÄSTRA GÖTALANDS LÄN</t>
        </is>
      </c>
      <c r="G604" t="inlineStr">
        <is>
          <t>BORÅS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45798</v>
      </c>
      <c r="E605" s="1" t="n">
        <v>46283</v>
      </c>
      <c r="F605" t="inlineStr">
        <is>
          <t>VÄSTRA GÖTALANDS LÄN</t>
        </is>
      </c>
      <c r="G605" t="inlineStr">
        <is>
          <t>BORÅS</t>
        </is>
      </c>
      <c r="H605" t="inlineStr">
        <is>
          <t>Kommuner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46283</v>
      </c>
      <c r="F606" t="inlineStr">
        <is>
          <t>VÄSTRA GÖTALANDS LÄN</t>
        </is>
      </c>
      <c r="G606" t="inlineStr">
        <is>
          <t>BORÅS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25667-2025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45803</v>
      </c>
      <c r="E607" s="1" t="n">
        <v>46283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46283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25666-2025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46283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46283</v>
      </c>
      <c r="F610" t="inlineStr">
        <is>
          <t>VÄSTRA GÖTALANDS LÄN</t>
        </is>
      </c>
      <c r="G610" t="inlineStr">
        <is>
          <t>BORÅS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46283</v>
      </c>
      <c r="F611" t="inlineStr">
        <is>
          <t>VÄSTRA GÖTALANDS LÄN</t>
        </is>
      </c>
      <c r="G611" t="inlineStr">
        <is>
          <t>BORÅS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27274-2025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46283</v>
      </c>
      <c r="F612" t="inlineStr">
        <is>
          <t>VÄSTRA GÖTALANDS LÄN</t>
        </is>
      </c>
      <c r="G612" t="inlineStr">
        <is>
          <t>BORÅS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14777-2022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44656</v>
      </c>
      <c r="E613" s="1" t="n">
        <v>46283</v>
      </c>
      <c r="F613" t="inlineStr">
        <is>
          <t>VÄSTRA GÖTALANDS LÄN</t>
        </is>
      </c>
      <c r="G613" t="inlineStr">
        <is>
          <t>BORÅS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27370-2025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46283</v>
      </c>
      <c r="F614" t="inlineStr">
        <is>
          <t>VÄSTRA GÖTALANDS LÄN</t>
        </is>
      </c>
      <c r="G614" t="inlineStr">
        <is>
          <t>BORÅS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27356-2025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46283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28028-2025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46283</v>
      </c>
      <c r="F616" t="inlineStr">
        <is>
          <t>VÄSTRA GÖTALANDS LÄN</t>
        </is>
      </c>
      <c r="G616" t="inlineStr">
        <is>
          <t>BORÅS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45817</v>
      </c>
      <c r="E617" s="1" t="n">
        <v>46283</v>
      </c>
      <c r="F617" t="inlineStr">
        <is>
          <t>VÄSTRA GÖTALANDS LÄN</t>
        </is>
      </c>
      <c r="G617" t="inlineStr">
        <is>
          <t>BORÅS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46420-2024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45582</v>
      </c>
      <c r="E618" s="1" t="n">
        <v>46283</v>
      </c>
      <c r="F618" t="inlineStr">
        <is>
          <t>VÄSTRA GÖTALANDS LÄN</t>
        </is>
      </c>
      <c r="G618" t="inlineStr">
        <is>
          <t>BORÅS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13436-2025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45735</v>
      </c>
      <c r="E619" s="1" t="n">
        <v>46283</v>
      </c>
      <c r="F619" t="inlineStr">
        <is>
          <t>VÄSTRA GÖTALANDS LÄN</t>
        </is>
      </c>
      <c r="G619" t="inlineStr">
        <is>
          <t>BORÅS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46283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44642</v>
      </c>
      <c r="E621" s="1" t="n">
        <v>46283</v>
      </c>
      <c r="F621" t="inlineStr">
        <is>
          <t>VÄSTRA GÖTALANDS LÄN</t>
        </is>
      </c>
      <c r="G621" t="inlineStr">
        <is>
          <t>BORÅS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3027-2024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45513</v>
      </c>
      <c r="E622" s="1" t="n">
        <v>46283</v>
      </c>
      <c r="F622" t="inlineStr">
        <is>
          <t>VÄSTRA GÖTALANDS LÄN</t>
        </is>
      </c>
      <c r="G622" t="inlineStr">
        <is>
          <t>BORÅS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2814-2022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44706</v>
      </c>
      <c r="E623" s="1" t="n">
        <v>46283</v>
      </c>
      <c r="F623" t="inlineStr">
        <is>
          <t>VÄSTRA GÖTALANDS LÄN</t>
        </is>
      </c>
      <c r="G623" t="inlineStr">
        <is>
          <t>BORÅS</t>
        </is>
      </c>
      <c r="H623" t="inlineStr">
        <is>
          <t>Kyrkan</t>
        </is>
      </c>
      <c r="I623" t="n">
        <v>39.7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7249-2021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44467</v>
      </c>
      <c r="E624" s="1" t="n">
        <v>46283</v>
      </c>
      <c r="F624" t="inlineStr">
        <is>
          <t>VÄSTRA GÖTALANDS LÄN</t>
        </is>
      </c>
      <c r="G624" t="inlineStr">
        <is>
          <t>BORÅS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2978-2023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45174</v>
      </c>
      <c r="E625" s="1" t="n">
        <v>46283</v>
      </c>
      <c r="F625" t="inlineStr">
        <is>
          <t>VÄSTRA GÖTALANDS LÄN</t>
        </is>
      </c>
      <c r="G625" t="inlineStr">
        <is>
          <t>BORÅS</t>
        </is>
      </c>
      <c r="I625" t="n">
        <v>65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4414-2022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44785</v>
      </c>
      <c r="E626" s="1" t="n">
        <v>46283</v>
      </c>
      <c r="F626" t="inlineStr">
        <is>
          <t>VÄSTRA GÖTALANDS LÄN</t>
        </is>
      </c>
      <c r="G626" t="inlineStr">
        <is>
          <t>BORÅS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1019-2023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45008</v>
      </c>
      <c r="E627" s="1" t="n">
        <v>46283</v>
      </c>
      <c r="F627" t="inlineStr">
        <is>
          <t>VÄSTRA GÖTALANDS LÄN</t>
        </is>
      </c>
      <c r="G627" t="inlineStr">
        <is>
          <t>BORÅS</t>
        </is>
      </c>
      <c r="I627" t="n">
        <v>18.4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7239-2021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44466</v>
      </c>
      <c r="E628" s="1" t="n">
        <v>46283</v>
      </c>
      <c r="F628" t="inlineStr">
        <is>
          <t>VÄSTRA GÖTALANDS LÄN</t>
        </is>
      </c>
      <c r="G628" t="inlineStr">
        <is>
          <t>BORÅS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6936-2022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46283</v>
      </c>
      <c r="F629" t="inlineStr">
        <is>
          <t>VÄSTRA GÖTALANDS LÄN</t>
        </is>
      </c>
      <c r="G629" t="inlineStr">
        <is>
          <t>BORÅS</t>
        </is>
      </c>
      <c r="I629" t="n">
        <v>11.8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6156-2022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44865</v>
      </c>
      <c r="E630" s="1" t="n">
        <v>46283</v>
      </c>
      <c r="F630" t="inlineStr">
        <is>
          <t>VÄSTRA GÖTALANDS LÄN</t>
        </is>
      </c>
      <c r="G630" t="inlineStr">
        <is>
          <t>BORÅS</t>
        </is>
      </c>
      <c r="I630" t="n">
        <v>15.6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4259-2023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45257</v>
      </c>
      <c r="E631" s="1" t="n">
        <v>46283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2970-2023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45173</v>
      </c>
      <c r="E632" s="1" t="n">
        <v>46283</v>
      </c>
      <c r="F632" t="inlineStr">
        <is>
          <t>VÄSTRA GÖTALANDS LÄN</t>
        </is>
      </c>
      <c r="G632" t="inlineStr">
        <is>
          <t>BORÅS</t>
        </is>
      </c>
      <c r="I632" t="n">
        <v>12.7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6934-2022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46283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2972-2023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45173</v>
      </c>
      <c r="E634" s="1" t="n">
        <v>46283</v>
      </c>
      <c r="F634" t="inlineStr">
        <is>
          <t>VÄSTRA GÖTALANDS LÄN</t>
        </is>
      </c>
      <c r="G634" t="inlineStr">
        <is>
          <t>BORÅS</t>
        </is>
      </c>
      <c r="I634" t="n">
        <v>30.4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6937-2022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46283</v>
      </c>
      <c r="F635" t="inlineStr">
        <is>
          <t>VÄSTRA GÖTALANDS LÄN</t>
        </is>
      </c>
      <c r="G635" t="inlineStr">
        <is>
          <t>BORÅS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3398-2024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45534</v>
      </c>
      <c r="E636" s="1" t="n">
        <v>46283</v>
      </c>
      <c r="F636" t="inlineStr">
        <is>
          <t>VÄSTRA GÖTALANDS LÄN</t>
        </is>
      </c>
      <c r="G636" t="inlineStr">
        <is>
          <t>BORÅS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7266-2021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44468</v>
      </c>
      <c r="E637" s="1" t="n">
        <v>46283</v>
      </c>
      <c r="F637" t="inlineStr">
        <is>
          <t>VÄSTRA GÖTALANDS LÄN</t>
        </is>
      </c>
      <c r="G637" t="inlineStr">
        <is>
          <t>BORÅS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1800-2025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45814</v>
      </c>
      <c r="E638" s="1" t="n">
        <v>46283</v>
      </c>
      <c r="F638" t="inlineStr">
        <is>
          <t>VÄSTRA GÖTALANDS LÄN</t>
        </is>
      </c>
      <c r="G638" t="inlineStr">
        <is>
          <t>BORÅS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1640-2024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45429</v>
      </c>
      <c r="E639" s="1" t="n">
        <v>46283</v>
      </c>
      <c r="F639" t="inlineStr">
        <is>
          <t>VÄSTRA GÖTALANDS LÄN</t>
        </is>
      </c>
      <c r="G639" t="inlineStr">
        <is>
          <t>BORÅS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1979-2025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45831</v>
      </c>
      <c r="E640" s="1" t="n">
        <v>46283</v>
      </c>
      <c r="F640" t="inlineStr">
        <is>
          <t>VÄSTRA GÖTALANDS LÄN</t>
        </is>
      </c>
      <c r="G640" t="inlineStr">
        <is>
          <t>BORÅS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2374-2025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45890</v>
      </c>
      <c r="E641" s="1" t="n">
        <v>46283</v>
      </c>
      <c r="F641" t="inlineStr">
        <is>
          <t>VÄSTRA GÖTALANDS LÄN</t>
        </is>
      </c>
      <c r="G641" t="inlineStr">
        <is>
          <t>BORÅS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3201-2025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45979</v>
      </c>
      <c r="E642" s="1" t="n">
        <v>46283</v>
      </c>
      <c r="F642" t="inlineStr">
        <is>
          <t>VÄSTRA GÖTALANDS LÄN</t>
        </is>
      </c>
      <c r="G642" t="inlineStr">
        <is>
          <t>BORÅS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944-2025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46283</v>
      </c>
      <c r="F643" t="inlineStr">
        <is>
          <t>VÄSTRA GÖTALANDS LÄN</t>
        </is>
      </c>
      <c r="G643" t="inlineStr">
        <is>
          <t>BORÅS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943-2025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45740</v>
      </c>
      <c r="E644" s="1" t="n">
        <v>46283</v>
      </c>
      <c r="F644" t="inlineStr">
        <is>
          <t>VÄSTRA GÖTALANDS LÄN</t>
        </is>
      </c>
      <c r="G644" t="inlineStr">
        <is>
          <t>BORÅS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2453-2023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45127</v>
      </c>
      <c r="E645" s="1" t="n">
        <v>46283</v>
      </c>
      <c r="F645" t="inlineStr">
        <is>
          <t>VÄSTRA GÖTALANDS LÄN</t>
        </is>
      </c>
      <c r="G645" t="inlineStr">
        <is>
          <t>BORÅS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471-2026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46073</v>
      </c>
      <c r="E646" s="1" t="n">
        <v>46283</v>
      </c>
      <c r="F646" t="inlineStr">
        <is>
          <t>VÄSTRA GÖTALANDS LÄN</t>
        </is>
      </c>
      <c r="G646" t="inlineStr">
        <is>
          <t>BORÅS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560-2026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46083</v>
      </c>
      <c r="E647" s="1" t="n">
        <v>46283</v>
      </c>
      <c r="F647" t="inlineStr">
        <is>
          <t>VÄSTRA GÖTALANDS LÄN</t>
        </is>
      </c>
      <c r="G647" t="inlineStr">
        <is>
          <t>BORÅS</t>
        </is>
      </c>
      <c r="I647" t="n">
        <v>17.6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2026-09-18T02:01:34Z</dcterms:created>
  <dcterms:modified xmlns:dcterms="http://purl.org/dc/terms/" xmlns:xsi="http://www.w3.org/2001/XMLSchema-instance" xsi:type="dcterms:W3CDTF">2026-09-18T02:01:35Z</dcterms:modified>
</cp:coreProperties>
</file>