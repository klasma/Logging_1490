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45675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45675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45675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45675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45675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45675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45675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45675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45675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45675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45675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Gulnål
Vågbandad barkbock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45675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45675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61052-2019</t>
        </is>
      </c>
      <c r="B15" s="1" t="n">
        <v>43782</v>
      </c>
      <c r="C15" s="1" t="n">
        <v>45675</v>
      </c>
      <c r="D15" t="inlineStr">
        <is>
          <t>VÄSTRA GÖTALANDS LÄN</t>
        </is>
      </c>
      <c r="E15" t="inlineStr">
        <is>
          <t>BORÅS</t>
        </is>
      </c>
      <c r="G15" t="n">
        <v>18.5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HYPERLINK("https://klasma.github.io/Logging_1490/artfynd/A 61052-2019 artfynd.xlsx", "A 61052-2019")</f>
        <v/>
      </c>
      <c r="T15">
        <f>HYPERLINK("https://klasma.github.io/Logging_1490/kartor/A 61052-2019 karta.png", "A 61052-2019")</f>
        <v/>
      </c>
      <c r="V15">
        <f>HYPERLINK("https://klasma.github.io/Logging_1490/klagomål/A 61052-2019 FSC-klagomål.docx", "A 61052-2019")</f>
        <v/>
      </c>
      <c r="W15">
        <f>HYPERLINK("https://klasma.github.io/Logging_1490/klagomålsmail/A 61052-2019 FSC-klagomål mail.docx", "A 61052-2019")</f>
        <v/>
      </c>
      <c r="X15">
        <f>HYPERLINK("https://klasma.github.io/Logging_1490/tillsyn/A 61052-2019 tillsynsbegäran.docx", "A 61052-2019")</f>
        <v/>
      </c>
      <c r="Y15">
        <f>HYPERLINK("https://klasma.github.io/Logging_1490/tillsynsmail/A 61052-2019 tillsynsbegäran mail.docx", "A 61052-2019")</f>
        <v/>
      </c>
    </row>
    <row r="16" ht="15" customHeight="1">
      <c r="A16" t="inlineStr">
        <is>
          <t>A 61872-2019</t>
        </is>
      </c>
      <c r="B16" s="1" t="n">
        <v>43787</v>
      </c>
      <c r="C16" s="1" t="n">
        <v>45675</v>
      </c>
      <c r="D16" t="inlineStr">
        <is>
          <t>VÄSTRA GÖTALANDS LÄN</t>
        </is>
      </c>
      <c r="E16" t="inlineStr">
        <is>
          <t>BORÅS</t>
        </is>
      </c>
      <c r="F16" t="inlineStr">
        <is>
          <t>Sveaskog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HYPERLINK("https://klasma.github.io/Logging_1490/artfynd/A 61872-2019 artfynd.xlsx", "A 61872-2019")</f>
        <v/>
      </c>
      <c r="T16">
        <f>HYPERLINK("https://klasma.github.io/Logging_1490/kartor/A 61872-2019 karta.png", "A 61872-2019")</f>
        <v/>
      </c>
      <c r="V16">
        <f>HYPERLINK("https://klasma.github.io/Logging_1490/klagomål/A 61872-2019 FSC-klagomål.docx", "A 61872-2019")</f>
        <v/>
      </c>
      <c r="W16">
        <f>HYPERLINK("https://klasma.github.io/Logging_1490/klagomålsmail/A 61872-2019 FSC-klagomål mail.docx", "A 61872-2019")</f>
        <v/>
      </c>
      <c r="X16">
        <f>HYPERLINK("https://klasma.github.io/Logging_1490/tillsyn/A 61872-2019 tillsynsbegäran.docx", "A 61872-2019")</f>
        <v/>
      </c>
      <c r="Y16">
        <f>HYPERLINK("https://klasma.github.io/Logging_1490/tillsynsmail/A 61872-2019 tillsynsbegäran mail.docx", "A 61872-2019")</f>
        <v/>
      </c>
    </row>
    <row r="17" ht="15" customHeight="1">
      <c r="A17" t="inlineStr">
        <is>
          <t>A 67037-2019</t>
        </is>
      </c>
      <c r="B17" s="1" t="n">
        <v>43811</v>
      </c>
      <c r="C17" s="1" t="n">
        <v>45675</v>
      </c>
      <c r="D17" t="inlineStr">
        <is>
          <t>VÄSTRA GÖTALANDS LÄN</t>
        </is>
      </c>
      <c r="E17" t="inlineStr">
        <is>
          <t>BORÅS</t>
        </is>
      </c>
      <c r="G17" t="n">
        <v>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HYPERLINK("https://klasma.github.io/Logging_1490/artfynd/A 67037-2019 artfynd.xlsx", "A 67037-2019")</f>
        <v/>
      </c>
      <c r="T17">
        <f>HYPERLINK("https://klasma.github.io/Logging_1490/kartor/A 67037-2019 karta.png", "A 67037-2019")</f>
        <v/>
      </c>
      <c r="U17">
        <f>HYPERLINK("https://klasma.github.io/Logging_1490/knärot/A 67037-2019 karta knärot.png", "A 67037-2019")</f>
        <v/>
      </c>
      <c r="V17">
        <f>HYPERLINK("https://klasma.github.io/Logging_1490/klagomål/A 67037-2019 FSC-klagomål.docx", "A 67037-2019")</f>
        <v/>
      </c>
      <c r="W17">
        <f>HYPERLINK("https://klasma.github.io/Logging_1490/klagomålsmail/A 67037-2019 FSC-klagomål mail.docx", "A 67037-2019")</f>
        <v/>
      </c>
      <c r="X17">
        <f>HYPERLINK("https://klasma.github.io/Logging_1490/tillsyn/A 67037-2019 tillsynsbegäran.docx", "A 67037-2019")</f>
        <v/>
      </c>
      <c r="Y17">
        <f>HYPERLINK("https://klasma.github.io/Logging_1490/tillsynsmail/A 67037-2019 tillsynsbegäran mail.docx", "A 67037-2019")</f>
        <v/>
      </c>
    </row>
    <row r="18" ht="15" customHeight="1">
      <c r="A18" t="inlineStr">
        <is>
          <t>A 13411-2020</t>
        </is>
      </c>
      <c r="B18" s="1" t="n">
        <v>43902</v>
      </c>
      <c r="C18" s="1" t="n">
        <v>45675</v>
      </c>
      <c r="D18" t="inlineStr">
        <is>
          <t>VÄSTRA GÖTALANDS LÄN</t>
        </is>
      </c>
      <c r="E18" t="inlineStr">
        <is>
          <t>BORÅS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13411-2020 artfynd.xlsx", "A 13411-2020")</f>
        <v/>
      </c>
      <c r="T18">
        <f>HYPERLINK("https://klasma.github.io/Logging_1490/kartor/A 13411-2020 karta.png", "A 13411-2020")</f>
        <v/>
      </c>
      <c r="V18">
        <f>HYPERLINK("https://klasma.github.io/Logging_1490/klagomål/A 13411-2020 FSC-klagomål.docx", "A 13411-2020")</f>
        <v/>
      </c>
      <c r="W18">
        <f>HYPERLINK("https://klasma.github.io/Logging_1490/klagomålsmail/A 13411-2020 FSC-klagomål mail.docx", "A 13411-2020")</f>
        <v/>
      </c>
      <c r="X18">
        <f>HYPERLINK("https://klasma.github.io/Logging_1490/tillsyn/A 13411-2020 tillsynsbegäran.docx", "A 13411-2020")</f>
        <v/>
      </c>
      <c r="Y18">
        <f>HYPERLINK("https://klasma.github.io/Logging_1490/tillsynsmail/A 13411-2020 tillsynsbegäran mail.docx", "A 13411-2020")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45675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45675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45675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45675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45675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45675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45675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45675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45675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45675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45675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45675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45675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3706-2024</t>
        </is>
      </c>
      <c r="B32" s="1" t="n">
        <v>45321</v>
      </c>
      <c r="C32" s="1" t="n">
        <v>45675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3706-2024 artfynd.xlsx", "A 3706-2024")</f>
        <v/>
      </c>
      <c r="T32">
        <f>HYPERLINK("https://klasma.github.io/Logging_1490/kartor/A 3706-2024 karta.png", "A 3706-2024")</f>
        <v/>
      </c>
      <c r="V32">
        <f>HYPERLINK("https://klasma.github.io/Logging_1490/klagomål/A 3706-2024 FSC-klagomål.docx", "A 3706-2024")</f>
        <v/>
      </c>
      <c r="W32">
        <f>HYPERLINK("https://klasma.github.io/Logging_1490/klagomålsmail/A 3706-2024 FSC-klagomål mail.docx", "A 3706-2024")</f>
        <v/>
      </c>
      <c r="X32">
        <f>HYPERLINK("https://klasma.github.io/Logging_1490/tillsyn/A 3706-2024 tillsynsbegäran.docx", "A 3706-2024")</f>
        <v/>
      </c>
      <c r="Y32">
        <f>HYPERLINK("https://klasma.github.io/Logging_1490/tillsynsmail/A 3706-2024 tillsynsbegäran mail.docx", "A 3706-2024")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45675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45675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45675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45675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28682-2024</t>
        </is>
      </c>
      <c r="B37" s="1" t="n">
        <v>45478</v>
      </c>
      <c r="C37" s="1" t="n">
        <v>45675</v>
      </c>
      <c r="D37" t="inlineStr">
        <is>
          <t>VÄSTRA GÖTALANDS LÄN</t>
        </is>
      </c>
      <c r="E37" t="inlineStr">
        <is>
          <t>BORÅS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HYPERLINK("https://klasma.github.io/Logging_1490/artfynd/A 28682-2024 artfynd.xlsx", "A 28682-2024")</f>
        <v/>
      </c>
      <c r="T37">
        <f>HYPERLINK("https://klasma.github.io/Logging_1490/kartor/A 28682-2024 karta.png", "A 28682-2024")</f>
        <v/>
      </c>
      <c r="V37">
        <f>HYPERLINK("https://klasma.github.io/Logging_1490/klagomål/A 28682-2024 FSC-klagomål.docx", "A 28682-2024")</f>
        <v/>
      </c>
      <c r="W37">
        <f>HYPERLINK("https://klasma.github.io/Logging_1490/klagomålsmail/A 28682-2024 FSC-klagomål mail.docx", "A 28682-2024")</f>
        <v/>
      </c>
      <c r="X37">
        <f>HYPERLINK("https://klasma.github.io/Logging_1490/tillsyn/A 28682-2024 tillsynsbegäran.docx", "A 28682-2024")</f>
        <v/>
      </c>
      <c r="Y37">
        <f>HYPERLINK("https://klasma.github.io/Logging_1490/tillsynsmail/A 28682-2024 tillsynsbegäran mail.docx", "A 28682-2024")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45675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45675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45675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45675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45675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45675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45675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45675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45675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45675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45675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45675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45675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45675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45675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45675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45675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45675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45675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45675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45675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45675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45675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45675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45675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45675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45675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45675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45675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45675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45675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45675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45675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45675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45675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45675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45675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45675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45675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45675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45675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45675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45675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45675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45675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45675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45675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45675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45675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45675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45675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45675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45675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45675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45675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45675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45675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45675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45675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45675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45675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45675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45675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45675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45675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45675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45675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45675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45675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45675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45675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45675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45675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45675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45675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45675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45675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45675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45675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45675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45675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45675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45675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45675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45675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45675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45675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45675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45675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45675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45675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45675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45675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45675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45675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45675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45675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45675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45675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45675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45675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45675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45675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45675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45675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45675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45675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45675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45675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45675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45675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45675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45675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45675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45675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45675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45675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45675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45675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45675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45675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45675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45675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45675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45675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45675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45675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45675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45675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45675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45675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45675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45675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45675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45675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45675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45675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45675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45675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45675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45675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45675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45675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45675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45675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45675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45675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45675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45675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45675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45675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45675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45675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45675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45675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45675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45675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45675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45675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45675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45675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45675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45675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45675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45675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45675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45675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45675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45675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45675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45675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45675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45675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45675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45675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45675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45675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45675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45675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45675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45675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45675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45675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45675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45675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45675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45675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45675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45675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45675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45675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45675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45675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45675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45675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45675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45675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45675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45675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45675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45675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45675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45675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45675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45675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45675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45675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45675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45675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45675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45675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45675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45675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45675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45675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45675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45675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45675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45675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45675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45675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45675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45675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45675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45675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45675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45675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45675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45675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45675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45675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45675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45675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45675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45675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45675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45675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45675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45675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45675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45675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45675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45675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45675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45675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45675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45675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45675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45675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45675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45675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45675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45675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45675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45675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45675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45675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45675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45675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45675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45675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45675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45675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45675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45675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45675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45675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45675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45675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45675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45675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45675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45675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45675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45675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45675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45675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45675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45675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45675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45675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45675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45675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45675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45675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45675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45675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45675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45675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45675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45675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45675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45675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45675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45675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45675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45675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45675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45675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45675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45675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45675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45675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45675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45675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45675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45675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45675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45675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45675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45675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45675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45675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45675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45675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45675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45675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45675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45675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45675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45675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45675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45675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45675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45675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45675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45675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45675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45675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45675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45675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45675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45675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45675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45675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45675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45675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45675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45675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45675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45675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45675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45675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45675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45675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45675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45675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45675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45675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45675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45675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45675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45675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45675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45675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45675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45675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45675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45675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45675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45675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45675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45675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45675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45675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45675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45675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45675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45675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45675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45675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45675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45675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45675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45675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45675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45675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45675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45675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45675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45675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45675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45675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45675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45675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45675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45675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45675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45675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45675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45675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45675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45675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45675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45675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45675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45675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45675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45675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45675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45675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45675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45675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45675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45675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45675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45675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45675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45675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45675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45675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45675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45675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45675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45675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45675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45675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45675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45675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45675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45675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45675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45675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45675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45675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45675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45675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45675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45675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45675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45675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45675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45675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45675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45675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45675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45675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45675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45675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45675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45675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45675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45675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45675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45675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45675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45675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45675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45675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45675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45675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45675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45675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45675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45675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45675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45675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45675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45675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45675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45675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45675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45675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45675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45675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45675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45675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45675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45675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45675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45675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45675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45675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45675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45675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45675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45675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45675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45675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45675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45675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45675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45675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45675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45675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45675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45675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45675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45675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45675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45675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45675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45675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45675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45675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45675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45675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45675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45675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45675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45675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45675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45675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45675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45675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45675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45675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45675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45675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45675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45675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45675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45675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45675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45675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45675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45675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45675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45675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45675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45675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45675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45675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45675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45675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45675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45675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45675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45675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45675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45675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45675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45675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45675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45675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45675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45675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45675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45675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45675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45675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45675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45675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45675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45675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45675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45675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45675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45675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45675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45675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45675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45675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45675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45675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45675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45675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45675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45675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45675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45675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45675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45675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45675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45675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45675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45675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45675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45675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45675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45675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45675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45675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45675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45675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45675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45675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45675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45675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45675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45675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45675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45675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45675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45675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45675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45675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48150-2023</t>
        </is>
      </c>
      <c r="B625" s="1" t="n">
        <v>45205</v>
      </c>
      <c r="C625" s="1" t="n">
        <v>45675</v>
      </c>
      <c r="D625" t="inlineStr">
        <is>
          <t>VÄSTRA GÖTALANDS LÄN</t>
        </is>
      </c>
      <c r="E625" t="inlineStr">
        <is>
          <t>BORÅS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48173-2023</t>
        </is>
      </c>
      <c r="B626" s="1" t="n">
        <v>45205</v>
      </c>
      <c r="C626" s="1" t="n">
        <v>45675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48260-2023</t>
        </is>
      </c>
      <c r="B627" s="1" t="n">
        <v>45205</v>
      </c>
      <c r="C627" s="1" t="n">
        <v>45675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48358-2023</t>
        </is>
      </c>
      <c r="B628" s="1" t="n">
        <v>45205</v>
      </c>
      <c r="C628" s="1" t="n">
        <v>45675</v>
      </c>
      <c r="D628" t="inlineStr">
        <is>
          <t>VÄSTRA GÖTALANDS LÄN</t>
        </is>
      </c>
      <c r="E628" t="inlineStr">
        <is>
          <t>BORÅS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48619-2023</t>
        </is>
      </c>
      <c r="B629" s="1" t="n">
        <v>45208</v>
      </c>
      <c r="C629" s="1" t="n">
        <v>45675</v>
      </c>
      <c r="D629" t="inlineStr">
        <is>
          <t>VÄSTRA GÖTALANDS LÄN</t>
        </is>
      </c>
      <c r="E629" t="inlineStr">
        <is>
          <t>BORÅS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48695-2023</t>
        </is>
      </c>
      <c r="B630" s="1" t="n">
        <v>45208</v>
      </c>
      <c r="C630" s="1" t="n">
        <v>45675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49004-2023</t>
        </is>
      </c>
      <c r="B631" s="1" t="n">
        <v>45209</v>
      </c>
      <c r="C631" s="1" t="n">
        <v>45675</v>
      </c>
      <c r="D631" t="inlineStr">
        <is>
          <t>VÄSTRA GÖTALANDS LÄN</t>
        </is>
      </c>
      <c r="E631" t="inlineStr">
        <is>
          <t>BORÅS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49102-2023</t>
        </is>
      </c>
      <c r="B632" s="1" t="n">
        <v>45210</v>
      </c>
      <c r="C632" s="1" t="n">
        <v>45675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49112-2023</t>
        </is>
      </c>
      <c r="B633" s="1" t="n">
        <v>45210</v>
      </c>
      <c r="C633" s="1" t="n">
        <v>45675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49150-2023</t>
        </is>
      </c>
      <c r="B634" s="1" t="n">
        <v>45210</v>
      </c>
      <c r="C634" s="1" t="n">
        <v>45675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49471-2023</t>
        </is>
      </c>
      <c r="B635" s="1" t="n">
        <v>45211</v>
      </c>
      <c r="C635" s="1" t="n">
        <v>45675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49475-2023</t>
        </is>
      </c>
      <c r="B636" s="1" t="n">
        <v>45211</v>
      </c>
      <c r="C636" s="1" t="n">
        <v>45675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49477-2023</t>
        </is>
      </c>
      <c r="B637" s="1" t="n">
        <v>45211</v>
      </c>
      <c r="C637" s="1" t="n">
        <v>45675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49672-2023</t>
        </is>
      </c>
      <c r="B638" s="1" t="n">
        <v>45212</v>
      </c>
      <c r="C638" s="1" t="n">
        <v>45675</v>
      </c>
      <c r="D638" t="inlineStr">
        <is>
          <t>VÄSTRA GÖTALANDS LÄN</t>
        </is>
      </c>
      <c r="E638" t="inlineStr">
        <is>
          <t>BORÅS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49729-2023</t>
        </is>
      </c>
      <c r="B639" s="1" t="n">
        <v>45212</v>
      </c>
      <c r="C639" s="1" t="n">
        <v>45675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49733-2023</t>
        </is>
      </c>
      <c r="B640" s="1" t="n">
        <v>45212</v>
      </c>
      <c r="C640" s="1" t="n">
        <v>45675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49776-2023</t>
        </is>
      </c>
      <c r="B641" s="1" t="n">
        <v>45212</v>
      </c>
      <c r="C641" s="1" t="n">
        <v>45675</v>
      </c>
      <c r="D641" t="inlineStr">
        <is>
          <t>VÄSTRA GÖTALANDS LÄN</t>
        </is>
      </c>
      <c r="E641" t="inlineStr">
        <is>
          <t>BORÅS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49725-2023</t>
        </is>
      </c>
      <c r="B642" s="1" t="n">
        <v>45212</v>
      </c>
      <c r="C642" s="1" t="n">
        <v>45675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50012-2023</t>
        </is>
      </c>
      <c r="B643" s="1" t="n">
        <v>45215</v>
      </c>
      <c r="C643" s="1" t="n">
        <v>45675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49948-2023</t>
        </is>
      </c>
      <c r="B644" s="1" t="n">
        <v>45215</v>
      </c>
      <c r="C644" s="1" t="n">
        <v>45675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50013-2023</t>
        </is>
      </c>
      <c r="B645" s="1" t="n">
        <v>45215</v>
      </c>
      <c r="C645" s="1" t="n">
        <v>45675</v>
      </c>
      <c r="D645" t="inlineStr">
        <is>
          <t>VÄSTRA GÖTALANDS LÄN</t>
        </is>
      </c>
      <c r="E645" t="inlineStr">
        <is>
          <t>BORÅS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50359-2023</t>
        </is>
      </c>
      <c r="B646" s="1" t="n">
        <v>45216</v>
      </c>
      <c r="C646" s="1" t="n">
        <v>45675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50282-2023</t>
        </is>
      </c>
      <c r="B647" s="1" t="n">
        <v>45216</v>
      </c>
      <c r="C647" s="1" t="n">
        <v>45675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50288-2023</t>
        </is>
      </c>
      <c r="B648" s="1" t="n">
        <v>45216</v>
      </c>
      <c r="C648" s="1" t="n">
        <v>45675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50292-2023</t>
        </is>
      </c>
      <c r="B649" s="1" t="n">
        <v>45216</v>
      </c>
      <c r="C649" s="1" t="n">
        <v>45675</v>
      </c>
      <c r="D649" t="inlineStr">
        <is>
          <t>VÄSTRA GÖTALANDS LÄN</t>
        </is>
      </c>
      <c r="E649" t="inlineStr">
        <is>
          <t>BORÅS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50692-2023</t>
        </is>
      </c>
      <c r="B650" s="1" t="n">
        <v>45217</v>
      </c>
      <c r="C650" s="1" t="n">
        <v>45675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51613-2023</t>
        </is>
      </c>
      <c r="B651" s="1" t="n">
        <v>45222</v>
      </c>
      <c r="C651" s="1" t="n">
        <v>45675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51883-2023</t>
        </is>
      </c>
      <c r="B652" s="1" t="n">
        <v>45223</v>
      </c>
      <c r="C652" s="1" t="n">
        <v>45675</v>
      </c>
      <c r="D652" t="inlineStr">
        <is>
          <t>VÄSTRA GÖTALANDS LÄN</t>
        </is>
      </c>
      <c r="E652" t="inlineStr">
        <is>
          <t>BORÅS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53386-2023</t>
        </is>
      </c>
      <c r="B653" s="1" t="n">
        <v>45223</v>
      </c>
      <c r="C653" s="1" t="n">
        <v>45675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52163-2023</t>
        </is>
      </c>
      <c r="B654" s="1" t="n">
        <v>45224</v>
      </c>
      <c r="C654" s="1" t="n">
        <v>45675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52410-2023</t>
        </is>
      </c>
      <c r="B655" s="1" t="n">
        <v>45224</v>
      </c>
      <c r="C655" s="1" t="n">
        <v>45675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52470-2023</t>
        </is>
      </c>
      <c r="B656" s="1" t="n">
        <v>45225</v>
      </c>
      <c r="C656" s="1" t="n">
        <v>45675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52540-2023</t>
        </is>
      </c>
      <c r="B657" s="1" t="n">
        <v>45225</v>
      </c>
      <c r="C657" s="1" t="n">
        <v>45675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52486-2023</t>
        </is>
      </c>
      <c r="B658" s="1" t="n">
        <v>45225</v>
      </c>
      <c r="C658" s="1" t="n">
        <v>45675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52906-2023</t>
        </is>
      </c>
      <c r="B659" s="1" t="n">
        <v>45226</v>
      </c>
      <c r="C659" s="1" t="n">
        <v>45675</v>
      </c>
      <c r="D659" t="inlineStr">
        <is>
          <t>VÄSTRA GÖTALANDS LÄN</t>
        </is>
      </c>
      <c r="E659" t="inlineStr">
        <is>
          <t>BORÅS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53115-2023</t>
        </is>
      </c>
      <c r="B660" s="1" t="n">
        <v>45228</v>
      </c>
      <c r="C660" s="1" t="n">
        <v>45675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54731-2023</t>
        </is>
      </c>
      <c r="B661" s="1" t="n">
        <v>45229</v>
      </c>
      <c r="C661" s="1" t="n">
        <v>45675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53725-2023</t>
        </is>
      </c>
      <c r="B662" s="1" t="n">
        <v>45230</v>
      </c>
      <c r="C662" s="1" t="n">
        <v>45675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53976-2023</t>
        </is>
      </c>
      <c r="B663" s="1" t="n">
        <v>45231</v>
      </c>
      <c r="C663" s="1" t="n">
        <v>45675</v>
      </c>
      <c r="D663" t="inlineStr">
        <is>
          <t>VÄSTRA GÖTALANDS LÄN</t>
        </is>
      </c>
      <c r="E663" t="inlineStr">
        <is>
          <t>BORÅS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53972-2023</t>
        </is>
      </c>
      <c r="B664" s="1" t="n">
        <v>45231</v>
      </c>
      <c r="C664" s="1" t="n">
        <v>45675</v>
      </c>
      <c r="D664" t="inlineStr">
        <is>
          <t>VÄSTRA GÖTALANDS LÄN</t>
        </is>
      </c>
      <c r="E664" t="inlineStr">
        <is>
          <t>BORÅS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53973-2023</t>
        </is>
      </c>
      <c r="B665" s="1" t="n">
        <v>45231</v>
      </c>
      <c r="C665" s="1" t="n">
        <v>45675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</v>
      </c>
      <c r="C666" s="1" t="n">
        <v>45675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54287-2023</t>
        </is>
      </c>
      <c r="B667" s="1" t="n">
        <v>45232</v>
      </c>
      <c r="C667" s="1" t="n">
        <v>45675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54365-2023</t>
        </is>
      </c>
      <c r="B668" s="1" t="n">
        <v>45233</v>
      </c>
      <c r="C668" s="1" t="n">
        <v>45675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54772-2023</t>
        </is>
      </c>
      <c r="B669" s="1" t="n">
        <v>45236</v>
      </c>
      <c r="C669" s="1" t="n">
        <v>45675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54940-2023</t>
        </is>
      </c>
      <c r="B670" s="1" t="n">
        <v>45236</v>
      </c>
      <c r="C670" s="1" t="n">
        <v>45675</v>
      </c>
      <c r="D670" t="inlineStr">
        <is>
          <t>VÄSTRA GÖTALANDS LÄN</t>
        </is>
      </c>
      <c r="E670" t="inlineStr">
        <is>
          <t>BORÅS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55043-2023</t>
        </is>
      </c>
      <c r="B671" s="1" t="n">
        <v>45237</v>
      </c>
      <c r="C671" s="1" t="n">
        <v>45675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56777-2023</t>
        </is>
      </c>
      <c r="B672" s="1" t="n">
        <v>45238</v>
      </c>
      <c r="C672" s="1" t="n">
        <v>45675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55806-2023</t>
        </is>
      </c>
      <c r="B673" s="1" t="n">
        <v>45239</v>
      </c>
      <c r="C673" s="1" t="n">
        <v>45675</v>
      </c>
      <c r="D673" t="inlineStr">
        <is>
          <t>VÄSTRA GÖTALANDS LÄN</t>
        </is>
      </c>
      <c r="E673" t="inlineStr">
        <is>
          <t>BORÅS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57175-2023</t>
        </is>
      </c>
      <c r="B674" s="1" t="n">
        <v>45240</v>
      </c>
      <c r="C674" s="1" t="n">
        <v>45675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56023-2023</t>
        </is>
      </c>
      <c r="B675" s="1" t="n">
        <v>45240</v>
      </c>
      <c r="C675" s="1" t="n">
        <v>45675</v>
      </c>
      <c r="D675" t="inlineStr">
        <is>
          <t>VÄSTRA GÖTALANDS LÄN</t>
        </is>
      </c>
      <c r="E675" t="inlineStr">
        <is>
          <t>BORÅS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55948-2023</t>
        </is>
      </c>
      <c r="B676" s="1" t="n">
        <v>45240</v>
      </c>
      <c r="C676" s="1" t="n">
        <v>45675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55944-2023</t>
        </is>
      </c>
      <c r="B677" s="1" t="n">
        <v>45240</v>
      </c>
      <c r="C677" s="1" t="n">
        <v>45675</v>
      </c>
      <c r="D677" t="inlineStr">
        <is>
          <t>VÄSTRA GÖTALANDS LÄN</t>
        </is>
      </c>
      <c r="E677" t="inlineStr">
        <is>
          <t>BORÅS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57169-2023</t>
        </is>
      </c>
      <c r="B678" s="1" t="n">
        <v>45240</v>
      </c>
      <c r="C678" s="1" t="n">
        <v>45675</v>
      </c>
      <c r="D678" t="inlineStr">
        <is>
          <t>VÄSTRA GÖTALANDS LÄN</t>
        </is>
      </c>
      <c r="E678" t="inlineStr">
        <is>
          <t>BORÅS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55956-2023</t>
        </is>
      </c>
      <c r="B679" s="1" t="n">
        <v>45240</v>
      </c>
      <c r="C679" s="1" t="n">
        <v>45675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55946-2023</t>
        </is>
      </c>
      <c r="B680" s="1" t="n">
        <v>45240</v>
      </c>
      <c r="C680" s="1" t="n">
        <v>45675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56227-2023</t>
        </is>
      </c>
      <c r="B681" s="1" t="n">
        <v>45240</v>
      </c>
      <c r="C681" s="1" t="n">
        <v>45675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56007-2023</t>
        </is>
      </c>
      <c r="B682" s="1" t="n">
        <v>45240</v>
      </c>
      <c r="C682" s="1" t="n">
        <v>45675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56002-2023</t>
        </is>
      </c>
      <c r="B683" s="1" t="n">
        <v>45240</v>
      </c>
      <c r="C683" s="1" t="n">
        <v>45675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55952-2023</t>
        </is>
      </c>
      <c r="B684" s="1" t="n">
        <v>45240</v>
      </c>
      <c r="C684" s="1" t="n">
        <v>45675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56533-2023</t>
        </is>
      </c>
      <c r="B685" s="1" t="n">
        <v>45243</v>
      </c>
      <c r="C685" s="1" t="n">
        <v>45675</v>
      </c>
      <c r="D685" t="inlineStr">
        <is>
          <t>VÄSTRA GÖTALANDS LÄN</t>
        </is>
      </c>
      <c r="E685" t="inlineStr">
        <is>
          <t>BORÅS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57147-2023</t>
        </is>
      </c>
      <c r="B686" s="1" t="n">
        <v>45245</v>
      </c>
      <c r="C686" s="1" t="n">
        <v>45675</v>
      </c>
      <c r="D686" t="inlineStr">
        <is>
          <t>VÄSTRA GÖTALANDS LÄN</t>
        </is>
      </c>
      <c r="E686" t="inlineStr">
        <is>
          <t>BORÅS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57481-2023</t>
        </is>
      </c>
      <c r="B687" s="1" t="n">
        <v>45246</v>
      </c>
      <c r="C687" s="1" t="n">
        <v>45675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57531-2023</t>
        </is>
      </c>
      <c r="B688" s="1" t="n">
        <v>45246</v>
      </c>
      <c r="C688" s="1" t="n">
        <v>45675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57584-2023</t>
        </is>
      </c>
      <c r="B689" s="1" t="n">
        <v>45246</v>
      </c>
      <c r="C689" s="1" t="n">
        <v>45675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58873-2023</t>
        </is>
      </c>
      <c r="B690" s="1" t="n">
        <v>45250</v>
      </c>
      <c r="C690" s="1" t="n">
        <v>45675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58285-2023</t>
        </is>
      </c>
      <c r="B691" s="1" t="n">
        <v>45250</v>
      </c>
      <c r="C691" s="1" t="n">
        <v>45675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59497-2023</t>
        </is>
      </c>
      <c r="B692" s="1" t="n">
        <v>45254</v>
      </c>
      <c r="C692" s="1" t="n">
        <v>45675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60083-2023</t>
        </is>
      </c>
      <c r="B693" s="1" t="n">
        <v>45258</v>
      </c>
      <c r="C693" s="1" t="n">
        <v>45675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60127-2023</t>
        </is>
      </c>
      <c r="B694" s="1" t="n">
        <v>45258</v>
      </c>
      <c r="C694" s="1" t="n">
        <v>45675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60208-2023</t>
        </is>
      </c>
      <c r="B695" s="1" t="n">
        <v>45258</v>
      </c>
      <c r="C695" s="1" t="n">
        <v>45675</v>
      </c>
      <c r="D695" t="inlineStr">
        <is>
          <t>VÄSTRA GÖTALANDS LÄN</t>
        </is>
      </c>
      <c r="E695" t="inlineStr">
        <is>
          <t>BORÅS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60953-2023</t>
        </is>
      </c>
      <c r="B696" s="1" t="n">
        <v>45261</v>
      </c>
      <c r="C696" s="1" t="n">
        <v>45675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61452-2023</t>
        </is>
      </c>
      <c r="B697" s="1" t="n">
        <v>45264</v>
      </c>
      <c r="C697" s="1" t="n">
        <v>45675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61674-2023</t>
        </is>
      </c>
      <c r="B698" s="1" t="n">
        <v>45264</v>
      </c>
      <c r="C698" s="1" t="n">
        <v>45675</v>
      </c>
      <c r="D698" t="inlineStr">
        <is>
          <t>VÄSTRA GÖTALANDS LÄN</t>
        </is>
      </c>
      <c r="E698" t="inlineStr">
        <is>
          <t>BORÅS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61681-2023</t>
        </is>
      </c>
      <c r="B699" s="1" t="n">
        <v>45264</v>
      </c>
      <c r="C699" s="1" t="n">
        <v>45675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61678-2023</t>
        </is>
      </c>
      <c r="B700" s="1" t="n">
        <v>45264</v>
      </c>
      <c r="C700" s="1" t="n">
        <v>45675</v>
      </c>
      <c r="D700" t="inlineStr">
        <is>
          <t>VÄSTRA GÖTALANDS LÄN</t>
        </is>
      </c>
      <c r="E700" t="inlineStr">
        <is>
          <t>BORÅS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61852-2023</t>
        </is>
      </c>
      <c r="B701" s="1" t="n">
        <v>45265</v>
      </c>
      <c r="C701" s="1" t="n">
        <v>45675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61948-2023</t>
        </is>
      </c>
      <c r="B702" s="1" t="n">
        <v>45266</v>
      </c>
      <c r="C702" s="1" t="n">
        <v>45675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62162-2023</t>
        </is>
      </c>
      <c r="B703" s="1" t="n">
        <v>45267</v>
      </c>
      <c r="C703" s="1" t="n">
        <v>45675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62448-2023</t>
        </is>
      </c>
      <c r="B704" s="1" t="n">
        <v>45268</v>
      </c>
      <c r="C704" s="1" t="n">
        <v>45675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62446-2023</t>
        </is>
      </c>
      <c r="B705" s="1" t="n">
        <v>45268</v>
      </c>
      <c r="C705" s="1" t="n">
        <v>45675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62773-2023</t>
        </is>
      </c>
      <c r="B706" s="1" t="n">
        <v>45271</v>
      </c>
      <c r="C706" s="1" t="n">
        <v>45675</v>
      </c>
      <c r="D706" t="inlineStr">
        <is>
          <t>VÄSTRA GÖTALANDS LÄN</t>
        </is>
      </c>
      <c r="E706" t="inlineStr">
        <is>
          <t>BORÅS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62934-2023</t>
        </is>
      </c>
      <c r="B707" s="1" t="n">
        <v>45271</v>
      </c>
      <c r="C707" s="1" t="n">
        <v>45675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63238-2023</t>
        </is>
      </c>
      <c r="B708" s="1" t="n">
        <v>45273</v>
      </c>
      <c r="C708" s="1" t="n">
        <v>45675</v>
      </c>
      <c r="D708" t="inlineStr">
        <is>
          <t>VÄSTRA GÖTALANDS LÄN</t>
        </is>
      </c>
      <c r="E708" t="inlineStr">
        <is>
          <t>BORÅS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63169-2023</t>
        </is>
      </c>
      <c r="B709" s="1" t="n">
        <v>45273</v>
      </c>
      <c r="C709" s="1" t="n">
        <v>45675</v>
      </c>
      <c r="D709" t="inlineStr">
        <is>
          <t>VÄSTRA GÖTALANDS LÄN</t>
        </is>
      </c>
      <c r="E709" t="inlineStr">
        <is>
          <t>BORÅS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63178-2023</t>
        </is>
      </c>
      <c r="B710" s="1" t="n">
        <v>45273</v>
      </c>
      <c r="C710" s="1" t="n">
        <v>45675</v>
      </c>
      <c r="D710" t="inlineStr">
        <is>
          <t>VÄSTRA GÖTALANDS LÄN</t>
        </is>
      </c>
      <c r="E710" t="inlineStr">
        <is>
          <t>BORÅS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63437-2023</t>
        </is>
      </c>
      <c r="B711" s="1" t="n">
        <v>45274</v>
      </c>
      <c r="C711" s="1" t="n">
        <v>45675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63618-2023</t>
        </is>
      </c>
      <c r="B712" s="1" t="n">
        <v>45275</v>
      </c>
      <c r="C712" s="1" t="n">
        <v>45675</v>
      </c>
      <c r="D712" t="inlineStr">
        <is>
          <t>VÄSTRA GÖTALANDS LÄN</t>
        </is>
      </c>
      <c r="E712" t="inlineStr">
        <is>
          <t>BORÅS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63568-2023</t>
        </is>
      </c>
      <c r="B713" s="1" t="n">
        <v>45275</v>
      </c>
      <c r="C713" s="1" t="n">
        <v>45675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64192-2023</t>
        </is>
      </c>
      <c r="B714" s="1" t="n">
        <v>45279</v>
      </c>
      <c r="C714" s="1" t="n">
        <v>45675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64576-2023</t>
        </is>
      </c>
      <c r="B715" s="1" t="n">
        <v>45281</v>
      </c>
      <c r="C715" s="1" t="n">
        <v>45675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65200-2023</t>
        </is>
      </c>
      <c r="B716" s="1" t="n">
        <v>45289</v>
      </c>
      <c r="C716" s="1" t="n">
        <v>45675</v>
      </c>
      <c r="D716" t="inlineStr">
        <is>
          <t>VÄSTRA GÖTALANDS LÄN</t>
        </is>
      </c>
      <c r="E716" t="inlineStr">
        <is>
          <t>BORÅS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183-2024</t>
        </is>
      </c>
      <c r="B717" s="1" t="n">
        <v>45294</v>
      </c>
      <c r="C717" s="1" t="n">
        <v>45675</v>
      </c>
      <c r="D717" t="inlineStr">
        <is>
          <t>VÄSTRA GÖTALANDS LÄN</t>
        </is>
      </c>
      <c r="E717" t="inlineStr">
        <is>
          <t>BORÅS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178-2024</t>
        </is>
      </c>
      <c r="B718" s="1" t="n">
        <v>45294</v>
      </c>
      <c r="C718" s="1" t="n">
        <v>45675</v>
      </c>
      <c r="D718" t="inlineStr">
        <is>
          <t>VÄSTRA GÖTALANDS LÄN</t>
        </is>
      </c>
      <c r="E718" t="inlineStr">
        <is>
          <t>BORÅS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186-2024</t>
        </is>
      </c>
      <c r="B719" s="1" t="n">
        <v>45294</v>
      </c>
      <c r="C719" s="1" t="n">
        <v>45675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177-2024</t>
        </is>
      </c>
      <c r="B720" s="1" t="n">
        <v>45294</v>
      </c>
      <c r="C720" s="1" t="n">
        <v>45675</v>
      </c>
      <c r="D720" t="inlineStr">
        <is>
          <t>VÄSTRA GÖTALANDS LÄN</t>
        </is>
      </c>
      <c r="E720" t="inlineStr">
        <is>
          <t>BORÅS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197-2024</t>
        </is>
      </c>
      <c r="B721" s="1" t="n">
        <v>45294</v>
      </c>
      <c r="C721" s="1" t="n">
        <v>45675</v>
      </c>
      <c r="D721" t="inlineStr">
        <is>
          <t>VÄSTRA GÖTALANDS LÄN</t>
        </is>
      </c>
      <c r="E721" t="inlineStr">
        <is>
          <t>BORÅS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180-2024</t>
        </is>
      </c>
      <c r="B722" s="1" t="n">
        <v>45294</v>
      </c>
      <c r="C722" s="1" t="n">
        <v>45675</v>
      </c>
      <c r="D722" t="inlineStr">
        <is>
          <t>VÄSTRA GÖTALANDS LÄN</t>
        </is>
      </c>
      <c r="E722" t="inlineStr">
        <is>
          <t>BORÅS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196-2024</t>
        </is>
      </c>
      <c r="B723" s="1" t="n">
        <v>45294</v>
      </c>
      <c r="C723" s="1" t="n">
        <v>45675</v>
      </c>
      <c r="D723" t="inlineStr">
        <is>
          <t>VÄSTRA GÖTALANDS LÄN</t>
        </is>
      </c>
      <c r="E723" t="inlineStr">
        <is>
          <t>BORÅS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665-2024</t>
        </is>
      </c>
      <c r="B724" s="1" t="n">
        <v>45300</v>
      </c>
      <c r="C724" s="1" t="n">
        <v>45675</v>
      </c>
      <c r="D724" t="inlineStr">
        <is>
          <t>VÄSTRA GÖTALANDS LÄN</t>
        </is>
      </c>
      <c r="E724" t="inlineStr">
        <is>
          <t>BORÅS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983-2024</t>
        </is>
      </c>
      <c r="B725" s="1" t="n">
        <v>45301</v>
      </c>
      <c r="C725" s="1" t="n">
        <v>45675</v>
      </c>
      <c r="D725" t="inlineStr">
        <is>
          <t>VÄSTRA GÖTALANDS LÄN</t>
        </is>
      </c>
      <c r="E725" t="inlineStr">
        <is>
          <t>BORÅS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987-2024</t>
        </is>
      </c>
      <c r="B726" s="1" t="n">
        <v>45301</v>
      </c>
      <c r="C726" s="1" t="n">
        <v>45675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1083-2024</t>
        </is>
      </c>
      <c r="B727" s="1" t="n">
        <v>45302</v>
      </c>
      <c r="C727" s="1" t="n">
        <v>45675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1082-2024</t>
        </is>
      </c>
      <c r="B728" s="1" t="n">
        <v>45302</v>
      </c>
      <c r="C728" s="1" t="n">
        <v>45675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1394-2024</t>
        </is>
      </c>
      <c r="B729" s="1" t="n">
        <v>45303</v>
      </c>
      <c r="C729" s="1" t="n">
        <v>45675</v>
      </c>
      <c r="D729" t="inlineStr">
        <is>
          <t>VÄSTRA GÖTALANDS LÄN</t>
        </is>
      </c>
      <c r="E729" t="inlineStr">
        <is>
          <t>BORÅS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1579-2024</t>
        </is>
      </c>
      <c r="B730" s="1" t="n">
        <v>45306</v>
      </c>
      <c r="C730" s="1" t="n">
        <v>45675</v>
      </c>
      <c r="D730" t="inlineStr">
        <is>
          <t>VÄSTRA GÖTALANDS LÄN</t>
        </is>
      </c>
      <c r="E730" t="inlineStr">
        <is>
          <t>BORÅS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1617-2024</t>
        </is>
      </c>
      <c r="B731" s="1" t="n">
        <v>45306</v>
      </c>
      <c r="C731" s="1" t="n">
        <v>45675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Kyrkan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1824-2024</t>
        </is>
      </c>
      <c r="B732" s="1" t="n">
        <v>45307</v>
      </c>
      <c r="C732" s="1" t="n">
        <v>45675</v>
      </c>
      <c r="D732" t="inlineStr">
        <is>
          <t>VÄSTRA GÖTALANDS LÄN</t>
        </is>
      </c>
      <c r="E732" t="inlineStr">
        <is>
          <t>BORÅS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1992-2024</t>
        </is>
      </c>
      <c r="B733" s="1" t="n">
        <v>45308</v>
      </c>
      <c r="C733" s="1" t="n">
        <v>45675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2004-2024</t>
        </is>
      </c>
      <c r="B734" s="1" t="n">
        <v>45308</v>
      </c>
      <c r="C734" s="1" t="n">
        <v>45675</v>
      </c>
      <c r="D734" t="inlineStr">
        <is>
          <t>VÄSTRA GÖTALANDS LÄN</t>
        </is>
      </c>
      <c r="E734" t="inlineStr">
        <is>
          <t>BORÅS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2008-2024</t>
        </is>
      </c>
      <c r="B735" s="1" t="n">
        <v>45308</v>
      </c>
      <c r="C735" s="1" t="n">
        <v>45675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2553-2024</t>
        </is>
      </c>
      <c r="B736" s="1" t="n">
        <v>45313</v>
      </c>
      <c r="C736" s="1" t="n">
        <v>45675</v>
      </c>
      <c r="D736" t="inlineStr">
        <is>
          <t>VÄSTRA GÖTALANDS LÄN</t>
        </is>
      </c>
      <c r="E736" t="inlineStr">
        <is>
          <t>BORÅS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2875-2024</t>
        </is>
      </c>
      <c r="B737" s="1" t="n">
        <v>45315</v>
      </c>
      <c r="C737" s="1" t="n">
        <v>45675</v>
      </c>
      <c r="D737" t="inlineStr">
        <is>
          <t>VÄSTRA GÖTALANDS LÄN</t>
        </is>
      </c>
      <c r="E737" t="inlineStr">
        <is>
          <t>BORÅS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2876-2024</t>
        </is>
      </c>
      <c r="B738" s="1" t="n">
        <v>45315</v>
      </c>
      <c r="C738" s="1" t="n">
        <v>45675</v>
      </c>
      <c r="D738" t="inlineStr">
        <is>
          <t>VÄSTRA GÖTALANDS LÄN</t>
        </is>
      </c>
      <c r="E738" t="inlineStr">
        <is>
          <t>BORÅS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3022-2024</t>
        </is>
      </c>
      <c r="B739" s="1" t="n">
        <v>45316</v>
      </c>
      <c r="C739" s="1" t="n">
        <v>45675</v>
      </c>
      <c r="D739" t="inlineStr">
        <is>
          <t>VÄSTRA GÖTALANDS LÄN</t>
        </is>
      </c>
      <c r="E739" t="inlineStr">
        <is>
          <t>BORÅS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3021-2024</t>
        </is>
      </c>
      <c r="B740" s="1" t="n">
        <v>45316</v>
      </c>
      <c r="C740" s="1" t="n">
        <v>45675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3095-2024</t>
        </is>
      </c>
      <c r="B741" s="1" t="n">
        <v>45316</v>
      </c>
      <c r="C741" s="1" t="n">
        <v>45675</v>
      </c>
      <c r="D741" t="inlineStr">
        <is>
          <t>VÄSTRA GÖTALANDS LÄN</t>
        </is>
      </c>
      <c r="E741" t="inlineStr">
        <is>
          <t>BORÅS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3103-2024</t>
        </is>
      </c>
      <c r="B742" s="1" t="n">
        <v>45316</v>
      </c>
      <c r="C742" s="1" t="n">
        <v>45675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3190-2024</t>
        </is>
      </c>
      <c r="B743" s="1" t="n">
        <v>45316</v>
      </c>
      <c r="C743" s="1" t="n">
        <v>45675</v>
      </c>
      <c r="D743" t="inlineStr">
        <is>
          <t>VÄSTRA GÖTALANDS LÄN</t>
        </is>
      </c>
      <c r="E743" t="inlineStr">
        <is>
          <t>BORÅS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3728-2024</t>
        </is>
      </c>
      <c r="B744" s="1" t="n">
        <v>45321</v>
      </c>
      <c r="C744" s="1" t="n">
        <v>45675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3719-2024</t>
        </is>
      </c>
      <c r="B745" s="1" t="n">
        <v>45321</v>
      </c>
      <c r="C745" s="1" t="n">
        <v>45675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3703-2024</t>
        </is>
      </c>
      <c r="B746" s="1" t="n">
        <v>45321</v>
      </c>
      <c r="C746" s="1" t="n">
        <v>45675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3721-2024</t>
        </is>
      </c>
      <c r="B747" s="1" t="n">
        <v>45321</v>
      </c>
      <c r="C747" s="1" t="n">
        <v>45675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3733-2024</t>
        </is>
      </c>
      <c r="B748" s="1" t="n">
        <v>45321</v>
      </c>
      <c r="C748" s="1" t="n">
        <v>45675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3766-2024</t>
        </is>
      </c>
      <c r="B749" s="1" t="n">
        <v>45321</v>
      </c>
      <c r="C749" s="1" t="n">
        <v>45675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3712-2024</t>
        </is>
      </c>
      <c r="B750" s="1" t="n">
        <v>45321</v>
      </c>
      <c r="C750" s="1" t="n">
        <v>45675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3784-2024</t>
        </is>
      </c>
      <c r="B751" s="1" t="n">
        <v>45321</v>
      </c>
      <c r="C751" s="1" t="n">
        <v>45675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4371-2024</t>
        </is>
      </c>
      <c r="B752" s="1" t="n">
        <v>45326</v>
      </c>
      <c r="C752" s="1" t="n">
        <v>45675</v>
      </c>
      <c r="D752" t="inlineStr">
        <is>
          <t>VÄSTRA GÖTALANDS LÄN</t>
        </is>
      </c>
      <c r="E752" t="inlineStr">
        <is>
          <t>BORÅS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4423-2024</t>
        </is>
      </c>
      <c r="B753" s="1" t="n">
        <v>45327</v>
      </c>
      <c r="C753" s="1" t="n">
        <v>45675</v>
      </c>
      <c r="D753" t="inlineStr">
        <is>
          <t>VÄSTRA GÖTALANDS LÄN</t>
        </is>
      </c>
      <c r="E753" t="inlineStr">
        <is>
          <t>BORÅS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5039-2024</t>
        </is>
      </c>
      <c r="B754" s="1" t="n">
        <v>45329</v>
      </c>
      <c r="C754" s="1" t="n">
        <v>45675</v>
      </c>
      <c r="D754" t="inlineStr">
        <is>
          <t>VÄSTRA GÖTALANDS LÄN</t>
        </is>
      </c>
      <c r="E754" t="inlineStr">
        <is>
          <t>BORÅS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5037-2024</t>
        </is>
      </c>
      <c r="B755" s="1" t="n">
        <v>45329</v>
      </c>
      <c r="C755" s="1" t="n">
        <v>45675</v>
      </c>
      <c r="D755" t="inlineStr">
        <is>
          <t>VÄSTRA GÖTALANDS LÄN</t>
        </is>
      </c>
      <c r="E755" t="inlineStr">
        <is>
          <t>BORÅS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6203-2024</t>
        </is>
      </c>
      <c r="B756" s="1" t="n">
        <v>45337</v>
      </c>
      <c r="C756" s="1" t="n">
        <v>45675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6917-2024</t>
        </is>
      </c>
      <c r="B757" s="1" t="n">
        <v>45343</v>
      </c>
      <c r="C757" s="1" t="n">
        <v>45675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6939-2024</t>
        </is>
      </c>
      <c r="B758" s="1" t="n">
        <v>45343</v>
      </c>
      <c r="C758" s="1" t="n">
        <v>45675</v>
      </c>
      <c r="D758" t="inlineStr">
        <is>
          <t>VÄSTRA GÖTALANDS LÄN</t>
        </is>
      </c>
      <c r="E758" t="inlineStr">
        <is>
          <t>BORÅS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7589-2024</t>
        </is>
      </c>
      <c r="B759" s="1" t="n">
        <v>45348</v>
      </c>
      <c r="C759" s="1" t="n">
        <v>45675</v>
      </c>
      <c r="D759" t="inlineStr">
        <is>
          <t>VÄSTRA GÖTALANDS LÄN</t>
        </is>
      </c>
      <c r="E759" t="inlineStr">
        <is>
          <t>BORÅS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7582-2024</t>
        </is>
      </c>
      <c r="B760" s="1" t="n">
        <v>45348</v>
      </c>
      <c r="C760" s="1" t="n">
        <v>45675</v>
      </c>
      <c r="D760" t="inlineStr">
        <is>
          <t>VÄSTRA GÖTALANDS LÄN</t>
        </is>
      </c>
      <c r="E760" t="inlineStr">
        <is>
          <t>BORÅS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7624-2024</t>
        </is>
      </c>
      <c r="B761" s="1" t="n">
        <v>45348</v>
      </c>
      <c r="C761" s="1" t="n">
        <v>45675</v>
      </c>
      <c r="D761" t="inlineStr">
        <is>
          <t>VÄSTRA GÖTALANDS LÄN</t>
        </is>
      </c>
      <c r="E761" t="inlineStr">
        <is>
          <t>BORÅS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7898-2024</t>
        </is>
      </c>
      <c r="B762" s="1" t="n">
        <v>45350</v>
      </c>
      <c r="C762" s="1" t="n">
        <v>45675</v>
      </c>
      <c r="D762" t="inlineStr">
        <is>
          <t>VÄSTRA GÖTALANDS LÄN</t>
        </is>
      </c>
      <c r="E762" t="inlineStr">
        <is>
          <t>BORÅS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7935-2024</t>
        </is>
      </c>
      <c r="B763" s="1" t="n">
        <v>45350</v>
      </c>
      <c r="C763" s="1" t="n">
        <v>45675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8097-2024</t>
        </is>
      </c>
      <c r="B764" s="1" t="n">
        <v>45351</v>
      </c>
      <c r="C764" s="1" t="n">
        <v>45675</v>
      </c>
      <c r="D764" t="inlineStr">
        <is>
          <t>VÄSTRA GÖTALANDS LÄN</t>
        </is>
      </c>
      <c r="E764" t="inlineStr">
        <is>
          <t>BORÅS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8182-2024</t>
        </is>
      </c>
      <c r="B765" s="1" t="n">
        <v>45351</v>
      </c>
      <c r="C765" s="1" t="n">
        <v>45675</v>
      </c>
      <c r="D765" t="inlineStr">
        <is>
          <t>VÄSTRA GÖTALANDS LÄN</t>
        </is>
      </c>
      <c r="E765" t="inlineStr">
        <is>
          <t>BORÅS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8792-2024</t>
        </is>
      </c>
      <c r="B766" s="1" t="n">
        <v>45356</v>
      </c>
      <c r="C766" s="1" t="n">
        <v>45675</v>
      </c>
      <c r="D766" t="inlineStr">
        <is>
          <t>VÄSTRA GÖTALANDS LÄN</t>
        </is>
      </c>
      <c r="E766" t="inlineStr">
        <is>
          <t>BORÅS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9056-2024</t>
        </is>
      </c>
      <c r="B767" s="1" t="n">
        <v>45357</v>
      </c>
      <c r="C767" s="1" t="n">
        <v>45675</v>
      </c>
      <c r="D767" t="inlineStr">
        <is>
          <t>VÄSTRA GÖTALANDS LÄN</t>
        </is>
      </c>
      <c r="E767" t="inlineStr">
        <is>
          <t>BORÅS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9433-2024</t>
        </is>
      </c>
      <c r="B768" s="1" t="n">
        <v>45359</v>
      </c>
      <c r="C768" s="1" t="n">
        <v>45675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9521-2024</t>
        </is>
      </c>
      <c r="B769" s="1" t="n">
        <v>45359</v>
      </c>
      <c r="C769" s="1" t="n">
        <v>45675</v>
      </c>
      <c r="D769" t="inlineStr">
        <is>
          <t>VÄSTRA GÖTALANDS LÄN</t>
        </is>
      </c>
      <c r="E769" t="inlineStr">
        <is>
          <t>BORÅS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10147-2024</t>
        </is>
      </c>
      <c r="B770" s="1" t="n">
        <v>45364</v>
      </c>
      <c r="C770" s="1" t="n">
        <v>45675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10545-2024</t>
        </is>
      </c>
      <c r="B771" s="1" t="n">
        <v>45366</v>
      </c>
      <c r="C771" s="1" t="n">
        <v>45675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11147-2024</t>
        </is>
      </c>
      <c r="B772" s="1" t="n">
        <v>45371</v>
      </c>
      <c r="C772" s="1" t="n">
        <v>45675</v>
      </c>
      <c r="D772" t="inlineStr">
        <is>
          <t>VÄSTRA GÖTALANDS LÄN</t>
        </is>
      </c>
      <c r="E772" t="inlineStr">
        <is>
          <t>BORÅS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11670-2024</t>
        </is>
      </c>
      <c r="B773" s="1" t="n">
        <v>45373</v>
      </c>
      <c r="C773" s="1" t="n">
        <v>45675</v>
      </c>
      <c r="D773" t="inlineStr">
        <is>
          <t>VÄSTRA GÖTALANDS LÄN</t>
        </is>
      </c>
      <c r="E773" t="inlineStr">
        <is>
          <t>BORÅS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12059-2024</t>
        </is>
      </c>
      <c r="B774" s="1" t="n">
        <v>45377</v>
      </c>
      <c r="C774" s="1" t="n">
        <v>45675</v>
      </c>
      <c r="D774" t="inlineStr">
        <is>
          <t>VÄSTRA GÖTALANDS LÄN</t>
        </is>
      </c>
      <c r="E774" t="inlineStr">
        <is>
          <t>BORÅS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12385-2024</t>
        </is>
      </c>
      <c r="B775" s="1" t="n">
        <v>45379</v>
      </c>
      <c r="C775" s="1" t="n">
        <v>45675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12386-2024</t>
        </is>
      </c>
      <c r="B776" s="1" t="n">
        <v>45379</v>
      </c>
      <c r="C776" s="1" t="n">
        <v>45675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12388-2024</t>
        </is>
      </c>
      <c r="B777" s="1" t="n">
        <v>45379</v>
      </c>
      <c r="C777" s="1" t="n">
        <v>45675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12439-2024</t>
        </is>
      </c>
      <c r="B778" s="1" t="n">
        <v>45379</v>
      </c>
      <c r="C778" s="1" t="n">
        <v>45675</v>
      </c>
      <c r="D778" t="inlineStr">
        <is>
          <t>VÄSTRA GÖTALANDS LÄN</t>
        </is>
      </c>
      <c r="E778" t="inlineStr">
        <is>
          <t>BORÅS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13732-2024</t>
        </is>
      </c>
      <c r="B779" s="1" t="n">
        <v>45390</v>
      </c>
      <c r="C779" s="1" t="n">
        <v>45675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13951-2024</t>
        </is>
      </c>
      <c r="B780" s="1" t="n">
        <v>45392</v>
      </c>
      <c r="C780" s="1" t="n">
        <v>45675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13955-2024</t>
        </is>
      </c>
      <c r="B781" s="1" t="n">
        <v>45392</v>
      </c>
      <c r="C781" s="1" t="n">
        <v>45675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13959-2024</t>
        </is>
      </c>
      <c r="B782" s="1" t="n">
        <v>45392</v>
      </c>
      <c r="C782" s="1" t="n">
        <v>45675</v>
      </c>
      <c r="D782" t="inlineStr">
        <is>
          <t>VÄSTRA GÖTALANDS LÄN</t>
        </is>
      </c>
      <c r="E782" t="inlineStr">
        <is>
          <t>BORÅS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13953-2024</t>
        </is>
      </c>
      <c r="B783" s="1" t="n">
        <v>45392</v>
      </c>
      <c r="C783" s="1" t="n">
        <v>45675</v>
      </c>
      <c r="D783" t="inlineStr">
        <is>
          <t>VÄSTRA GÖTALANDS LÄN</t>
        </is>
      </c>
      <c r="E783" t="inlineStr">
        <is>
          <t>BORÅS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13957-2024</t>
        </is>
      </c>
      <c r="B784" s="1" t="n">
        <v>45392</v>
      </c>
      <c r="C784" s="1" t="n">
        <v>45675</v>
      </c>
      <c r="D784" t="inlineStr">
        <is>
          <t>VÄSTRA GÖTALANDS LÄN</t>
        </is>
      </c>
      <c r="E784" t="inlineStr">
        <is>
          <t>BORÅS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13952-2024</t>
        </is>
      </c>
      <c r="B785" s="1" t="n">
        <v>45392</v>
      </c>
      <c r="C785" s="1" t="n">
        <v>45675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13956-2024</t>
        </is>
      </c>
      <c r="B786" s="1" t="n">
        <v>45392</v>
      </c>
      <c r="C786" s="1" t="n">
        <v>45675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13950-2024</t>
        </is>
      </c>
      <c r="B787" s="1" t="n">
        <v>45392</v>
      </c>
      <c r="C787" s="1" t="n">
        <v>45675</v>
      </c>
      <c r="D787" t="inlineStr">
        <is>
          <t>VÄSTRA GÖTALANDS LÄN</t>
        </is>
      </c>
      <c r="E787" t="inlineStr">
        <is>
          <t>BORÅS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13954-2024</t>
        </is>
      </c>
      <c r="B788" s="1" t="n">
        <v>45392</v>
      </c>
      <c r="C788" s="1" t="n">
        <v>45675</v>
      </c>
      <c r="D788" t="inlineStr">
        <is>
          <t>VÄSTRA GÖTALANDS LÄN</t>
        </is>
      </c>
      <c r="E788" t="inlineStr">
        <is>
          <t>BORÅS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13958-2024</t>
        </is>
      </c>
      <c r="B789" s="1" t="n">
        <v>45392</v>
      </c>
      <c r="C789" s="1" t="n">
        <v>45675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14220-2024</t>
        </is>
      </c>
      <c r="B790" s="1" t="n">
        <v>45393</v>
      </c>
      <c r="C790" s="1" t="n">
        <v>45675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14222-2024</t>
        </is>
      </c>
      <c r="B791" s="1" t="n">
        <v>45393</v>
      </c>
      <c r="C791" s="1" t="n">
        <v>45675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20.3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16177-2024</t>
        </is>
      </c>
      <c r="B792" s="1" t="n">
        <v>45406</v>
      </c>
      <c r="C792" s="1" t="n">
        <v>45675</v>
      </c>
      <c r="D792" t="inlineStr">
        <is>
          <t>VÄSTRA GÖTALANDS LÄN</t>
        </is>
      </c>
      <c r="E792" t="inlineStr">
        <is>
          <t>BORÅS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17032-2024</t>
        </is>
      </c>
      <c r="B793" s="1" t="n">
        <v>45412</v>
      </c>
      <c r="C793" s="1" t="n">
        <v>45675</v>
      </c>
      <c r="D793" t="inlineStr">
        <is>
          <t>VÄSTRA GÖTALANDS LÄN</t>
        </is>
      </c>
      <c r="E793" t="inlineStr">
        <is>
          <t>BORÅS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17025-2024</t>
        </is>
      </c>
      <c r="B794" s="1" t="n">
        <v>45412</v>
      </c>
      <c r="C794" s="1" t="n">
        <v>45675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17096-2024</t>
        </is>
      </c>
      <c r="B795" s="1" t="n">
        <v>45412</v>
      </c>
      <c r="C795" s="1" t="n">
        <v>45675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17034-2024</t>
        </is>
      </c>
      <c r="B796" s="1" t="n">
        <v>45412</v>
      </c>
      <c r="C796" s="1" t="n">
        <v>45675</v>
      </c>
      <c r="D796" t="inlineStr">
        <is>
          <t>VÄSTRA GÖTALANDS LÄN</t>
        </is>
      </c>
      <c r="E796" t="inlineStr">
        <is>
          <t>BORÅS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17694-2024</t>
        </is>
      </c>
      <c r="B797" s="1" t="n">
        <v>45418</v>
      </c>
      <c r="C797" s="1" t="n">
        <v>45675</v>
      </c>
      <c r="D797" t="inlineStr">
        <is>
          <t>VÄSTRA GÖTALANDS LÄN</t>
        </is>
      </c>
      <c r="E797" t="inlineStr">
        <is>
          <t>BORÅS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18249-2024</t>
        </is>
      </c>
      <c r="B798" s="1" t="n">
        <v>45421</v>
      </c>
      <c r="C798" s="1" t="n">
        <v>45675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18248-2024</t>
        </is>
      </c>
      <c r="B799" s="1" t="n">
        <v>45421</v>
      </c>
      <c r="C799" s="1" t="n">
        <v>45675</v>
      </c>
      <c r="D799" t="inlineStr">
        <is>
          <t>VÄSTRA GÖTALANDS LÄN</t>
        </is>
      </c>
      <c r="E799" t="inlineStr">
        <is>
          <t>BORÅS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18407-2024</t>
        </is>
      </c>
      <c r="B800" s="1" t="n">
        <v>45425</v>
      </c>
      <c r="C800" s="1" t="n">
        <v>45675</v>
      </c>
      <c r="D800" t="inlineStr">
        <is>
          <t>VÄSTRA GÖTALANDS LÄN</t>
        </is>
      </c>
      <c r="E800" t="inlineStr">
        <is>
          <t>BORÅS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18486-2024</t>
        </is>
      </c>
      <c r="B801" s="1" t="n">
        <v>45425</v>
      </c>
      <c r="C801" s="1" t="n">
        <v>45675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19691-2024</t>
        </is>
      </c>
      <c r="B802" s="1" t="n">
        <v>45432</v>
      </c>
      <c r="C802" s="1" t="n">
        <v>45675</v>
      </c>
      <c r="D802" t="inlineStr">
        <is>
          <t>VÄSTRA GÖTALANDS LÄN</t>
        </is>
      </c>
      <c r="E802" t="inlineStr">
        <is>
          <t>BORÅS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19772-2024</t>
        </is>
      </c>
      <c r="B803" s="1" t="n">
        <v>45432</v>
      </c>
      <c r="C803" s="1" t="n">
        <v>45675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20791-2024</t>
        </is>
      </c>
      <c r="B804" s="1" t="n">
        <v>45438</v>
      </c>
      <c r="C804" s="1" t="n">
        <v>45675</v>
      </c>
      <c r="D804" t="inlineStr">
        <is>
          <t>VÄSTRA GÖTALANDS LÄN</t>
        </is>
      </c>
      <c r="E804" t="inlineStr">
        <is>
          <t>BORÅS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21180-2024</t>
        </is>
      </c>
      <c r="B805" s="1" t="n">
        <v>45440</v>
      </c>
      <c r="C805" s="1" t="n">
        <v>45675</v>
      </c>
      <c r="D805" t="inlineStr">
        <is>
          <t>VÄSTRA GÖTALANDS LÄN</t>
        </is>
      </c>
      <c r="E805" t="inlineStr">
        <is>
          <t>BORÅS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21161-2024</t>
        </is>
      </c>
      <c r="B806" s="1" t="n">
        <v>45440</v>
      </c>
      <c r="C806" s="1" t="n">
        <v>45675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22485-2024</t>
        </is>
      </c>
      <c r="B807" s="1" t="n">
        <v>45447</v>
      </c>
      <c r="C807" s="1" t="n">
        <v>45675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23334-2024</t>
        </is>
      </c>
      <c r="B808" s="1" t="n">
        <v>45453</v>
      </c>
      <c r="C808" s="1" t="n">
        <v>45675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23325-2024</t>
        </is>
      </c>
      <c r="B809" s="1" t="n">
        <v>45453</v>
      </c>
      <c r="C809" s="1" t="n">
        <v>45675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23286-2024</t>
        </is>
      </c>
      <c r="B810" s="1" t="n">
        <v>45453</v>
      </c>
      <c r="C810" s="1" t="n">
        <v>45675</v>
      </c>
      <c r="D810" t="inlineStr">
        <is>
          <t>VÄSTRA GÖTALANDS LÄN</t>
        </is>
      </c>
      <c r="E810" t="inlineStr">
        <is>
          <t>BORÅS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24183-2024</t>
        </is>
      </c>
      <c r="B811" s="1" t="n">
        <v>45456</v>
      </c>
      <c r="C811" s="1" t="n">
        <v>45675</v>
      </c>
      <c r="D811" t="inlineStr">
        <is>
          <t>VÄSTRA GÖTALANDS LÄN</t>
        </is>
      </c>
      <c r="E811" t="inlineStr">
        <is>
          <t>BORÅS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25318-2024</t>
        </is>
      </c>
      <c r="B812" s="1" t="n">
        <v>45462</v>
      </c>
      <c r="C812" s="1" t="n">
        <v>45675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25314-2024</t>
        </is>
      </c>
      <c r="B813" s="1" t="n">
        <v>45462</v>
      </c>
      <c r="C813" s="1" t="n">
        <v>45675</v>
      </c>
      <c r="D813" t="inlineStr">
        <is>
          <t>VÄSTRA GÖTALANDS LÄN</t>
        </is>
      </c>
      <c r="E813" t="inlineStr">
        <is>
          <t>BORÅS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25165-2024</t>
        </is>
      </c>
      <c r="B814" s="1" t="n">
        <v>45462</v>
      </c>
      <c r="C814" s="1" t="n">
        <v>45675</v>
      </c>
      <c r="D814" t="inlineStr">
        <is>
          <t>VÄSTRA GÖTALANDS LÄN</t>
        </is>
      </c>
      <c r="E814" t="inlineStr">
        <is>
          <t>BORÅS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25317-2024</t>
        </is>
      </c>
      <c r="B815" s="1" t="n">
        <v>45462</v>
      </c>
      <c r="C815" s="1" t="n">
        <v>45675</v>
      </c>
      <c r="D815" t="inlineStr">
        <is>
          <t>VÄSTRA GÖTALANDS LÄN</t>
        </is>
      </c>
      <c r="E815" t="inlineStr">
        <is>
          <t>BORÅS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25144-2024</t>
        </is>
      </c>
      <c r="B816" s="1" t="n">
        <v>45462</v>
      </c>
      <c r="C816" s="1" t="n">
        <v>45675</v>
      </c>
      <c r="D816" t="inlineStr">
        <is>
          <t>VÄSTRA GÖTALANDS LÄN</t>
        </is>
      </c>
      <c r="E816" t="inlineStr">
        <is>
          <t>BORÅS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25806-2024</t>
        </is>
      </c>
      <c r="B817" s="1" t="n">
        <v>45467</v>
      </c>
      <c r="C817" s="1" t="n">
        <v>45675</v>
      </c>
      <c r="D817" t="inlineStr">
        <is>
          <t>VÄSTRA GÖTALANDS LÄN</t>
        </is>
      </c>
      <c r="E817" t="inlineStr">
        <is>
          <t>BORÅS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27085-2024</t>
        </is>
      </c>
      <c r="B818" s="1" t="n">
        <v>45471</v>
      </c>
      <c r="C818" s="1" t="n">
        <v>45675</v>
      </c>
      <c r="D818" t="inlineStr">
        <is>
          <t>VÄSTRA GÖTALANDS LÄN</t>
        </is>
      </c>
      <c r="E818" t="inlineStr">
        <is>
          <t>BORÅS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27334-2024</t>
        </is>
      </c>
      <c r="B819" s="1" t="n">
        <v>45472</v>
      </c>
      <c r="C819" s="1" t="n">
        <v>45675</v>
      </c>
      <c r="D819" t="inlineStr">
        <is>
          <t>VÄSTRA GÖTALANDS LÄN</t>
        </is>
      </c>
      <c r="E819" t="inlineStr">
        <is>
          <t>BORÅS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27335-2024</t>
        </is>
      </c>
      <c r="B820" s="1" t="n">
        <v>45472</v>
      </c>
      <c r="C820" s="1" t="n">
        <v>45675</v>
      </c>
      <c r="D820" t="inlineStr">
        <is>
          <t>VÄSTRA GÖTALANDS LÄN</t>
        </is>
      </c>
      <c r="E820" t="inlineStr">
        <is>
          <t>BORÅS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27339-2024</t>
        </is>
      </c>
      <c r="B821" s="1" t="n">
        <v>45473</v>
      </c>
      <c r="C821" s="1" t="n">
        <v>45675</v>
      </c>
      <c r="D821" t="inlineStr">
        <is>
          <t>VÄSTRA GÖTALANDS LÄN</t>
        </is>
      </c>
      <c r="E821" t="inlineStr">
        <is>
          <t>BORÅS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27561-2024</t>
        </is>
      </c>
      <c r="B822" s="1" t="n">
        <v>45474</v>
      </c>
      <c r="C822" s="1" t="n">
        <v>45675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27752-2024</t>
        </is>
      </c>
      <c r="B823" s="1" t="n">
        <v>45475</v>
      </c>
      <c r="C823" s="1" t="n">
        <v>45675</v>
      </c>
      <c r="D823" t="inlineStr">
        <is>
          <t>VÄSTRA GÖTALANDS LÄN</t>
        </is>
      </c>
      <c r="E823" t="inlineStr">
        <is>
          <t>BORÅS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27753-2024</t>
        </is>
      </c>
      <c r="B824" s="1" t="n">
        <v>45475</v>
      </c>
      <c r="C824" s="1" t="n">
        <v>45675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28410-2024</t>
        </is>
      </c>
      <c r="B825" s="1" t="n">
        <v>45477</v>
      </c>
      <c r="C825" s="1" t="n">
        <v>45675</v>
      </c>
      <c r="D825" t="inlineStr">
        <is>
          <t>VÄSTRA GÖTALANDS LÄN</t>
        </is>
      </c>
      <c r="E825" t="inlineStr">
        <is>
          <t>BORÅS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28741-2024</t>
        </is>
      </c>
      <c r="B826" s="1" t="n">
        <v>45478</v>
      </c>
      <c r="C826" s="1" t="n">
        <v>45675</v>
      </c>
      <c r="D826" t="inlineStr">
        <is>
          <t>VÄSTRA GÖTALANDS LÄN</t>
        </is>
      </c>
      <c r="E826" t="inlineStr">
        <is>
          <t>BORÅS</t>
        </is>
      </c>
      <c r="F826" t="inlineStr">
        <is>
          <t>Kommuner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29187-2024</t>
        </is>
      </c>
      <c r="B827" s="1" t="n">
        <v>45482</v>
      </c>
      <c r="C827" s="1" t="n">
        <v>45675</v>
      </c>
      <c r="D827" t="inlineStr">
        <is>
          <t>VÄSTRA GÖTALANDS LÄN</t>
        </is>
      </c>
      <c r="E827" t="inlineStr">
        <is>
          <t>BORÅS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29318-2024</t>
        </is>
      </c>
      <c r="B828" s="1" t="n">
        <v>45483</v>
      </c>
      <c r="C828" s="1" t="n">
        <v>45675</v>
      </c>
      <c r="D828" t="inlineStr">
        <is>
          <t>VÄSTRA GÖTALANDS LÄN</t>
        </is>
      </c>
      <c r="E828" t="inlineStr">
        <is>
          <t>BORÅS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29317-2024</t>
        </is>
      </c>
      <c r="B829" s="1" t="n">
        <v>45483</v>
      </c>
      <c r="C829" s="1" t="n">
        <v>45675</v>
      </c>
      <c r="D829" t="inlineStr">
        <is>
          <t>VÄSTRA GÖTALANDS LÄN</t>
        </is>
      </c>
      <c r="E829" t="inlineStr">
        <is>
          <t>BORÅS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31378-2024</t>
        </is>
      </c>
      <c r="B830" s="1" t="n">
        <v>45505</v>
      </c>
      <c r="C830" s="1" t="n">
        <v>45675</v>
      </c>
      <c r="D830" t="inlineStr">
        <is>
          <t>VÄSTRA GÖTALANDS LÄN</t>
        </is>
      </c>
      <c r="E830" t="inlineStr">
        <is>
          <t>BORÅS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31943-2024</t>
        </is>
      </c>
      <c r="B831" s="1" t="n">
        <v>45510</v>
      </c>
      <c r="C831" s="1" t="n">
        <v>45675</v>
      </c>
      <c r="D831" t="inlineStr">
        <is>
          <t>VÄSTRA GÖTALANDS LÄN</t>
        </is>
      </c>
      <c r="E831" t="inlineStr">
        <is>
          <t>BORÅS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31980-2024</t>
        </is>
      </c>
      <c r="B832" s="1" t="n">
        <v>45510</v>
      </c>
      <c r="C832" s="1" t="n">
        <v>45675</v>
      </c>
      <c r="D832" t="inlineStr">
        <is>
          <t>VÄSTRA GÖTALANDS LÄN</t>
        </is>
      </c>
      <c r="E832" t="inlineStr">
        <is>
          <t>BORÅS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45675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45675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45675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45675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45675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45675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45675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45675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45675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45675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45675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45675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45675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45675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45675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45675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45675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45675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45675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45675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45675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45675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45675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45675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45675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45675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45675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45675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45675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45675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45675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45675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45675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45675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45675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45675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45675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45675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45675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45675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45675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45675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45675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45675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45675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45675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45675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45675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45675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45675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45675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45675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45675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45675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45675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45675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45675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45675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45675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45675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45675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45675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45675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45675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45675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45675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45675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45675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45675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45675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45675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45675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45675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45675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45675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45675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45675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45675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45675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45675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45675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45675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45675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45675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45675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45675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45675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45675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45675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45675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45675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45675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45675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45675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45675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45675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45675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45675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45675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45675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45675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45675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45675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45675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45675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45675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45675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45675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45675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45675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45675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59212-2024</t>
        </is>
      </c>
      <c r="B944" s="1" t="n">
        <v>45637</v>
      </c>
      <c r="C944" s="1" t="n">
        <v>45675</v>
      </c>
      <c r="D944" t="inlineStr">
        <is>
          <t>VÄSTRA GÖTALANDS LÄN</t>
        </is>
      </c>
      <c r="E944" t="inlineStr">
        <is>
          <t>BORÅS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59334-2024</t>
        </is>
      </c>
      <c r="B945" s="1" t="n">
        <v>45637</v>
      </c>
      <c r="C945" s="1" t="n">
        <v>45675</v>
      </c>
      <c r="D945" t="inlineStr">
        <is>
          <t>VÄSTRA GÖTALANDS LÄN</t>
        </is>
      </c>
      <c r="E945" t="inlineStr">
        <is>
          <t>BORÅS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45675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45675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45675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60862-2024</t>
        </is>
      </c>
      <c r="B949" s="1" t="n">
        <v>45644</v>
      </c>
      <c r="C949" s="1" t="n">
        <v>45675</v>
      </c>
      <c r="D949" t="inlineStr">
        <is>
          <t>VÄSTRA GÖTALANDS LÄN</t>
        </is>
      </c>
      <c r="E949" t="inlineStr">
        <is>
          <t>BORÅS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60803-2024</t>
        </is>
      </c>
      <c r="B950" s="1" t="n">
        <v>45644</v>
      </c>
      <c r="C950" s="1" t="n">
        <v>45675</v>
      </c>
      <c r="D950" t="inlineStr">
        <is>
          <t>VÄSTRA GÖTALANDS LÄN</t>
        </is>
      </c>
      <c r="E950" t="inlineStr">
        <is>
          <t>BORÅS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45675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45675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61453-2024</t>
        </is>
      </c>
      <c r="B953" s="1" t="n">
        <v>45646</v>
      </c>
      <c r="C953" s="1" t="n">
        <v>45675</v>
      </c>
      <c r="D953" t="inlineStr">
        <is>
          <t>VÄSTRA GÖTALANDS LÄN</t>
        </is>
      </c>
      <c r="E953" t="inlineStr">
        <is>
          <t>BORÅS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61448-2024</t>
        </is>
      </c>
      <c r="B954" s="1" t="n">
        <v>45646</v>
      </c>
      <c r="C954" s="1" t="n">
        <v>45675</v>
      </c>
      <c r="D954" t="inlineStr">
        <is>
          <t>VÄSTRA GÖTALANDS LÄN</t>
        </is>
      </c>
      <c r="E954" t="inlineStr">
        <is>
          <t>BORÅS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45675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244-2025</t>
        </is>
      </c>
      <c r="B956" s="1" t="n">
        <v>45660</v>
      </c>
      <c r="C956" s="1" t="n">
        <v>45675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934-2025</t>
        </is>
      </c>
      <c r="B957" s="1" t="n">
        <v>45666</v>
      </c>
      <c r="C957" s="1" t="n">
        <v>45675</v>
      </c>
      <c r="D957" t="inlineStr">
        <is>
          <t>VÄSTRA GÖTALANDS LÄN</t>
        </is>
      </c>
      <c r="E957" t="inlineStr">
        <is>
          <t>BORÅS</t>
        </is>
      </c>
      <c r="F957" t="inlineStr">
        <is>
          <t>Sveaskog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1055-2025</t>
        </is>
      </c>
      <c r="B958" s="1" t="n">
        <v>45666</v>
      </c>
      <c r="C958" s="1" t="n">
        <v>45675</v>
      </c>
      <c r="D958" t="inlineStr">
        <is>
          <t>VÄSTRA GÖTALANDS LÄN</t>
        </is>
      </c>
      <c r="E958" t="inlineStr">
        <is>
          <t>BORÅS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1231-2025</t>
        </is>
      </c>
      <c r="B959" s="1" t="n">
        <v>45667</v>
      </c>
      <c r="C959" s="1" t="n">
        <v>45675</v>
      </c>
      <c r="D959" t="inlineStr">
        <is>
          <t>VÄSTRA GÖTALANDS LÄN</t>
        </is>
      </c>
      <c r="E959" t="inlineStr">
        <is>
          <t>BORÅS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1510-2025</t>
        </is>
      </c>
      <c r="B960" s="1" t="n">
        <v>45670</v>
      </c>
      <c r="C960" s="1" t="n">
        <v>45675</v>
      </c>
      <c r="D960" t="inlineStr">
        <is>
          <t>VÄSTRA GÖTALANDS LÄN</t>
        </is>
      </c>
      <c r="E960" t="inlineStr">
        <is>
          <t>BORÅS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1514-2025</t>
        </is>
      </c>
      <c r="B961" s="1" t="n">
        <v>45670</v>
      </c>
      <c r="C961" s="1" t="n">
        <v>45675</v>
      </c>
      <c r="D961" t="inlineStr">
        <is>
          <t>VÄSTRA GÖTALANDS LÄN</t>
        </is>
      </c>
      <c r="E961" t="inlineStr">
        <is>
          <t>BORÅS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1777-2025</t>
        </is>
      </c>
      <c r="B962" s="1" t="n">
        <v>45670</v>
      </c>
      <c r="C962" s="1" t="n">
        <v>45675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Kommuner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1800-2025</t>
        </is>
      </c>
      <c r="B963" s="1" t="n">
        <v>45671</v>
      </c>
      <c r="C963" s="1" t="n">
        <v>45675</v>
      </c>
      <c r="D963" t="inlineStr">
        <is>
          <t>VÄSTRA GÖTALANDS LÄN</t>
        </is>
      </c>
      <c r="E963" t="inlineStr">
        <is>
          <t>BORÅS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1885-2025</t>
        </is>
      </c>
      <c r="B964" s="1" t="n">
        <v>45671</v>
      </c>
      <c r="C964" s="1" t="n">
        <v>45675</v>
      </c>
      <c r="D964" t="inlineStr">
        <is>
          <t>VÄSTRA GÖTALANDS LÄN</t>
        </is>
      </c>
      <c r="E964" t="inlineStr">
        <is>
          <t>BORÅS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1922-2025</t>
        </is>
      </c>
      <c r="B965" s="1" t="n">
        <v>45671</v>
      </c>
      <c r="C965" s="1" t="n">
        <v>45675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Kyrkan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1924-2025</t>
        </is>
      </c>
      <c r="B966" s="1" t="n">
        <v>45671</v>
      </c>
      <c r="C966" s="1" t="n">
        <v>45675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Kyrkan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2284-2025</t>
        </is>
      </c>
      <c r="B967" s="1" t="n">
        <v>45673</v>
      </c>
      <c r="C967" s="1" t="n">
        <v>45675</v>
      </c>
      <c r="D967" t="inlineStr">
        <is>
          <t>VÄSTRA GÖTALANDS LÄN</t>
        </is>
      </c>
      <c r="E967" t="inlineStr">
        <is>
          <t>BORÅS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2282-2025</t>
        </is>
      </c>
      <c r="B968" s="1" t="n">
        <v>45673</v>
      </c>
      <c r="C968" s="1" t="n">
        <v>45675</v>
      </c>
      <c r="D968" t="inlineStr">
        <is>
          <t>VÄSTRA GÖTALANDS LÄN</t>
        </is>
      </c>
      <c r="E968" t="inlineStr">
        <is>
          <t>BORÅS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2285-2025</t>
        </is>
      </c>
      <c r="B969" s="1" t="n">
        <v>45673</v>
      </c>
      <c r="C969" s="1" t="n">
        <v>45675</v>
      </c>
      <c r="D969" t="inlineStr">
        <is>
          <t>VÄSTRA GÖTALANDS LÄN</t>
        </is>
      </c>
      <c r="E969" t="inlineStr">
        <is>
          <t>BORÅS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2570-2025</t>
        </is>
      </c>
      <c r="B970" s="1" t="n">
        <v>45674</v>
      </c>
      <c r="C970" s="1" t="n">
        <v>45675</v>
      </c>
      <c r="D970" t="inlineStr">
        <is>
          <t>VÄSTRA GÖTALANDS LÄN</t>
        </is>
      </c>
      <c r="E970" t="inlineStr">
        <is>
          <t>BORÅS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2025-01-18T15:45:45Z</dcterms:created>
  <dcterms:modified xmlns:dcterms="http://purl.org/dc/terms/" xmlns:xsi="http://www.w3.org/2001/XMLSchema-instance" xsi:type="dcterms:W3CDTF">2025-01-18T15:45:46Z</dcterms:modified>
</cp:coreProperties>
</file>