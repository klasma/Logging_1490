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45350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45350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45350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45350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45350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45350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45350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45350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45350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45350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45350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3777-2024</t>
        </is>
      </c>
      <c r="B13" s="1" t="n">
        <v>45321</v>
      </c>
      <c r="C13" s="1" t="n">
        <v>45350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7.8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Granticka
Mandelriska</t>
        </is>
      </c>
      <c r="S13">
        <f>HYPERLINK("https://klasma.github.io/Logging_1490/artfynd/A 3777-2024 artfynd.xlsx", "A 3777-2024")</f>
        <v/>
      </c>
      <c r="T13">
        <f>HYPERLINK("https://klasma.github.io/Logging_1490/kartor/A 3777-2024 karta.png", "A 3777-2024")</f>
        <v/>
      </c>
      <c r="V13">
        <f>HYPERLINK("https://klasma.github.io/Logging_1490/klagomål/A 3777-2024 FSC-klagomål.docx", "A 3777-2024")</f>
        <v/>
      </c>
      <c r="W13">
        <f>HYPERLINK("https://klasma.github.io/Logging_1490/klagomålsmail/A 3777-2024 FSC-klagomål mail.docx", "A 3777-2024")</f>
        <v/>
      </c>
      <c r="X13">
        <f>HYPERLINK("https://klasma.github.io/Logging_1490/tillsyn/A 3777-2024 tillsynsbegäran.docx", "A 3777-2024")</f>
        <v/>
      </c>
      <c r="Y13">
        <f>HYPERLINK("https://klasma.github.io/Logging_1490/tillsynsmail/A 3777-2024 tillsynsbegäran mail.docx", "A 3777-2024")</f>
        <v/>
      </c>
    </row>
    <row r="14" ht="15" customHeight="1">
      <c r="A14" t="inlineStr">
        <is>
          <t>A 3706-2024</t>
        </is>
      </c>
      <c r="B14" s="1" t="n">
        <v>45321</v>
      </c>
      <c r="C14" s="1" t="n">
        <v>45350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8.699999999999999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HYPERLINK("https://klasma.github.io/Logging_1490/artfynd/A 3706-2024 artfynd.xlsx", "A 3706-2024")</f>
        <v/>
      </c>
      <c r="T14">
        <f>HYPERLINK("https://klasma.github.io/Logging_1490/kartor/A 3706-2024 karta.png", "A 3706-2024")</f>
        <v/>
      </c>
      <c r="V14">
        <f>HYPERLINK("https://klasma.github.io/Logging_1490/klagomål/A 3706-2024 FSC-klagomål.docx", "A 3706-2024")</f>
        <v/>
      </c>
      <c r="W14">
        <f>HYPERLINK("https://klasma.github.io/Logging_1490/klagomålsmail/A 3706-2024 FSC-klagomål mail.docx", "A 3706-2024")</f>
        <v/>
      </c>
      <c r="X14">
        <f>HYPERLINK("https://klasma.github.io/Logging_1490/tillsyn/A 3706-2024 tillsynsbegäran.docx", "A 3706-2024")</f>
        <v/>
      </c>
      <c r="Y14">
        <f>HYPERLINK("https://klasma.github.io/Logging_1490/tillsynsmail/A 3706-2024 tillsynsbegäran mail.docx", "A 3706-2024")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45350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45350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45350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45350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45350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45350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45350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45350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45350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45350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45350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45350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45350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45350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45350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45350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45350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45350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45350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45350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45350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45350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45350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45350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45350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45350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45350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45350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45350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45350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45350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45350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45350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45350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45350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45350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45350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45350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45350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45350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45350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45350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45350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45350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45350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45350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45350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45350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45350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45350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45350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45350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45350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45350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45350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45350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45350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45350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45350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45350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45350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45350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45350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45350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45350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45350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45350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45350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45350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45350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45350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45350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45350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45350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45350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45350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45350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45350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45350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45350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45350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45350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45350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45350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45350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45350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45350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45350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45350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45350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45350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45350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45350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45350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45350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45350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45350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45350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45350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45350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45350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45350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45350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45350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45350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45350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45350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45350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45350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45350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45350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45350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45350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45350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45350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45350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45350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45350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45350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45350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45350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45350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45350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45350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45350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45350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45350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45350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45350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45350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45350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45350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45350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45350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45350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45350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45350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45350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45350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45350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45350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45350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45350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45350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45350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45350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45350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45350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45350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45350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45350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45350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45350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45350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45350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45350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45350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45350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45350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45350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45350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45350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45350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45350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45350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45350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45350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45350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45350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45350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45350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45350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45350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45350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45350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45350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45350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45350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45350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45350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45350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45350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45350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45350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45350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45350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45350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45350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45350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45350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45350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45350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45350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45350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45350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45350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45350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45350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45350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45350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45350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45350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45350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45350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45350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45350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45350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45350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45350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45350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45350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45350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45350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45350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45350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45350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45350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45350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45350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45350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45350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45350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45350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45350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45350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45350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45350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45350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45350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45350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45350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45350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45350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45350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45350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45350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45350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45350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45350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45350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45350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45350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45350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45350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45350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45350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45350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45350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45350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45350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45350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45350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45350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45350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45350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45350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45350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45350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45350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45350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45350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45350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45350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45350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45350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45350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45350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45350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45350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45350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45350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45350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45350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45350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45350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45350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45350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45350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45350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45350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45350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45350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45350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45350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45350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45350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45350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45350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45350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45350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45350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45350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45350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45350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45350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45350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45350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45350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45350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45350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45350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45350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45350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45350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45350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45350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45350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45350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45350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45350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45350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45350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45350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45350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45350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45350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45350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45350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45350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45350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45350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45350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45350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45350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45350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45350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45350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45350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45350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45350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45350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45350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45350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45350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45350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45350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45350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45350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45350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45350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45350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45350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45350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45350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45350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45350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45350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45350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45350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45350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45350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45350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45350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45350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45350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45350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45350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45350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45350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45350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45350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45350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45350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45350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45350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45350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45350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45350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45350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45350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45350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45350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45350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45350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45350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45350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45350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45350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45350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45350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45350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45350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45350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45350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45350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45350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45350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45350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45350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45350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45350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45350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45350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45350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45350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45350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45350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45350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45350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45350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45350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45350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45350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45350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45350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45350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45350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45350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45350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45350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45350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45350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45350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45350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45350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45350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45350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45350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45350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45350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45350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45350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45350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45350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45350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45350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45350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45350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45350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45350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45350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45350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45350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45350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45350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45350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45350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45350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45350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45350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45350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45350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45350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45350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45350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45350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45350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45350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45350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45350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45350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45350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45350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45350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45350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45350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45350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45350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45350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45350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45350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45350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45350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45350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45350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45350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45350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45350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45350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45350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45350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45350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45350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45350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45350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45350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45350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45350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45350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45350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45350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45350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45350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45350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45350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45350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45350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45350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45350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45350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45350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45350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45350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45350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45350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45350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45350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45350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45350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45350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45350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45350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45350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45350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45350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45350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45350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45350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45350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45350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45350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45350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45350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45350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45350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45350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45350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45350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45350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45350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45350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45350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45350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45350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45350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45350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45350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45350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45350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45350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45350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45350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45350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45350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45350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45350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45350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45350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45350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45350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45350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45350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45350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45350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45350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45350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45350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45350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45350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45350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45350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45350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45350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45350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45350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45350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45350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45350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45350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45350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45350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45350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45350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45350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45350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45350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45350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45350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45350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45350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45350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45350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45350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45350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45350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45350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45350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45350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45350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45350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45350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45350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45350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45350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45350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45350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45350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45350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45350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45350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45350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45350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45350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45350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45350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45350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45350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45350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45350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45350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45350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45350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45350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45350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45350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45350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45350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45350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45350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45350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45350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45350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45350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45350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45350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45350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45350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45350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45350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45350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45350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45350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45350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45350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45350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45350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45350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45350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45350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45350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45350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45350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45350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45350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45350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45350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45350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45350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45350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45350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45350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45350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45350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45350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45350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45350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45350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45350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45350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45350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45350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45350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45350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45350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45350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45350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45350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45350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45350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45350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45350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45350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45350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45350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45350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45350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45350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45350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45350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45350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45350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45350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45350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45350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45350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45350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45350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45350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45350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45350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45350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45350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45350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45350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45350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45350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45350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45350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45350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45350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45350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45350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45350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45350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45350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45350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45350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45350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45350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45350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45350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45350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45350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45350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45350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45350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45350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45350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45350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45350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45350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45350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45350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45350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45350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45350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45350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45350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45350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45350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45350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45350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45350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45350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45350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45350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45350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45350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45350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45350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45350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45350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45350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45350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45350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45350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45350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45350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45350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45350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45350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45350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45350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45350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45350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45350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45350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45350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45350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45350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45350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45350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45350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45350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45350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45350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45350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45350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45350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45350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45350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45350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45350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45350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45350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45350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45350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45350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45350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45350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45350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45350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45350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45350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45350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45350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45350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45350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45350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45350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45350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45350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45350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45350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45350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45350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45350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45350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45350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45350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45350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45350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45350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45350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45350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45350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45350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45350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45350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45350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45350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45350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45350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45350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45350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45350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45350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45350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2876-2024</t>
        </is>
      </c>
      <c r="B823" s="1" t="n">
        <v>45315</v>
      </c>
      <c r="C823" s="1" t="n">
        <v>45350</v>
      </c>
      <c r="D823" t="inlineStr">
        <is>
          <t>VÄSTRA GÖTALANDS LÄN</t>
        </is>
      </c>
      <c r="E823" t="inlineStr">
        <is>
          <t>BORÅS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2875-2024</t>
        </is>
      </c>
      <c r="B824" s="1" t="n">
        <v>45315</v>
      </c>
      <c r="C824" s="1" t="n">
        <v>45350</v>
      </c>
      <c r="D824" t="inlineStr">
        <is>
          <t>VÄSTRA GÖTALANDS LÄN</t>
        </is>
      </c>
      <c r="E824" t="inlineStr">
        <is>
          <t>BORÅS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45350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45350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3095-2024</t>
        </is>
      </c>
      <c r="B827" s="1" t="n">
        <v>45316</v>
      </c>
      <c r="C827" s="1" t="n">
        <v>45350</v>
      </c>
      <c r="D827" t="inlineStr">
        <is>
          <t>VÄSTRA GÖTALANDS LÄN</t>
        </is>
      </c>
      <c r="E827" t="inlineStr">
        <is>
          <t>BORÅS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3103-2024</t>
        </is>
      </c>
      <c r="B828" s="1" t="n">
        <v>45316</v>
      </c>
      <c r="C828" s="1" t="n">
        <v>45350</v>
      </c>
      <c r="D828" t="inlineStr">
        <is>
          <t>VÄSTRA GÖTALANDS LÄN</t>
        </is>
      </c>
      <c r="E828" t="inlineStr">
        <is>
          <t>BORÅS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3190-2024</t>
        </is>
      </c>
      <c r="B829" s="1" t="n">
        <v>45316</v>
      </c>
      <c r="C829" s="1" t="n">
        <v>45350</v>
      </c>
      <c r="D829" t="inlineStr">
        <is>
          <t>VÄSTRA GÖTALANDS LÄN</t>
        </is>
      </c>
      <c r="E829" t="inlineStr">
        <is>
          <t>BORÅS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3703-2024</t>
        </is>
      </c>
      <c r="B830" s="1" t="n">
        <v>45321</v>
      </c>
      <c r="C830" s="1" t="n">
        <v>45350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3721-2024</t>
        </is>
      </c>
      <c r="B831" s="1" t="n">
        <v>45321</v>
      </c>
      <c r="C831" s="1" t="n">
        <v>45350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3733-2024</t>
        </is>
      </c>
      <c r="B832" s="1" t="n">
        <v>45321</v>
      </c>
      <c r="C832" s="1" t="n">
        <v>45350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3712-2024</t>
        </is>
      </c>
      <c r="B833" s="1" t="n">
        <v>45321</v>
      </c>
      <c r="C833" s="1" t="n">
        <v>45350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3766-2024</t>
        </is>
      </c>
      <c r="B834" s="1" t="n">
        <v>45321</v>
      </c>
      <c r="C834" s="1" t="n">
        <v>45350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3728-2024</t>
        </is>
      </c>
      <c r="B835" s="1" t="n">
        <v>45321</v>
      </c>
      <c r="C835" s="1" t="n">
        <v>45350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3784-2024</t>
        </is>
      </c>
      <c r="B836" s="1" t="n">
        <v>45321</v>
      </c>
      <c r="C836" s="1" t="n">
        <v>45350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3719-2024</t>
        </is>
      </c>
      <c r="B837" s="1" t="n">
        <v>45321</v>
      </c>
      <c r="C837" s="1" t="n">
        <v>45350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45350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45350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5037-2024</t>
        </is>
      </c>
      <c r="B840" s="1" t="n">
        <v>45329</v>
      </c>
      <c r="C840" s="1" t="n">
        <v>45350</v>
      </c>
      <c r="D840" t="inlineStr">
        <is>
          <t>VÄSTRA GÖTALANDS LÄN</t>
        </is>
      </c>
      <c r="E840" t="inlineStr">
        <is>
          <t>BORÅS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5039-2024</t>
        </is>
      </c>
      <c r="B841" s="1" t="n">
        <v>45329</v>
      </c>
      <c r="C841" s="1" t="n">
        <v>45350</v>
      </c>
      <c r="D841" t="inlineStr">
        <is>
          <t>VÄSTRA GÖTALANDS LÄN</t>
        </is>
      </c>
      <c r="E841" t="inlineStr">
        <is>
          <t>BORÅS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6203-2024</t>
        </is>
      </c>
      <c r="B842" s="1" t="n">
        <v>45337</v>
      </c>
      <c r="C842" s="1" t="n">
        <v>45350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6939-2024</t>
        </is>
      </c>
      <c r="B843" s="1" t="n">
        <v>45343</v>
      </c>
      <c r="C843" s="1" t="n">
        <v>45350</v>
      </c>
      <c r="D843" t="inlineStr">
        <is>
          <t>VÄSTRA GÖTALANDS LÄN</t>
        </is>
      </c>
      <c r="E843" t="inlineStr">
        <is>
          <t>BORÅS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6917-2024</t>
        </is>
      </c>
      <c r="B844" s="1" t="n">
        <v>45343</v>
      </c>
      <c r="C844" s="1" t="n">
        <v>45350</v>
      </c>
      <c r="D844" t="inlineStr">
        <is>
          <t>VÄSTRA GÖTALANDS LÄN</t>
        </is>
      </c>
      <c r="E844" t="inlineStr">
        <is>
          <t>BORÅS</t>
        </is>
      </c>
      <c r="F844" t="inlineStr">
        <is>
          <t>Sveaskog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7624-2024</t>
        </is>
      </c>
      <c r="B845" s="1" t="n">
        <v>45348</v>
      </c>
      <c r="C845" s="1" t="n">
        <v>45350</v>
      </c>
      <c r="D845" t="inlineStr">
        <is>
          <t>VÄSTRA GÖTALANDS LÄN</t>
        </is>
      </c>
      <c r="E845" t="inlineStr">
        <is>
          <t>BORÅS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7582-2024</t>
        </is>
      </c>
      <c r="B846" s="1" t="n">
        <v>45348</v>
      </c>
      <c r="C846" s="1" t="n">
        <v>45350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2024-02-28T12:31:11Z</dcterms:created>
  <dcterms:modified xmlns:dcterms="http://purl.org/dc/terms/" xmlns:xsi="http://www.w3.org/2001/XMLSchema-instance" xsi:type="dcterms:W3CDTF">2024-02-28T12:31:11Z</dcterms:modified>
</cp:coreProperties>
</file>