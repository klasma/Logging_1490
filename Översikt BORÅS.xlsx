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46248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46248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46248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46248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46248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46248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46248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46248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46248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46248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46248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46248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46248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46248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46248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46248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46248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46248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46248</v>
      </c>
      <c r="F21" t="inlineStr">
        <is>
          <t>VÄSTRA GÖTALANDS LÄN</t>
        </is>
      </c>
      <c r="G21" t="inlineStr">
        <is>
          <t>BORÅS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Ask
Grynig filtlav
Skinnlav</t>
        </is>
      </c>
      <c r="W21">
        <f>HYPERLINK("https://klasma.github.io/Logging_1490/artfynd/A 8097-2024 artfynd.xlsx", "A 8097-2024")</f>
        <v/>
      </c>
      <c r="X21">
        <f>HYPERLINK("https://klasma.github.io/Logging_1490/kartor/A 8097-2024 karta.png", "A 8097-2024")</f>
        <v/>
      </c>
      <c r="Y21">
        <f>HYPERLINK("https://klasma.github.io/Logging_1490/kartor_geotiff/A 8097-2024 georefererad karta.tif", "A 8097-2024")</f>
        <v/>
      </c>
      <c r="AA21">
        <f>HYPERLINK("https://klasma.github.io/Logging_1490/klagomål/A 8097-2024 FSC-klagomål.docx", "A 8097-2024")</f>
        <v/>
      </c>
      <c r="AB21">
        <f>HYPERLINK("https://klasma.github.io/Logging_1490/klagomålsmail/A 8097-2024 FSC-klagomål mail.docx", "A 8097-2024")</f>
        <v/>
      </c>
      <c r="AC21">
        <f>HYPERLINK("https://klasma.github.io/Logging_1490/tillsyn/A 8097-2024 tillsynsbegäran.docx", "A 8097-2024")</f>
        <v/>
      </c>
      <c r="AD21">
        <f>HYPERLINK("https://klasma.github.io/Logging_1490/tillsynsmail/A 8097-2024 tillsynsbegäran mail.docx", "A 8097-2024")</f>
        <v/>
      </c>
    </row>
    <row r="22" ht="15" customHeight="1">
      <c r="A22" t="inlineStr">
        <is>
          <t>A 63618-2023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46248</v>
      </c>
      <c r="F22" t="inlineStr">
        <is>
          <t>VÄSTRA GÖTALANDS LÄN</t>
        </is>
      </c>
      <c r="G22" t="inlineStr">
        <is>
          <t>BORÅS</t>
        </is>
      </c>
      <c r="I22" t="n">
        <v>5.3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Sädesärla
Svartvit flugsnappare</t>
        </is>
      </c>
      <c r="W22">
        <f>HYPERLINK("https://klasma.github.io/Logging_1490/artfynd/A 63618-2023 artfynd.xlsx", "A 63618-2023")</f>
        <v/>
      </c>
      <c r="X22">
        <f>HYPERLINK("https://klasma.github.io/Logging_1490/kartor/A 63618-2023 karta.png", "A 63618-2023")</f>
        <v/>
      </c>
      <c r="Y22">
        <f>HYPERLINK("https://klasma.github.io/Logging_1490/kartor_geotiff/A 63618-2023 georefererad karta.tif", "A 63618-2023")</f>
        <v/>
      </c>
      <c r="AA22">
        <f>HYPERLINK("https://klasma.github.io/Logging_1490/klagomål/A 63618-2023 FSC-klagomål.docx", "A 63618-2023")</f>
        <v/>
      </c>
      <c r="AB22">
        <f>HYPERLINK("https://klasma.github.io/Logging_1490/klagomålsmail/A 63618-2023 FSC-klagomål mail.docx", "A 63618-2023")</f>
        <v/>
      </c>
      <c r="AC22">
        <f>HYPERLINK("https://klasma.github.io/Logging_1490/tillsyn/A 63618-2023 tillsynsbegäran.docx", "A 63618-2023")</f>
        <v/>
      </c>
      <c r="AD22">
        <f>HYPERLINK("https://klasma.github.io/Logging_1490/tillsynsmail/A 63618-2023 tillsynsbegäran mail.docx", "A 63618-2023")</f>
        <v/>
      </c>
      <c r="AE22">
        <f>HYPERLINK("https://klasma.github.io/Logging_1490/fåglar/A 63618-2023 prioriterade fågelarter.docx", "A 63618-2023")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46248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50376-2025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46248</v>
      </c>
      <c r="F24" t="inlineStr">
        <is>
          <t>VÄSTRA GÖTALANDS LÄN</t>
        </is>
      </c>
      <c r="G24" t="inlineStr">
        <is>
          <t>BORÅS</t>
        </is>
      </c>
      <c r="I24" t="n">
        <v>10.6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Dropptaggsvamp
Spillkråka
Orre</t>
        </is>
      </c>
      <c r="W24">
        <f>HYPERLINK("https://klasma.github.io/Logging_1490/artfynd/A 50376-2025 artfynd.xlsx", "A 50376-2025")</f>
        <v/>
      </c>
      <c r="X24">
        <f>HYPERLINK("https://klasma.github.io/Logging_1490/kartor/A 50376-2025 karta.png", "A 50376-2025")</f>
        <v/>
      </c>
      <c r="Y24">
        <f>HYPERLINK("https://klasma.github.io/Logging_1490/kartor_geotiff/A 50376-2025 georefererad karta.tif", "A 50376-2025")</f>
        <v/>
      </c>
      <c r="AA24">
        <f>HYPERLINK("https://klasma.github.io/Logging_1490/klagomål/A 50376-2025 FSC-klagomål.docx", "A 50376-2025")</f>
        <v/>
      </c>
      <c r="AB24">
        <f>HYPERLINK("https://klasma.github.io/Logging_1490/klagomålsmail/A 50376-2025 FSC-klagomål mail.docx", "A 50376-2025")</f>
        <v/>
      </c>
      <c r="AC24">
        <f>HYPERLINK("https://klasma.github.io/Logging_1490/tillsyn/A 50376-2025 tillsynsbegäran.docx", "A 50376-2025")</f>
        <v/>
      </c>
      <c r="AD24">
        <f>HYPERLINK("https://klasma.github.io/Logging_1490/tillsynsmail/A 50376-2025 tillsynsbegäran mail.docx", "A 50376-2025")</f>
        <v/>
      </c>
      <c r="AE24">
        <f>HYPERLINK("https://klasma.github.io/Logging_1490/fåglar/A 50376-2025 prioriterade fågelarter.docx", "A 50376-2025")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46248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Brunfläckig pärlemorfjäril
Bårdlav
Fällmossa</t>
        </is>
      </c>
      <c r="W25">
        <f>HYPERLINK("https://klasma.github.io/Logging_1490/artfynd/A 58304-2025 artfynd.xlsx", "A 58304-2025")</f>
        <v/>
      </c>
      <c r="X25">
        <f>HYPERLINK("https://klasma.github.io/Logging_1490/kartor/A 58304-2025 karta.png", "A 58304-2025")</f>
        <v/>
      </c>
      <c r="Y25">
        <f>HYPERLINK("https://klasma.github.io/Logging_1490/kartor_geotiff/A 58304-2025 georefererad karta.tif", "A 58304-2025")</f>
        <v/>
      </c>
      <c r="AA25">
        <f>HYPERLINK("https://klasma.github.io/Logging_1490/klagomål/A 58304-2025 FSC-klagomål.docx", "A 58304-2025")</f>
        <v/>
      </c>
      <c r="AB25">
        <f>HYPERLINK("https://klasma.github.io/Logging_1490/klagomålsmail/A 58304-2025 FSC-klagomål mail.docx", "A 58304-2025")</f>
        <v/>
      </c>
      <c r="AC25">
        <f>HYPERLINK("https://klasma.github.io/Logging_1490/tillsyn/A 58304-2025 tillsynsbegäran.docx", "A 58304-2025")</f>
        <v/>
      </c>
      <c r="AD25">
        <f>HYPERLINK("https://klasma.github.io/Logging_1490/tillsynsmail/A 58304-2025 tillsynsbegäran mail.docx", "A 58304-2025")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46248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51423-2024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45604</v>
      </c>
      <c r="E27" s="1" t="n">
        <v>46248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11</v>
      </c>
      <c r="U27" t="n">
        <v>9</v>
      </c>
      <c r="V27" s="2" t="inlineStr">
        <is>
          <t>Knärot
Huggorm
Nattviol</t>
        </is>
      </c>
      <c r="W27">
        <f>HYPERLINK("https://klasma.github.io/Logging_1490/artfynd/A 51423-2024 artfynd.xlsx", "A 51423-2024")</f>
        <v/>
      </c>
      <c r="X27">
        <f>HYPERLINK("https://klasma.github.io/Logging_1490/kartor/A 51423-2024 karta.png", "A 51423-2024")</f>
        <v/>
      </c>
      <c r="Y27">
        <f>HYPERLINK("https://klasma.github.io/Logging_1490/kartor_geotiff/A 51423-2024 georefererad karta.tif", "A 51423-2024")</f>
        <v/>
      </c>
      <c r="Z27">
        <f>HYPERLINK("https://klasma.github.io/Logging_1490/knärot/A 51423-2024 karta knärot.png", "A 51423-2024")</f>
        <v/>
      </c>
      <c r="AA27">
        <f>HYPERLINK("https://klasma.github.io/Logging_1490/klagomål/A 51423-2024 FSC-klagomål.docx", "A 51423-2024")</f>
        <v/>
      </c>
      <c r="AB27">
        <f>HYPERLINK("https://klasma.github.io/Logging_1490/klagomålsmail/A 51423-2024 FSC-klagomål mail.docx", "A 51423-2024")</f>
        <v/>
      </c>
      <c r="AC27">
        <f>HYPERLINK("https://klasma.github.io/Logging_1490/tillsyn/A 51423-2024 tillsynsbegäran.docx", "A 51423-2024")</f>
        <v/>
      </c>
      <c r="AD27">
        <f>HYPERLINK("https://klasma.github.io/Logging_1490/tillsynsmail/A 51423-2024 tillsynsbegäran mail.docx", "A 51423-2024")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46248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46248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46248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64578-2023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46248</v>
      </c>
      <c r="F31" t="inlineStr">
        <is>
          <t>VÄSTRA GÖTALANDS LÄN</t>
        </is>
      </c>
      <c r="G31" t="inlineStr">
        <is>
          <t>BORÅS</t>
        </is>
      </c>
      <c r="I31" t="n">
        <v>3.9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Skuggmossa
Blåsippa</t>
        </is>
      </c>
      <c r="W31">
        <f>HYPERLINK("https://klasma.github.io/Logging_1490/artfynd/A 64578-2023 artfynd.xlsx", "A 64578-2023")</f>
        <v/>
      </c>
      <c r="X31">
        <f>HYPERLINK("https://klasma.github.io/Logging_1490/kartor/A 64578-2023 karta.png", "A 64578-2023")</f>
        <v/>
      </c>
      <c r="Y31">
        <f>HYPERLINK("https://klasma.github.io/Logging_1490/kartor_geotiff/A 64578-2023 georefererad karta.tif", "A 64578-2023")</f>
        <v/>
      </c>
      <c r="AA31">
        <f>HYPERLINK("https://klasma.github.io/Logging_1490/klagomål/A 64578-2023 FSC-klagomål.docx", "A 64578-2023")</f>
        <v/>
      </c>
      <c r="AB31">
        <f>HYPERLINK("https://klasma.github.io/Logging_1490/klagomålsmail/A 64578-2023 FSC-klagomål mail.docx", "A 64578-2023")</f>
        <v/>
      </c>
      <c r="AC31">
        <f>HYPERLINK("https://klasma.github.io/Logging_1490/tillsyn/A 64578-2023 tillsynsbegäran.docx", "A 64578-2023")</f>
        <v/>
      </c>
      <c r="AD31">
        <f>HYPERLINK("https://klasma.github.io/Logging_1490/tillsynsmail/A 64578-2023 tillsynsbegäran mail.docx", "A 64578-2023")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46248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46248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55712-2021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46248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1</v>
      </c>
      <c r="V34" s="2" t="inlineStr">
        <is>
          <t>Skogsalm
Knärot</t>
        </is>
      </c>
      <c r="W34">
        <f>HYPERLINK("https://klasma.github.io/Logging_1490/artfynd/A 55712-2021 artfynd.xlsx", "A 55712-2021")</f>
        <v/>
      </c>
      <c r="X34">
        <f>HYPERLINK("https://klasma.github.io/Logging_1490/kartor/A 55712-2021 karta.png", "A 55712-2021")</f>
        <v/>
      </c>
      <c r="Y34">
        <f>HYPERLINK("https://klasma.github.io/Logging_1490/kartor_geotiff/A 55712-2021 georefererad karta.tif", "A 55712-2021")</f>
        <v/>
      </c>
      <c r="Z34">
        <f>HYPERLINK("https://klasma.github.io/Logging_1490/knärot/A 55712-2021 karta knärot.png", "A 55712-2021")</f>
        <v/>
      </c>
      <c r="AA34">
        <f>HYPERLINK("https://klasma.github.io/Logging_1490/klagomål/A 55712-2021 FSC-klagomål.docx", "A 55712-2021")</f>
        <v/>
      </c>
      <c r="AB34">
        <f>HYPERLINK("https://klasma.github.io/Logging_1490/klagomålsmail/A 55712-2021 FSC-klagomål mail.docx", "A 55712-2021")</f>
        <v/>
      </c>
      <c r="AC34">
        <f>HYPERLINK("https://klasma.github.io/Logging_1490/tillsyn/A 55712-2021 tillsynsbegäran.docx", "A 55712-2021")</f>
        <v/>
      </c>
      <c r="AD34">
        <f>HYPERLINK("https://klasma.github.io/Logging_1490/tillsynsmail/A 55712-2021 tillsynsbegäran mail.docx", "A 55712-2021")</f>
        <v/>
      </c>
    </row>
    <row r="35" ht="15" customHeight="1">
      <c r="A35" t="inlineStr">
        <is>
          <t>A 29231-2022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46248</v>
      </c>
      <c r="F35" t="inlineStr">
        <is>
          <t>VÄSTRA GÖTALANDS LÄN</t>
        </is>
      </c>
      <c r="G35" t="inlineStr">
        <is>
          <t>BORÅS</t>
        </is>
      </c>
      <c r="H35" t="inlineStr">
        <is>
          <t>Kommuner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7</v>
      </c>
      <c r="U35" t="n">
        <v>0</v>
      </c>
      <c r="V35" s="2" t="inlineStr">
        <is>
          <t>Spillkråka
Revlummer</t>
        </is>
      </c>
      <c r="W35">
        <f>HYPERLINK("https://klasma.github.io/Logging_1490/artfynd/A 29231-2022 artfynd.xlsx", "A 29231-2022")</f>
        <v/>
      </c>
      <c r="X35">
        <f>HYPERLINK("https://klasma.github.io/Logging_1490/kartor/A 29231-2022 karta.png", "A 29231-2022")</f>
        <v/>
      </c>
      <c r="Y35">
        <f>HYPERLINK("https://klasma.github.io/Logging_1490/kartor_geotiff/A 29231-2022 georefererad karta.tif", "A 29231-2022")</f>
        <v/>
      </c>
      <c r="AA35">
        <f>HYPERLINK("https://klasma.github.io/Logging_1490/klagomål/A 29231-2022 FSC-klagomål.docx", "A 29231-2022")</f>
        <v/>
      </c>
      <c r="AB35">
        <f>HYPERLINK("https://klasma.github.io/Logging_1490/klagomålsmail/A 29231-2022 FSC-klagomål mail.docx", "A 29231-2022")</f>
        <v/>
      </c>
      <c r="AC35">
        <f>HYPERLINK("https://klasma.github.io/Logging_1490/tillsyn/A 29231-2022 tillsynsbegäran.docx", "A 29231-2022")</f>
        <v/>
      </c>
      <c r="AD35">
        <f>HYPERLINK("https://klasma.github.io/Logging_1490/tillsynsmail/A 29231-2022 tillsynsbegäran mail.docx", "A 29231-2022")</f>
        <v/>
      </c>
      <c r="AE35">
        <f>HYPERLINK("https://klasma.github.io/Logging_1490/fåglar/A 29231-2022 prioriterade fågelarter.docx", "A 29231-2022")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46248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46248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13913-2023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46248</v>
      </c>
      <c r="F38" t="inlineStr">
        <is>
          <t>VÄSTRA GÖTALANDS LÄN</t>
        </is>
      </c>
      <c r="G38" t="inlineStr">
        <is>
          <t>BORÅS</t>
        </is>
      </c>
      <c r="I38" t="n">
        <v>1.2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Gulnål
Vågbandad barkbock</t>
        </is>
      </c>
      <c r="W38">
        <f>HYPERLINK("https://klasma.github.io/Logging_1490/artfynd/A 13913-2023 artfynd.xlsx", "A 13913-2023")</f>
        <v/>
      </c>
      <c r="X38">
        <f>HYPERLINK("https://klasma.github.io/Logging_1490/kartor/A 13913-2023 karta.png", "A 13913-2023")</f>
        <v/>
      </c>
      <c r="Y38">
        <f>HYPERLINK("https://klasma.github.io/Logging_1490/kartor_geotiff/A 13913-2023 georefererad karta.tif", "A 13913-2023")</f>
        <v/>
      </c>
      <c r="AA38">
        <f>HYPERLINK("https://klasma.github.io/Logging_1490/klagomål/A 13913-2023 FSC-klagomål.docx", "A 13913-2023")</f>
        <v/>
      </c>
      <c r="AB38">
        <f>HYPERLINK("https://klasma.github.io/Logging_1490/klagomålsmail/A 13913-2023 FSC-klagomål mail.docx", "A 13913-2023")</f>
        <v/>
      </c>
      <c r="AC38">
        <f>HYPERLINK("https://klasma.github.io/Logging_1490/tillsyn/A 13913-2023 tillsynsbegäran.docx", "A 13913-2023")</f>
        <v/>
      </c>
      <c r="AD38">
        <f>HYPERLINK("https://klasma.github.io/Logging_1490/tillsynsmail/A 13913-2023 tillsynsbegäran mail.docx", "A 13913-2023")</f>
        <v/>
      </c>
    </row>
    <row r="39" ht="15" customHeight="1">
      <c r="A39" t="inlineStr">
        <is>
          <t>A 3469-2023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44949</v>
      </c>
      <c r="E39" s="1" t="n">
        <v>46248</v>
      </c>
      <c r="F39" t="inlineStr">
        <is>
          <t>VÄSTRA GÖTALANDS LÄN</t>
        </is>
      </c>
      <c r="G39" t="inlineStr">
        <is>
          <t>BORÅS</t>
        </is>
      </c>
      <c r="I39" t="n">
        <v>1.4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Fällmossa</t>
        </is>
      </c>
      <c r="W39">
        <f>HYPERLINK("https://klasma.github.io/Logging_1490/artfynd/A 3469-2023 artfynd.xlsx", "A 3469-2023")</f>
        <v/>
      </c>
      <c r="X39">
        <f>HYPERLINK("https://klasma.github.io/Logging_1490/kartor/A 3469-2023 karta.png", "A 3469-2023")</f>
        <v/>
      </c>
      <c r="Y39">
        <f>HYPERLINK("https://klasma.github.io/Logging_1490/kartor_geotiff/A 3469-2023 georefererad karta.tif", "A 3469-2023")</f>
        <v/>
      </c>
      <c r="AA39">
        <f>HYPERLINK("https://klasma.github.io/Logging_1490/klagomål/A 3469-2023 FSC-klagomål.docx", "A 3469-2023")</f>
        <v/>
      </c>
      <c r="AB39">
        <f>HYPERLINK("https://klasma.github.io/Logging_1490/klagomålsmail/A 3469-2023 FSC-klagomål mail.docx", "A 3469-2023")</f>
        <v/>
      </c>
      <c r="AC39">
        <f>HYPERLINK("https://klasma.github.io/Logging_1490/tillsyn/A 3469-2023 tillsynsbegäran.docx", "A 3469-2023")</f>
        <v/>
      </c>
      <c r="AD39">
        <f>HYPERLINK("https://klasma.github.io/Logging_1490/tillsynsmail/A 3469-2023 tillsynsbegäran mail.docx", "A 3469-2023")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46248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34341-2025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46248</v>
      </c>
      <c r="F41" t="inlineStr">
        <is>
          <t>VÄSTRA GÖTALANDS LÄN</t>
        </is>
      </c>
      <c r="G41" t="inlineStr">
        <is>
          <t>BORÅS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Svavelriska
Nattskärra</t>
        </is>
      </c>
      <c r="W41">
        <f>HYPERLINK("https://klasma.github.io/Logging_1490/artfynd/A 34341-2025 artfynd.xlsx", "A 34341-2025")</f>
        <v/>
      </c>
      <c r="X41">
        <f>HYPERLINK("https://klasma.github.io/Logging_1490/kartor/A 34341-2025 karta.png", "A 34341-2025")</f>
        <v/>
      </c>
      <c r="Y41">
        <f>HYPERLINK("https://klasma.github.io/Logging_1490/kartor_geotiff/A 34341-2025 georefererad karta.tif", "A 34341-2025")</f>
        <v/>
      </c>
      <c r="AA41">
        <f>HYPERLINK("https://klasma.github.io/Logging_1490/klagomål/A 34341-2025 FSC-klagomål.docx", "A 34341-2025")</f>
        <v/>
      </c>
      <c r="AB41">
        <f>HYPERLINK("https://klasma.github.io/Logging_1490/klagomålsmail/A 34341-2025 FSC-klagomål mail.docx", "A 34341-2025")</f>
        <v/>
      </c>
      <c r="AC41">
        <f>HYPERLINK("https://klasma.github.io/Logging_1490/tillsyn/A 34341-2025 tillsynsbegäran.docx", "A 34341-2025")</f>
        <v/>
      </c>
      <c r="AD41">
        <f>HYPERLINK("https://klasma.github.io/Logging_1490/tillsynsmail/A 34341-2025 tillsynsbegäran mail.docx", "A 34341-2025")</f>
        <v/>
      </c>
      <c r="AE41">
        <f>HYPERLINK("https://klasma.github.io/Logging_1490/fåglar/A 34341-2025 prioriterade fågelarter.docx", "A 34341-2025")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46248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36260-2025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46248</v>
      </c>
      <c r="F43" t="inlineStr">
        <is>
          <t>VÄSTRA GÖTALANDS LÄN</t>
        </is>
      </c>
      <c r="G43" t="inlineStr">
        <is>
          <t>BORÅS</t>
        </is>
      </c>
      <c r="I43" t="n">
        <v>0.8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Guldlockmossa</t>
        </is>
      </c>
      <c r="W43">
        <f>HYPERLINK("https://klasma.github.io/Logging_1490/artfynd/A 36260-2025 artfynd.xlsx", "A 36260-2025")</f>
        <v/>
      </c>
      <c r="X43">
        <f>HYPERLINK("https://klasma.github.io/Logging_1490/kartor/A 36260-2025 karta.png", "A 36260-2025")</f>
        <v/>
      </c>
      <c r="Y43">
        <f>HYPERLINK("https://klasma.github.io/Logging_1490/kartor_geotiff/A 36260-2025 georefererad karta.tif", "A 36260-2025")</f>
        <v/>
      </c>
      <c r="AA43">
        <f>HYPERLINK("https://klasma.github.io/Logging_1490/klagomål/A 36260-2025 FSC-klagomål.docx", "A 36260-2025")</f>
        <v/>
      </c>
      <c r="AB43">
        <f>HYPERLINK("https://klasma.github.io/Logging_1490/klagomålsmail/A 36260-2025 FSC-klagomål mail.docx", "A 36260-2025")</f>
        <v/>
      </c>
      <c r="AC43">
        <f>HYPERLINK("https://klasma.github.io/Logging_1490/tillsyn/A 36260-2025 tillsynsbegäran.docx", "A 36260-2025")</f>
        <v/>
      </c>
      <c r="AD43">
        <f>HYPERLINK("https://klasma.github.io/Logging_1490/tillsynsmail/A 36260-2025 tillsynsbegäran mail.docx", "A 36260-2025")</f>
        <v/>
      </c>
    </row>
    <row r="44" ht="15" customHeight="1">
      <c r="A44" t="inlineStr">
        <is>
          <t>A 57442-2024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46248</v>
      </c>
      <c r="F44" t="inlineStr">
        <is>
          <t>VÄSTRA GÖTALANDS LÄN</t>
        </is>
      </c>
      <c r="G44" t="inlineStr">
        <is>
          <t>BORÅS</t>
        </is>
      </c>
      <c r="I44" t="n">
        <v>1.7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10</v>
      </c>
      <c r="U44" t="n">
        <v>0</v>
      </c>
      <c r="V44" s="2" t="inlineStr">
        <is>
          <t>Spillkråka
Revlummer</t>
        </is>
      </c>
      <c r="W44">
        <f>HYPERLINK("https://klasma.github.io/Logging_1490/artfynd/A 57442-2024 artfynd.xlsx", "A 57442-2024")</f>
        <v/>
      </c>
      <c r="X44">
        <f>HYPERLINK("https://klasma.github.io/Logging_1490/kartor/A 57442-2024 karta.png", "A 57442-2024")</f>
        <v/>
      </c>
      <c r="Y44">
        <f>HYPERLINK("https://klasma.github.io/Logging_1490/kartor_geotiff/A 57442-2024 georefererad karta.tif", "A 57442-2024")</f>
        <v/>
      </c>
      <c r="AA44">
        <f>HYPERLINK("https://klasma.github.io/Logging_1490/klagomål/A 57442-2024 FSC-klagomål.docx", "A 57442-2024")</f>
        <v/>
      </c>
      <c r="AB44">
        <f>HYPERLINK("https://klasma.github.io/Logging_1490/klagomålsmail/A 57442-2024 FSC-klagomål mail.docx", "A 57442-2024")</f>
        <v/>
      </c>
      <c r="AC44">
        <f>HYPERLINK("https://klasma.github.io/Logging_1490/tillsyn/A 57442-2024 tillsynsbegäran.docx", "A 57442-2024")</f>
        <v/>
      </c>
      <c r="AD44">
        <f>HYPERLINK("https://klasma.github.io/Logging_1490/tillsynsmail/A 57442-2024 tillsynsbegäran mail.docx", "A 57442-2024")</f>
        <v/>
      </c>
      <c r="AE44">
        <f>HYPERLINK("https://klasma.github.io/Logging_1490/fåglar/A 57442-2024 prioriterade fågelarter.docx", "A 57442-2024")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46248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34610-2023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45140</v>
      </c>
      <c r="E46" s="1" t="n">
        <v>46248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34610-2023 artfynd.xlsx", "A 34610-2023")</f>
        <v/>
      </c>
      <c r="X46">
        <f>HYPERLINK("https://klasma.github.io/Logging_1490/kartor/A 34610-2023 karta.png", "A 34610-2023")</f>
        <v/>
      </c>
      <c r="Y46">
        <f>HYPERLINK("https://klasma.github.io/Logging_1490/kartor_geotiff/A 34610-2023 georefererad karta.tif", "A 34610-2023")</f>
        <v/>
      </c>
      <c r="AA46">
        <f>HYPERLINK("https://klasma.github.io/Logging_1490/klagomål/A 34610-2023 FSC-klagomål.docx", "A 34610-2023")</f>
        <v/>
      </c>
      <c r="AB46">
        <f>HYPERLINK("https://klasma.github.io/Logging_1490/klagomålsmail/A 34610-2023 FSC-klagomål mail.docx", "A 34610-2023")</f>
        <v/>
      </c>
      <c r="AC46">
        <f>HYPERLINK("https://klasma.github.io/Logging_1490/tillsyn/A 34610-2023 tillsynsbegäran.docx", "A 34610-2023")</f>
        <v/>
      </c>
      <c r="AD46">
        <f>HYPERLINK("https://klasma.github.io/Logging_1490/tillsynsmail/A 34610-2023 tillsynsbegäran mail.docx", "A 34610-2023")</f>
        <v/>
      </c>
      <c r="AE46">
        <f>HYPERLINK("https://klasma.github.io/Logging_1490/fåglar/A 34610-2023 prioriterade fågelarter.docx", "A 34610-2023")</f>
        <v/>
      </c>
    </row>
    <row r="47" ht="15" customHeight="1">
      <c r="A47" t="inlineStr">
        <is>
          <t>A 6659-2025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45700</v>
      </c>
      <c r="E47" s="1" t="n">
        <v>46248</v>
      </c>
      <c r="F47" t="inlineStr">
        <is>
          <t>VÄSTRA GÖTALANDS LÄN</t>
        </is>
      </c>
      <c r="G47" t="inlineStr">
        <is>
          <t>BORÅS</t>
        </is>
      </c>
      <c r="I47" t="n">
        <v>1.6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Järnsparv
Spillkråka</t>
        </is>
      </c>
      <c r="W47">
        <f>HYPERLINK("https://klasma.github.io/Logging_1490/artfynd/A 6659-2025 artfynd.xlsx", "A 6659-2025")</f>
        <v/>
      </c>
      <c r="X47">
        <f>HYPERLINK("https://klasma.github.io/Logging_1490/kartor/A 6659-2025 karta.png", "A 6659-2025")</f>
        <v/>
      </c>
      <c r="Y47">
        <f>HYPERLINK("https://klasma.github.io/Logging_1490/kartor_geotiff/A 6659-2025 georefererad karta.tif", "A 6659-2025")</f>
        <v/>
      </c>
      <c r="AA47">
        <f>HYPERLINK("https://klasma.github.io/Logging_1490/klagomål/A 6659-2025 FSC-klagomål.docx", "A 6659-2025")</f>
        <v/>
      </c>
      <c r="AB47">
        <f>HYPERLINK("https://klasma.github.io/Logging_1490/klagomålsmail/A 6659-2025 FSC-klagomål mail.docx", "A 6659-2025")</f>
        <v/>
      </c>
      <c r="AC47">
        <f>HYPERLINK("https://klasma.github.io/Logging_1490/tillsyn/A 6659-2025 tillsynsbegäran.docx", "A 6659-2025")</f>
        <v/>
      </c>
      <c r="AD47">
        <f>HYPERLINK("https://klasma.github.io/Logging_1490/tillsynsmail/A 6659-2025 tillsynsbegäran mail.docx", "A 6659-2025")</f>
        <v/>
      </c>
      <c r="AE47">
        <f>HYPERLINK("https://klasma.github.io/Logging_1490/fåglar/A 6659-2025 prioriterade fågelarter.docx", "A 6659-2025")</f>
        <v/>
      </c>
    </row>
    <row r="48" ht="15" customHeight="1">
      <c r="A48" t="inlineStr">
        <is>
          <t>A 12385-2024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45379</v>
      </c>
      <c r="E48" s="1" t="n">
        <v>46248</v>
      </c>
      <c r="F48" t="inlineStr">
        <is>
          <t>VÄSTRA GÖTALANDS LÄN</t>
        </is>
      </c>
      <c r="G48" t="inlineStr">
        <is>
          <t>BORÅS</t>
        </is>
      </c>
      <c r="H48" t="inlineStr">
        <is>
          <t>Sveaskog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Tofsmes</t>
        </is>
      </c>
      <c r="W48">
        <f>HYPERLINK("https://klasma.github.io/Logging_1490/artfynd/A 12385-2024 artfynd.xlsx", "A 12385-2024")</f>
        <v/>
      </c>
      <c r="X48">
        <f>HYPERLINK("https://klasma.github.io/Logging_1490/kartor/A 12385-2024 karta.png", "A 12385-2024")</f>
        <v/>
      </c>
      <c r="Y48">
        <f>HYPERLINK("https://klasma.github.io/Logging_1490/kartor_geotiff/A 12385-2024 georefererad karta.tif", "A 12385-2024")</f>
        <v/>
      </c>
      <c r="AA48">
        <f>HYPERLINK("https://klasma.github.io/Logging_1490/klagomål/A 12385-2024 FSC-klagomål.docx", "A 12385-2024")</f>
        <v/>
      </c>
      <c r="AB48">
        <f>HYPERLINK("https://klasma.github.io/Logging_1490/klagomålsmail/A 12385-2024 FSC-klagomål mail.docx", "A 12385-2024")</f>
        <v/>
      </c>
      <c r="AC48">
        <f>HYPERLINK("https://klasma.github.io/Logging_1490/tillsyn/A 12385-2024 tillsynsbegäran.docx", "A 12385-2024")</f>
        <v/>
      </c>
      <c r="AD48">
        <f>HYPERLINK("https://klasma.github.io/Logging_1490/tillsynsmail/A 12385-2024 tillsynsbegäran mail.docx", "A 12385-2024")</f>
        <v/>
      </c>
      <c r="AE48">
        <f>HYPERLINK("https://klasma.github.io/Logging_1490/fåglar/A 12385-2024 prioriterade fågelarter.docx", "A 12385-2024")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46248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46248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46248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46248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46248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19911-2023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46248</v>
      </c>
      <c r="F54" t="inlineStr">
        <is>
          <t>VÄSTRA GÖTALANDS LÄN</t>
        </is>
      </c>
      <c r="G54" t="inlineStr">
        <is>
          <t>BORÅS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padda</t>
        </is>
      </c>
      <c r="W54">
        <f>HYPERLINK("https://klasma.github.io/Logging_1490/artfynd/A 19911-2023 artfynd.xlsx", "A 19911-2023")</f>
        <v/>
      </c>
      <c r="X54">
        <f>HYPERLINK("https://klasma.github.io/Logging_1490/kartor/A 19911-2023 karta.png", "A 19911-2023")</f>
        <v/>
      </c>
      <c r="Y54">
        <f>HYPERLINK("https://klasma.github.io/Logging_1490/kartor_geotiff/A 19911-2023 georefererad karta.tif", "A 19911-2023")</f>
        <v/>
      </c>
      <c r="AA54">
        <f>HYPERLINK("https://klasma.github.io/Logging_1490/klagomål/A 19911-2023 FSC-klagomål.docx", "A 19911-2023")</f>
        <v/>
      </c>
      <c r="AB54">
        <f>HYPERLINK("https://klasma.github.io/Logging_1490/klagomålsmail/A 19911-2023 FSC-klagomål mail.docx", "A 19911-2023")</f>
        <v/>
      </c>
      <c r="AC54">
        <f>HYPERLINK("https://klasma.github.io/Logging_1490/tillsyn/A 19911-2023 tillsynsbegäran.docx", "A 19911-2023")</f>
        <v/>
      </c>
      <c r="AD54">
        <f>HYPERLINK("https://klasma.github.io/Logging_1490/tillsynsmail/A 19911-2023 tillsynsbegäran mail.docx", "A 19911-2023")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46248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46248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61684-2023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46248</v>
      </c>
      <c r="F57" t="inlineStr">
        <is>
          <t>VÄSTRA GÖTALANDS LÄN</t>
        </is>
      </c>
      <c r="G57" t="inlineStr">
        <is>
          <t>BORÅS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Fällmossa</t>
        </is>
      </c>
      <c r="W57">
        <f>HYPERLINK("https://klasma.github.io/Logging_1490/artfynd/A 61684-2023 artfynd.xlsx", "A 61684-2023")</f>
        <v/>
      </c>
      <c r="X57">
        <f>HYPERLINK("https://klasma.github.io/Logging_1490/kartor/A 61684-2023 karta.png", "A 61684-2023")</f>
        <v/>
      </c>
      <c r="Y57">
        <f>HYPERLINK("https://klasma.github.io/Logging_1490/kartor_geotiff/A 61684-2023 georefererad karta.tif", "A 61684-2023")</f>
        <v/>
      </c>
      <c r="AA57">
        <f>HYPERLINK("https://klasma.github.io/Logging_1490/klagomål/A 61684-2023 FSC-klagomål.docx", "A 61684-2023")</f>
        <v/>
      </c>
      <c r="AB57">
        <f>HYPERLINK("https://klasma.github.io/Logging_1490/klagomålsmail/A 61684-2023 FSC-klagomål mail.docx", "A 61684-2023")</f>
        <v/>
      </c>
      <c r="AC57">
        <f>HYPERLINK("https://klasma.github.io/Logging_1490/tillsyn/A 61684-2023 tillsynsbegäran.docx", "A 61684-2023")</f>
        <v/>
      </c>
      <c r="AD57">
        <f>HYPERLINK("https://klasma.github.io/Logging_1490/tillsynsmail/A 61684-2023 tillsynsbegäran mail.docx", "A 61684-2023")</f>
        <v/>
      </c>
    </row>
    <row r="58" ht="15" customHeight="1">
      <c r="A58" t="inlineStr">
        <is>
          <t>A 3719-2024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46248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Hasselmus</t>
        </is>
      </c>
      <c r="W58">
        <f>HYPERLINK("https://klasma.github.io/Logging_1490/artfynd/A 3719-2024 artfynd.xlsx", "A 3719-2024")</f>
        <v/>
      </c>
      <c r="X58">
        <f>HYPERLINK("https://klasma.github.io/Logging_1490/kartor/A 3719-2024 karta.png", "A 3719-2024")</f>
        <v/>
      </c>
      <c r="Y58">
        <f>HYPERLINK("https://klasma.github.io/Logging_1490/kartor_geotiff/A 3719-2024 georefererad karta.tif", "A 3719-2024")</f>
        <v/>
      </c>
      <c r="AA58">
        <f>HYPERLINK("https://klasma.github.io/Logging_1490/klagomål/A 3719-2024 FSC-klagomål.docx", "A 3719-2024")</f>
        <v/>
      </c>
      <c r="AB58">
        <f>HYPERLINK("https://klasma.github.io/Logging_1490/klagomålsmail/A 3719-2024 FSC-klagomål mail.docx", "A 3719-2024")</f>
        <v/>
      </c>
      <c r="AC58">
        <f>HYPERLINK("https://klasma.github.io/Logging_1490/tillsyn/A 3719-2024 tillsynsbegäran.docx", "A 3719-2024")</f>
        <v/>
      </c>
      <c r="AD58">
        <f>HYPERLINK("https://klasma.github.io/Logging_1490/tillsynsmail/A 3719-2024 tillsynsbegäran mail.docx", "A 3719-2024")</f>
        <v/>
      </c>
    </row>
    <row r="59" ht="15" customHeight="1">
      <c r="A59" t="inlineStr">
        <is>
          <t>A 53533-2022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46248</v>
      </c>
      <c r="F59" t="inlineStr">
        <is>
          <t>VÄSTRA GÖTALANDS LÄN</t>
        </is>
      </c>
      <c r="G59" t="inlineStr">
        <is>
          <t>BORÅS</t>
        </is>
      </c>
      <c r="I59" t="n">
        <v>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Kungsfågel</t>
        </is>
      </c>
      <c r="W59">
        <f>HYPERLINK("https://klasma.github.io/Logging_1490/artfynd/A 53533-2022 artfynd.xlsx", "A 53533-2022")</f>
        <v/>
      </c>
      <c r="X59">
        <f>HYPERLINK("https://klasma.github.io/Logging_1490/kartor/A 53533-2022 karta.png", "A 53533-2022")</f>
        <v/>
      </c>
      <c r="Y59">
        <f>HYPERLINK("https://klasma.github.io/Logging_1490/kartor_geotiff/A 53533-2022 georefererad karta.tif", "A 53533-2022")</f>
        <v/>
      </c>
      <c r="AA59">
        <f>HYPERLINK("https://klasma.github.io/Logging_1490/klagomål/A 53533-2022 FSC-klagomål.docx", "A 53533-2022")</f>
        <v/>
      </c>
      <c r="AB59">
        <f>HYPERLINK("https://klasma.github.io/Logging_1490/klagomålsmail/A 53533-2022 FSC-klagomål mail.docx", "A 53533-2022")</f>
        <v/>
      </c>
      <c r="AC59">
        <f>HYPERLINK("https://klasma.github.io/Logging_1490/tillsyn/A 53533-2022 tillsynsbegäran.docx", "A 53533-2022")</f>
        <v/>
      </c>
      <c r="AD59">
        <f>HYPERLINK("https://klasma.github.io/Logging_1490/tillsynsmail/A 53533-2022 tillsynsbegäran mail.docx", "A 53533-2022")</f>
        <v/>
      </c>
    </row>
    <row r="60" ht="15" customHeight="1">
      <c r="A60" t="inlineStr">
        <is>
          <t>A 4933-2023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44958</v>
      </c>
      <c r="E60" s="1" t="n">
        <v>46248</v>
      </c>
      <c r="F60" t="inlineStr">
        <is>
          <t>VÄSTRA GÖTALANDS LÄN</t>
        </is>
      </c>
      <c r="G60" t="inlineStr">
        <is>
          <t>BORÅS</t>
        </is>
      </c>
      <c r="I60" t="n">
        <v>3.4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Vanlig groda</t>
        </is>
      </c>
      <c r="W60">
        <f>HYPERLINK("https://klasma.github.io/Logging_1490/artfynd/A 4933-2023 artfynd.xlsx", "A 4933-2023")</f>
        <v/>
      </c>
      <c r="X60">
        <f>HYPERLINK("https://klasma.github.io/Logging_1490/kartor/A 4933-2023 karta.png", "A 4933-2023")</f>
        <v/>
      </c>
      <c r="Y60">
        <f>HYPERLINK("https://klasma.github.io/Logging_1490/kartor_geotiff/A 4933-2023 georefererad karta.tif", "A 4933-2023")</f>
        <v/>
      </c>
      <c r="AA60">
        <f>HYPERLINK("https://klasma.github.io/Logging_1490/klagomål/A 4933-2023 FSC-klagomål.docx", "A 4933-2023")</f>
        <v/>
      </c>
      <c r="AB60">
        <f>HYPERLINK("https://klasma.github.io/Logging_1490/klagomålsmail/A 4933-2023 FSC-klagomål mail.docx", "A 4933-2023")</f>
        <v/>
      </c>
      <c r="AC60">
        <f>HYPERLINK("https://klasma.github.io/Logging_1490/tillsyn/A 4933-2023 tillsynsbegäran.docx", "A 4933-2023")</f>
        <v/>
      </c>
      <c r="AD60">
        <f>HYPERLINK("https://klasma.github.io/Logging_1490/tillsynsmail/A 4933-2023 tillsynsbegäran mail.docx", "A 4933-2023")</f>
        <v/>
      </c>
    </row>
    <row r="61" ht="15" customHeight="1">
      <c r="A61" t="inlineStr">
        <is>
          <t>A 33140-2023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45126</v>
      </c>
      <c r="E61" s="1" t="n">
        <v>46248</v>
      </c>
      <c r="F61" t="inlineStr">
        <is>
          <t>VÄSTRA GÖTALANDS LÄN</t>
        </is>
      </c>
      <c r="G61" t="inlineStr">
        <is>
          <t>BORÅS</t>
        </is>
      </c>
      <c r="I61" t="n">
        <v>5.1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HYPERLINK("https://klasma.github.io/Logging_1490/artfynd/A 33140-2023 artfynd.xlsx", "A 33140-2023")</f>
        <v/>
      </c>
      <c r="X61">
        <f>HYPERLINK("https://klasma.github.io/Logging_1490/kartor/A 33140-2023 karta.png", "A 33140-2023")</f>
        <v/>
      </c>
      <c r="Y61">
        <f>HYPERLINK("https://klasma.github.io/Logging_1490/kartor_geotiff/A 33140-2023 georefererad karta.tif", "A 33140-2023")</f>
        <v/>
      </c>
      <c r="AA61">
        <f>HYPERLINK("https://klasma.github.io/Logging_1490/klagomål/A 33140-2023 FSC-klagomål.docx", "A 33140-2023")</f>
        <v/>
      </c>
      <c r="AB61">
        <f>HYPERLINK("https://klasma.github.io/Logging_1490/klagomålsmail/A 33140-2023 FSC-klagomål mail.docx", "A 33140-2023")</f>
        <v/>
      </c>
      <c r="AC61">
        <f>HYPERLINK("https://klasma.github.io/Logging_1490/tillsyn/A 33140-2023 tillsynsbegäran.docx", "A 33140-2023")</f>
        <v/>
      </c>
      <c r="AD61">
        <f>HYPERLINK("https://klasma.github.io/Logging_1490/tillsynsmail/A 33140-2023 tillsynsbegäran mail.docx", "A 33140-2023")</f>
        <v/>
      </c>
    </row>
    <row r="62" ht="15" customHeight="1">
      <c r="A62" t="inlineStr">
        <is>
          <t>A 27342-2022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46248</v>
      </c>
      <c r="F62" t="inlineStr">
        <is>
          <t>VÄSTRA GÖTALANDS LÄN</t>
        </is>
      </c>
      <c r="G62" t="inlineStr">
        <is>
          <t>BORÅS</t>
        </is>
      </c>
      <c r="I62" t="n">
        <v>2.3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Järnsparv</t>
        </is>
      </c>
      <c r="W62">
        <f>HYPERLINK("https://klasma.github.io/Logging_1490/artfynd/A 27342-2022 artfynd.xlsx", "A 27342-2022")</f>
        <v/>
      </c>
      <c r="X62">
        <f>HYPERLINK("https://klasma.github.io/Logging_1490/kartor/A 27342-2022 karta.png", "A 27342-2022")</f>
        <v/>
      </c>
      <c r="Y62">
        <f>HYPERLINK("https://klasma.github.io/Logging_1490/kartor_geotiff/A 27342-2022 georefererad karta.tif", "A 27342-2022")</f>
        <v/>
      </c>
      <c r="AA62">
        <f>HYPERLINK("https://klasma.github.io/Logging_1490/klagomål/A 27342-2022 FSC-klagomål.docx", "A 27342-2022")</f>
        <v/>
      </c>
      <c r="AB62">
        <f>HYPERLINK("https://klasma.github.io/Logging_1490/klagomålsmail/A 27342-2022 FSC-klagomål mail.docx", "A 27342-2022")</f>
        <v/>
      </c>
      <c r="AC62">
        <f>HYPERLINK("https://klasma.github.io/Logging_1490/tillsyn/A 27342-2022 tillsynsbegäran.docx", "A 27342-2022")</f>
        <v/>
      </c>
      <c r="AD62">
        <f>HYPERLINK("https://klasma.github.io/Logging_1490/tillsynsmail/A 27342-2022 tillsynsbegäran mail.docx", "A 27342-2022")</f>
        <v/>
      </c>
      <c r="AE62">
        <f>HYPERLINK("https://klasma.github.io/Logging_1490/fåglar/A 27342-2022 prioriterade fågelarter.docx", "A 27342-2022")</f>
        <v/>
      </c>
    </row>
    <row r="63" ht="15" customHeight="1">
      <c r="A63" t="inlineStr">
        <is>
          <t>A 3772-2024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46248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4.1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Vågbandad barkbock</t>
        </is>
      </c>
      <c r="W63">
        <f>HYPERLINK("https://klasma.github.io/Logging_1490/artfynd/A 3772-2024 artfynd.xlsx", "A 3772-2024")</f>
        <v/>
      </c>
      <c r="X63">
        <f>HYPERLINK("https://klasma.github.io/Logging_1490/kartor/A 3772-2024 karta.png", "A 3772-2024")</f>
        <v/>
      </c>
      <c r="Y63">
        <f>HYPERLINK("https://klasma.github.io/Logging_1490/kartor_geotiff/A 3772-2024 georefererad karta.tif", "A 3772-2024")</f>
        <v/>
      </c>
      <c r="AA63">
        <f>HYPERLINK("https://klasma.github.io/Logging_1490/klagomål/A 3772-2024 FSC-klagomål.docx", "A 3772-2024")</f>
        <v/>
      </c>
      <c r="AB63">
        <f>HYPERLINK("https://klasma.github.io/Logging_1490/klagomålsmail/A 3772-2024 FSC-klagomål mail.docx", "A 3772-2024")</f>
        <v/>
      </c>
      <c r="AC63">
        <f>HYPERLINK("https://klasma.github.io/Logging_1490/tillsyn/A 3772-2024 tillsynsbegäran.docx", "A 3772-2024")</f>
        <v/>
      </c>
      <c r="AD63">
        <f>HYPERLINK("https://klasma.github.io/Logging_1490/tillsynsmail/A 3772-2024 tillsynsbegäran mail.docx", "A 3772-2024")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46248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46248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60816-2023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46248</v>
      </c>
      <c r="F66" t="inlineStr">
        <is>
          <t>VÄSTRA GÖTALANDS LÄN</t>
        </is>
      </c>
      <c r="G66" t="inlineStr">
        <is>
          <t>BORÅS</t>
        </is>
      </c>
      <c r="I66" t="n">
        <v>3.8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Springkorn</t>
        </is>
      </c>
      <c r="W66">
        <f>HYPERLINK("https://klasma.github.io/Logging_1490/artfynd/A 60816-2023 artfynd.xlsx", "A 60816-2023")</f>
        <v/>
      </c>
      <c r="X66">
        <f>HYPERLINK("https://klasma.github.io/Logging_1490/kartor/A 60816-2023 karta.png", "A 60816-2023")</f>
        <v/>
      </c>
      <c r="Y66">
        <f>HYPERLINK("https://klasma.github.io/Logging_1490/kartor_geotiff/A 60816-2023 georefererad karta.tif", "A 60816-2023")</f>
        <v/>
      </c>
      <c r="AA66">
        <f>HYPERLINK("https://klasma.github.io/Logging_1490/klagomål/A 60816-2023 FSC-klagomål.docx", "A 60816-2023")</f>
        <v/>
      </c>
      <c r="AB66">
        <f>HYPERLINK("https://klasma.github.io/Logging_1490/klagomålsmail/A 60816-2023 FSC-klagomål mail.docx", "A 60816-2023")</f>
        <v/>
      </c>
      <c r="AC66">
        <f>HYPERLINK("https://klasma.github.io/Logging_1490/tillsyn/A 60816-2023 tillsynsbegäran.docx", "A 60816-2023")</f>
        <v/>
      </c>
      <c r="AD66">
        <f>HYPERLINK("https://klasma.github.io/Logging_1490/tillsynsmail/A 60816-2023 tillsynsbegäran mail.docx", "A 60816-2023")</f>
        <v/>
      </c>
    </row>
    <row r="67" ht="15" customHeight="1">
      <c r="A67" t="inlineStr">
        <is>
          <t>A 62162-2023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45267</v>
      </c>
      <c r="E67" s="1" t="n">
        <v>46248</v>
      </c>
      <c r="F67" t="inlineStr">
        <is>
          <t>VÄSTRA GÖTALANDS LÄN</t>
        </is>
      </c>
      <c r="G67" t="inlineStr">
        <is>
          <t>BORÅS</t>
        </is>
      </c>
      <c r="I67" t="n">
        <v>2.2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HYPERLINK("https://klasma.github.io/Logging_1490/artfynd/A 62162-2023 artfynd.xlsx", "A 62162-2023")</f>
        <v/>
      </c>
      <c r="X67">
        <f>HYPERLINK("https://klasma.github.io/Logging_1490/kartor/A 62162-2023 karta.png", "A 62162-2023")</f>
        <v/>
      </c>
      <c r="Y67">
        <f>HYPERLINK("https://klasma.github.io/Logging_1490/kartor_geotiff/A 62162-2023 georefererad karta.tif", "A 62162-2023")</f>
        <v/>
      </c>
      <c r="AA67">
        <f>HYPERLINK("https://klasma.github.io/Logging_1490/klagomål/A 62162-2023 FSC-klagomål.docx", "A 62162-2023")</f>
        <v/>
      </c>
      <c r="AB67">
        <f>HYPERLINK("https://klasma.github.io/Logging_1490/klagomålsmail/A 62162-2023 FSC-klagomål mail.docx", "A 62162-2023")</f>
        <v/>
      </c>
      <c r="AC67">
        <f>HYPERLINK("https://klasma.github.io/Logging_1490/tillsyn/A 62162-2023 tillsynsbegäran.docx", "A 62162-2023")</f>
        <v/>
      </c>
      <c r="AD67">
        <f>HYPERLINK("https://klasma.github.io/Logging_1490/tillsynsmail/A 62162-2023 tillsynsbegäran mail.docx", "A 62162-2023")</f>
        <v/>
      </c>
      <c r="AE67">
        <f>HYPERLINK("https://klasma.github.io/Logging_1490/fåglar/A 62162-2023 prioriterade fågelarter.docx", "A 62162-2023")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46248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Kråka</t>
        </is>
      </c>
      <c r="W68">
        <f>HYPERLINK("https://klasma.github.io/Logging_1490/artfynd/A 3760-2024 artfynd.xlsx", "A 3760-2024")</f>
        <v/>
      </c>
      <c r="X68">
        <f>HYPERLINK("https://klasma.github.io/Logging_1490/kartor/A 3760-2024 karta.png", "A 3760-2024")</f>
        <v/>
      </c>
      <c r="Y68">
        <f>HYPERLINK("https://klasma.github.io/Logging_1490/kartor_geotiff/A 3760-2024 georefererad karta.tif", "A 3760-2024")</f>
        <v/>
      </c>
      <c r="AA68">
        <f>HYPERLINK("https://klasma.github.io/Logging_1490/klagomål/A 3760-2024 FSC-klagomål.docx", "A 3760-2024")</f>
        <v/>
      </c>
      <c r="AB68">
        <f>HYPERLINK("https://klasma.github.io/Logging_1490/klagomålsmail/A 3760-2024 FSC-klagomål mail.docx", "A 3760-2024")</f>
        <v/>
      </c>
      <c r="AC68">
        <f>HYPERLINK("https://klasma.github.io/Logging_1490/tillsyn/A 3760-2024 tillsynsbegäran.docx", "A 3760-2024")</f>
        <v/>
      </c>
      <c r="AD68">
        <f>HYPERLINK("https://klasma.github.io/Logging_1490/tillsynsmail/A 3760-2024 tillsynsbegäran mail.docx", "A 3760-2024")</f>
        <v/>
      </c>
    </row>
    <row r="69" ht="15" customHeight="1">
      <c r="A69" t="inlineStr">
        <is>
          <t>A 29911-2025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46248</v>
      </c>
      <c r="F69" t="inlineStr">
        <is>
          <t>VÄSTRA GÖTALANDS LÄN</t>
        </is>
      </c>
      <c r="G69" t="inlineStr">
        <is>
          <t>BORÅS</t>
        </is>
      </c>
      <c r="I69" t="n">
        <v>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Lönnlav</t>
        </is>
      </c>
      <c r="W69">
        <f>HYPERLINK("https://klasma.github.io/Logging_1490/artfynd/A 29911-2025 artfynd.xlsx", "A 29911-2025")</f>
        <v/>
      </c>
      <c r="X69">
        <f>HYPERLINK("https://klasma.github.io/Logging_1490/kartor/A 29911-2025 karta.png", "A 29911-2025")</f>
        <v/>
      </c>
      <c r="Y69">
        <f>HYPERLINK("https://klasma.github.io/Logging_1490/kartor_geotiff/A 29911-2025 georefererad karta.tif", "A 29911-2025")</f>
        <v/>
      </c>
      <c r="AA69">
        <f>HYPERLINK("https://klasma.github.io/Logging_1490/klagomål/A 29911-2025 FSC-klagomål.docx", "A 29911-2025")</f>
        <v/>
      </c>
      <c r="AB69">
        <f>HYPERLINK("https://klasma.github.io/Logging_1490/klagomålsmail/A 29911-2025 FSC-klagomål mail.docx", "A 29911-2025")</f>
        <v/>
      </c>
      <c r="AC69">
        <f>HYPERLINK("https://klasma.github.io/Logging_1490/tillsyn/A 29911-2025 tillsynsbegäran.docx", "A 29911-2025")</f>
        <v/>
      </c>
      <c r="AD69">
        <f>HYPERLINK("https://klasma.github.io/Logging_1490/tillsynsmail/A 29911-2025 tillsynsbegäran mail.docx", "A 29911-2025")</f>
        <v/>
      </c>
    </row>
    <row r="70" ht="15" customHeight="1">
      <c r="A70" t="inlineStr">
        <is>
          <t>A 4358-2025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46248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Sveaskog</t>
        </is>
      </c>
      <c r="I70" t="n">
        <v>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HYPERLINK("https://klasma.github.io/Logging_1490/artfynd/A 4358-2025 artfynd.xlsx", "A 4358-2025")</f>
        <v/>
      </c>
      <c r="X70">
        <f>HYPERLINK("https://klasma.github.io/Logging_1490/kartor/A 4358-2025 karta.png", "A 4358-2025")</f>
        <v/>
      </c>
      <c r="Y70">
        <f>HYPERLINK("https://klasma.github.io/Logging_1490/kartor_geotiff/A 4358-2025 georefererad karta.tif", "A 4358-2025")</f>
        <v/>
      </c>
      <c r="AA70">
        <f>HYPERLINK("https://klasma.github.io/Logging_1490/klagomål/A 4358-2025 FSC-klagomål.docx", "A 4358-2025")</f>
        <v/>
      </c>
      <c r="AB70">
        <f>HYPERLINK("https://klasma.github.io/Logging_1490/klagomålsmail/A 4358-2025 FSC-klagomål mail.docx", "A 4358-2025")</f>
        <v/>
      </c>
      <c r="AC70">
        <f>HYPERLINK("https://klasma.github.io/Logging_1490/tillsyn/A 4358-2025 tillsynsbegäran.docx", "A 4358-2025")</f>
        <v/>
      </c>
      <c r="AD70">
        <f>HYPERLINK("https://klasma.github.io/Logging_1490/tillsynsmail/A 4358-2025 tillsynsbegäran mail.docx", "A 4358-2025")</f>
        <v/>
      </c>
      <c r="AE70">
        <f>HYPERLINK("https://klasma.github.io/Logging_1490/fåglar/A 4358-2025 prioriterade fågelarter.docx", "A 4358-2025")</f>
        <v/>
      </c>
    </row>
    <row r="71" ht="15" customHeight="1">
      <c r="A71" t="inlineStr">
        <is>
          <t>A 33724-2025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46248</v>
      </c>
      <c r="F71" t="inlineStr">
        <is>
          <t>VÄSTRA GÖTALANDS LÄN</t>
        </is>
      </c>
      <c r="G71" t="inlineStr">
        <is>
          <t>BORÅS</t>
        </is>
      </c>
      <c r="I71" t="n">
        <v>0.7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HYPERLINK("https://klasma.github.io/Logging_1490/artfynd/A 33724-2025 artfynd.xlsx", "A 33724-2025")</f>
        <v/>
      </c>
      <c r="X71">
        <f>HYPERLINK("https://klasma.github.io/Logging_1490/kartor/A 33724-2025 karta.png", "A 33724-2025")</f>
        <v/>
      </c>
      <c r="Y71">
        <f>HYPERLINK("https://klasma.github.io/Logging_1490/kartor_geotiff/A 33724-2025 georefererad karta.tif", "A 33724-2025")</f>
        <v/>
      </c>
      <c r="AA71">
        <f>HYPERLINK("https://klasma.github.io/Logging_1490/klagomål/A 33724-2025 FSC-klagomål.docx", "A 33724-2025")</f>
        <v/>
      </c>
      <c r="AB71">
        <f>HYPERLINK("https://klasma.github.io/Logging_1490/klagomålsmail/A 33724-2025 FSC-klagomål mail.docx", "A 33724-2025")</f>
        <v/>
      </c>
      <c r="AC71">
        <f>HYPERLINK("https://klasma.github.io/Logging_1490/tillsyn/A 33724-2025 tillsynsbegäran.docx", "A 33724-2025")</f>
        <v/>
      </c>
      <c r="AD71">
        <f>HYPERLINK("https://klasma.github.io/Logging_1490/tillsynsmail/A 33724-2025 tillsynsbegäran mail.docx", "A 33724-2025")</f>
        <v/>
      </c>
    </row>
    <row r="72" ht="15" customHeight="1">
      <c r="A72" t="inlineStr">
        <is>
          <t>A 23756-2025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45793</v>
      </c>
      <c r="E72" s="1" t="n">
        <v>46248</v>
      </c>
      <c r="F72" t="inlineStr">
        <is>
          <t>VÄSTRA GÖTALANDS LÄN</t>
        </is>
      </c>
      <c r="G72" t="inlineStr">
        <is>
          <t>BORÅS</t>
        </is>
      </c>
      <c r="I72" t="n">
        <v>1.9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HYPERLINK("https://klasma.github.io/Logging_1490/artfynd/A 23756-2025 artfynd.xlsx", "A 23756-2025")</f>
        <v/>
      </c>
      <c r="X72">
        <f>HYPERLINK("https://klasma.github.io/Logging_1490/kartor/A 23756-2025 karta.png", "A 23756-2025")</f>
        <v/>
      </c>
      <c r="Y72">
        <f>HYPERLINK("https://klasma.github.io/Logging_1490/kartor_geotiff/A 23756-2025 georefererad karta.tif", "A 23756-2025")</f>
        <v/>
      </c>
      <c r="AA72">
        <f>HYPERLINK("https://klasma.github.io/Logging_1490/klagomål/A 23756-2025 FSC-klagomål.docx", "A 23756-2025")</f>
        <v/>
      </c>
      <c r="AB72">
        <f>HYPERLINK("https://klasma.github.io/Logging_1490/klagomålsmail/A 23756-2025 FSC-klagomål mail.docx", "A 23756-2025")</f>
        <v/>
      </c>
      <c r="AC72">
        <f>HYPERLINK("https://klasma.github.io/Logging_1490/tillsyn/A 23756-2025 tillsynsbegäran.docx", "A 23756-2025")</f>
        <v/>
      </c>
      <c r="AD72">
        <f>HYPERLINK("https://klasma.github.io/Logging_1490/tillsynsmail/A 23756-2025 tillsynsbegäran mail.docx", "A 23756-2025")</f>
        <v/>
      </c>
      <c r="AE72">
        <f>HYPERLINK("https://klasma.github.io/Logging_1490/fåglar/A 23756-2025 prioriterade fågelarter.docx", "A 23756-2025")</f>
        <v/>
      </c>
    </row>
    <row r="73" ht="15" customHeight="1">
      <c r="A73" t="inlineStr">
        <is>
          <t>A 23755-2025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46248</v>
      </c>
      <c r="F73" t="inlineStr">
        <is>
          <t>VÄSTRA GÖTALANDS LÄN</t>
        </is>
      </c>
      <c r="G73" t="inlineStr">
        <is>
          <t>BORÅS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groda</t>
        </is>
      </c>
      <c r="W73">
        <f>HYPERLINK("https://klasma.github.io/Logging_1490/artfynd/A 23755-2025 artfynd.xlsx", "A 23755-2025")</f>
        <v/>
      </c>
      <c r="X73">
        <f>HYPERLINK("https://klasma.github.io/Logging_1490/kartor/A 23755-2025 karta.png", "A 23755-2025")</f>
        <v/>
      </c>
      <c r="Y73">
        <f>HYPERLINK("https://klasma.github.io/Logging_1490/kartor_geotiff/A 23755-2025 georefererad karta.tif", "A 23755-2025")</f>
        <v/>
      </c>
      <c r="AA73">
        <f>HYPERLINK("https://klasma.github.io/Logging_1490/klagomål/A 23755-2025 FSC-klagomål.docx", "A 23755-2025")</f>
        <v/>
      </c>
      <c r="AB73">
        <f>HYPERLINK("https://klasma.github.io/Logging_1490/klagomålsmail/A 23755-2025 FSC-klagomål mail.docx", "A 23755-2025")</f>
        <v/>
      </c>
      <c r="AC73">
        <f>HYPERLINK("https://klasma.github.io/Logging_1490/tillsyn/A 23755-2025 tillsynsbegäran.docx", "A 23755-2025")</f>
        <v/>
      </c>
      <c r="AD73">
        <f>HYPERLINK("https://klasma.github.io/Logging_1490/tillsynsmail/A 23755-2025 tillsynsbegäran mail.docx", "A 23755-2025")</f>
        <v/>
      </c>
    </row>
    <row r="74" ht="15" customHeight="1">
      <c r="A74" t="inlineStr">
        <is>
          <t>A 50068-2025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46248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1.2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Brandticka</t>
        </is>
      </c>
      <c r="W74">
        <f>HYPERLINK("https://klasma.github.io/Logging_1490/artfynd/A 50068-2025 artfynd.xlsx", "A 50068-2025")</f>
        <v/>
      </c>
      <c r="X74">
        <f>HYPERLINK("https://klasma.github.io/Logging_1490/kartor/A 50068-2025 karta.png", "A 50068-2025")</f>
        <v/>
      </c>
      <c r="Y74">
        <f>HYPERLINK("https://klasma.github.io/Logging_1490/kartor_geotiff/A 50068-2025 georefererad karta.tif", "A 50068-2025")</f>
        <v/>
      </c>
      <c r="AA74">
        <f>HYPERLINK("https://klasma.github.io/Logging_1490/klagomål/A 50068-2025 FSC-klagomål.docx", "A 50068-2025")</f>
        <v/>
      </c>
      <c r="AB74">
        <f>HYPERLINK("https://klasma.github.io/Logging_1490/klagomålsmail/A 50068-2025 FSC-klagomål mail.docx", "A 50068-2025")</f>
        <v/>
      </c>
      <c r="AC74">
        <f>HYPERLINK("https://klasma.github.io/Logging_1490/tillsyn/A 50068-2025 tillsynsbegäran.docx", "A 50068-2025")</f>
        <v/>
      </c>
      <c r="AD74">
        <f>HYPERLINK("https://klasma.github.io/Logging_1490/tillsynsmail/A 50068-2025 tillsynsbegäran mail.docx", "A 50068-2025")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46248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A 62645-2025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46008</v>
      </c>
      <c r="E76" s="1" t="n">
        <v>46248</v>
      </c>
      <c r="F76" t="inlineStr">
        <is>
          <t>VÄSTRA GÖTALANDS LÄN</t>
        </is>
      </c>
      <c r="G76" t="inlineStr">
        <is>
          <t>BORÅS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HYPERLINK("https://klasma.github.io/Logging_1490/artfynd/A 62645-2025 artfynd.xlsx", "A 62645-2025")</f>
        <v/>
      </c>
      <c r="X76">
        <f>HYPERLINK("https://klasma.github.io/Logging_1490/kartor/A 62645-2025 karta.png", "A 62645-2025")</f>
        <v/>
      </c>
      <c r="Y76">
        <f>HYPERLINK("https://klasma.github.io/Logging_1490/kartor_geotiff/A 62645-2025 georefererad karta.tif", "A 62645-2025")</f>
        <v/>
      </c>
      <c r="AA76">
        <f>HYPERLINK("https://klasma.github.io/Logging_1490/klagomål/A 62645-2025 FSC-klagomål.docx", "A 62645-2025")</f>
        <v/>
      </c>
      <c r="AB76">
        <f>HYPERLINK("https://klasma.github.io/Logging_1490/klagomålsmail/A 62645-2025 FSC-klagomål mail.docx", "A 62645-2025")</f>
        <v/>
      </c>
      <c r="AC76">
        <f>HYPERLINK("https://klasma.github.io/Logging_1490/tillsyn/A 62645-2025 tillsynsbegäran.docx", "A 62645-2025")</f>
        <v/>
      </c>
      <c r="AD76">
        <f>HYPERLINK("https://klasma.github.io/Logging_1490/tillsynsmail/A 62645-2025 tillsynsbegäran mail.docx", "A 62645-2025")</f>
        <v/>
      </c>
      <c r="AE76">
        <f>HYPERLINK("https://klasma.github.io/Logging_1490/fåglar/A 62645-2025 prioriterade fågelarter.docx", "A 62645-2025")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46248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46248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46248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47636-2021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46248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46248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46248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46248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46248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46248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44586</v>
      </c>
      <c r="E86" s="1" t="n">
        <v>46248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46248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46248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46248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46248</v>
      </c>
      <c r="F90" t="inlineStr">
        <is>
          <t>VÄSTRA GÖTALANDS LÄN</t>
        </is>
      </c>
      <c r="G90" t="inlineStr">
        <is>
          <t>BORÅS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46248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46248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46248</v>
      </c>
      <c r="F93" t="inlineStr">
        <is>
          <t>VÄSTRA GÖTALANDS LÄN</t>
        </is>
      </c>
      <c r="G93" t="inlineStr">
        <is>
          <t>BORÅS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46248</v>
      </c>
      <c r="F94" t="inlineStr">
        <is>
          <t>VÄSTRA GÖTALANDS LÄN</t>
        </is>
      </c>
      <c r="G94" t="inlineStr">
        <is>
          <t>BORÅS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71031-2021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46248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51864-2021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46248</v>
      </c>
      <c r="F96" t="inlineStr">
        <is>
          <t>VÄSTRA GÖTALANDS LÄN</t>
        </is>
      </c>
      <c r="G96" t="inlineStr">
        <is>
          <t>BORÅS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44734</v>
      </c>
      <c r="E97" s="1" t="n">
        <v>46248</v>
      </c>
      <c r="F97" t="inlineStr">
        <is>
          <t>VÄSTRA GÖTALANDS LÄN</t>
        </is>
      </c>
      <c r="G97" t="inlineStr">
        <is>
          <t>BORÅS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44837</v>
      </c>
      <c r="E98" s="1" t="n">
        <v>46248</v>
      </c>
      <c r="F98" t="inlineStr">
        <is>
          <t>VÄSTRA GÖTALANDS LÄN</t>
        </is>
      </c>
      <c r="G98" t="inlineStr">
        <is>
          <t>BORÅS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46248</v>
      </c>
      <c r="F99" t="inlineStr">
        <is>
          <t>VÄSTRA GÖTALANDS LÄN</t>
        </is>
      </c>
      <c r="G99" t="inlineStr">
        <is>
          <t>BORÅS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44605</v>
      </c>
      <c r="E100" s="1" t="n">
        <v>46248</v>
      </c>
      <c r="F100" t="inlineStr">
        <is>
          <t>VÄSTRA GÖTALANDS LÄN</t>
        </is>
      </c>
      <c r="G100" t="inlineStr">
        <is>
          <t>BORÅS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46248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46248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46248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46248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46248</v>
      </c>
      <c r="F105" t="inlineStr">
        <is>
          <t>VÄSTRA GÖTALANDS LÄN</t>
        </is>
      </c>
      <c r="G105" t="inlineStr">
        <is>
          <t>BORÅS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46248</v>
      </c>
      <c r="F106" t="inlineStr">
        <is>
          <t>VÄSTRA GÖTALANDS LÄN</t>
        </is>
      </c>
      <c r="G106" t="inlineStr">
        <is>
          <t>BORÅS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46248</v>
      </c>
      <c r="F107" t="inlineStr">
        <is>
          <t>VÄSTRA GÖTALANDS LÄN</t>
        </is>
      </c>
      <c r="G107" t="inlineStr">
        <is>
          <t>BORÅS</t>
        </is>
      </c>
      <c r="I107" t="n">
        <v>11.3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46248</v>
      </c>
      <c r="F108" t="inlineStr">
        <is>
          <t>VÄSTRA GÖTALANDS LÄN</t>
        </is>
      </c>
      <c r="G108" t="inlineStr">
        <is>
          <t>BORÅS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46248</v>
      </c>
      <c r="F109" t="inlineStr">
        <is>
          <t>VÄSTRA GÖTALANDS LÄN</t>
        </is>
      </c>
      <c r="G109" t="inlineStr">
        <is>
          <t>BORÅS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47504-2021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44447</v>
      </c>
      <c r="E110" s="1" t="n">
        <v>46248</v>
      </c>
      <c r="F110" t="inlineStr">
        <is>
          <t>VÄSTRA GÖTALANDS LÄN</t>
        </is>
      </c>
      <c r="G110" t="inlineStr">
        <is>
          <t>BORÅS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64609-2021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46248</v>
      </c>
      <c r="F111" t="inlineStr">
        <is>
          <t>VÄSTRA GÖTALANDS LÄN</t>
        </is>
      </c>
      <c r="G111" t="inlineStr">
        <is>
          <t>BORÅS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64466-2021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44511</v>
      </c>
      <c r="E112" s="1" t="n">
        <v>46248</v>
      </c>
      <c r="F112" t="inlineStr">
        <is>
          <t>VÄSTRA GÖTALANDS LÄN</t>
        </is>
      </c>
      <c r="G112" t="inlineStr">
        <is>
          <t>BORÅS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46248</v>
      </c>
      <c r="F113" t="inlineStr">
        <is>
          <t>VÄSTRA GÖTALANDS LÄN</t>
        </is>
      </c>
      <c r="G113" t="inlineStr">
        <is>
          <t>BORÅS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46248</v>
      </c>
      <c r="F114" t="inlineStr">
        <is>
          <t>VÄSTRA GÖTALANDS LÄN</t>
        </is>
      </c>
      <c r="G114" t="inlineStr">
        <is>
          <t>BORÅS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44887</v>
      </c>
      <c r="E115" s="1" t="n">
        <v>46248</v>
      </c>
      <c r="F115" t="inlineStr">
        <is>
          <t>VÄSTRA GÖTALANDS LÄN</t>
        </is>
      </c>
      <c r="G115" t="inlineStr">
        <is>
          <t>BORÅS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46248</v>
      </c>
      <c r="F116" t="inlineStr">
        <is>
          <t>VÄSTRA GÖTALANDS LÄN</t>
        </is>
      </c>
      <c r="G116" t="inlineStr">
        <is>
          <t>BORÅS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46248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51980-2021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44463</v>
      </c>
      <c r="E118" s="1" t="n">
        <v>46248</v>
      </c>
      <c r="F118" t="inlineStr">
        <is>
          <t>VÄSTRA GÖTALANDS LÄN</t>
        </is>
      </c>
      <c r="G118" t="inlineStr">
        <is>
          <t>BORÅS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46248</v>
      </c>
      <c r="F119" t="inlineStr">
        <is>
          <t>VÄSTRA GÖTALANDS LÄN</t>
        </is>
      </c>
      <c r="G119" t="inlineStr">
        <is>
          <t>BORÅS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46248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46248</v>
      </c>
      <c r="F121" t="inlineStr">
        <is>
          <t>VÄSTRA GÖTALANDS LÄN</t>
        </is>
      </c>
      <c r="G121" t="inlineStr">
        <is>
          <t>BORÅS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59336-2021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46248</v>
      </c>
      <c r="F122" t="inlineStr">
        <is>
          <t>VÄSTRA GÖTALANDS LÄN</t>
        </is>
      </c>
      <c r="G122" t="inlineStr">
        <is>
          <t>BORÅS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44673</v>
      </c>
      <c r="E123" s="1" t="n">
        <v>46248</v>
      </c>
      <c r="F123" t="inlineStr">
        <is>
          <t>VÄSTRA GÖTALANDS LÄN</t>
        </is>
      </c>
      <c r="G123" t="inlineStr">
        <is>
          <t>BORÅS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51986-2021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44463</v>
      </c>
      <c r="E124" s="1" t="n">
        <v>46248</v>
      </c>
      <c r="F124" t="inlineStr">
        <is>
          <t>VÄSTRA GÖTALANDS LÄN</t>
        </is>
      </c>
      <c r="G124" t="inlineStr">
        <is>
          <t>BORÅS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46248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73268-2021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46248</v>
      </c>
      <c r="F126" t="inlineStr">
        <is>
          <t>VÄSTRA GÖTALANDS LÄN</t>
        </is>
      </c>
      <c r="G126" t="inlineStr">
        <is>
          <t>BORÅS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46248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46248</v>
      </c>
      <c r="F128" t="inlineStr">
        <is>
          <t>VÄSTRA GÖTALANDS LÄN</t>
        </is>
      </c>
      <c r="G128" t="inlineStr">
        <is>
          <t>BORÅS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46248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44678</v>
      </c>
      <c r="E130" s="1" t="n">
        <v>46248</v>
      </c>
      <c r="F130" t="inlineStr">
        <is>
          <t>VÄSTRA GÖTALANDS LÄN</t>
        </is>
      </c>
      <c r="G130" t="inlineStr">
        <is>
          <t>BORÅS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46248</v>
      </c>
      <c r="F131" t="inlineStr">
        <is>
          <t>VÄSTRA GÖTALANDS LÄN</t>
        </is>
      </c>
      <c r="G131" t="inlineStr">
        <is>
          <t>BORÅS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68634-2021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44529</v>
      </c>
      <c r="E132" s="1" t="n">
        <v>46248</v>
      </c>
      <c r="F132" t="inlineStr">
        <is>
          <t>VÄSTRA GÖTALANDS LÄN</t>
        </is>
      </c>
      <c r="G132" t="inlineStr">
        <is>
          <t>BORÅS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46248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46248</v>
      </c>
      <c r="F134" t="inlineStr">
        <is>
          <t>VÄSTRA GÖTALANDS LÄN</t>
        </is>
      </c>
      <c r="G134" t="inlineStr">
        <is>
          <t>BORÅS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46248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46248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46248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46248</v>
      </c>
      <c r="F138" t="inlineStr">
        <is>
          <t>VÄSTRA GÖTALANDS LÄN</t>
        </is>
      </c>
      <c r="G138" t="inlineStr">
        <is>
          <t>BORÅS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46248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45050</v>
      </c>
      <c r="E140" s="1" t="n">
        <v>46248</v>
      </c>
      <c r="F140" t="inlineStr">
        <is>
          <t>VÄSTRA GÖTALANDS LÄN</t>
        </is>
      </c>
      <c r="G140" t="inlineStr">
        <is>
          <t>BORÅS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46248</v>
      </c>
      <c r="F141" t="inlineStr">
        <is>
          <t>VÄSTRA GÖTALANDS LÄN</t>
        </is>
      </c>
      <c r="G141" t="inlineStr">
        <is>
          <t>BORÅS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46248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46248</v>
      </c>
      <c r="F143" t="inlineStr">
        <is>
          <t>VÄSTRA GÖTALANDS LÄN</t>
        </is>
      </c>
      <c r="G143" t="inlineStr">
        <is>
          <t>BORÅS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46248</v>
      </c>
      <c r="F144" t="inlineStr">
        <is>
          <t>VÄSTRA GÖTALANDS LÄN</t>
        </is>
      </c>
      <c r="G144" t="inlineStr">
        <is>
          <t>BORÅS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46248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53063-2024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46248</v>
      </c>
      <c r="F146" t="inlineStr">
        <is>
          <t>VÄSTRA GÖTALANDS LÄN</t>
        </is>
      </c>
      <c r="G146" t="inlineStr">
        <is>
          <t>BORÅS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46248</v>
      </c>
      <c r="F147" t="inlineStr">
        <is>
          <t>VÄSTRA GÖTALANDS LÄN</t>
        </is>
      </c>
      <c r="G147" t="inlineStr">
        <is>
          <t>BORÅS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46248</v>
      </c>
      <c r="F148" t="inlineStr">
        <is>
          <t>VÄSTRA GÖTALANDS LÄN</t>
        </is>
      </c>
      <c r="G148" t="inlineStr">
        <is>
          <t>BORÅS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46248</v>
      </c>
      <c r="F149" t="inlineStr">
        <is>
          <t>VÄSTRA GÖTALANDS LÄN</t>
        </is>
      </c>
      <c r="G149" t="inlineStr">
        <is>
          <t>BORÅS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31940-2024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45510</v>
      </c>
      <c r="E150" s="1" t="n">
        <v>46248</v>
      </c>
      <c r="F150" t="inlineStr">
        <is>
          <t>VÄSTRA GÖTALANDS LÄN</t>
        </is>
      </c>
      <c r="G150" t="inlineStr">
        <is>
          <t>BORÅS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45351</v>
      </c>
      <c r="E151" s="1" t="n">
        <v>46248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24860-2022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44728</v>
      </c>
      <c r="E152" s="1" t="n">
        <v>46248</v>
      </c>
      <c r="F152" t="inlineStr">
        <is>
          <t>VÄSTRA GÖTALANDS LÄN</t>
        </is>
      </c>
      <c r="G152" t="inlineStr">
        <is>
          <t>BORÅS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72806-2021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44547</v>
      </c>
      <c r="E153" s="1" t="n">
        <v>46248</v>
      </c>
      <c r="F153" t="inlineStr">
        <is>
          <t>VÄSTRA GÖTALANDS LÄN</t>
        </is>
      </c>
      <c r="G153" t="inlineStr">
        <is>
          <t>BORÅS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45050</v>
      </c>
      <c r="E154" s="1" t="n">
        <v>46248</v>
      </c>
      <c r="F154" t="inlineStr">
        <is>
          <t>VÄSTRA GÖTALANDS LÄN</t>
        </is>
      </c>
      <c r="G154" t="inlineStr">
        <is>
          <t>BORÅS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46248</v>
      </c>
      <c r="F155" t="inlineStr">
        <is>
          <t>VÄSTRA GÖTALANDS LÄN</t>
        </is>
      </c>
      <c r="G155" t="inlineStr">
        <is>
          <t>BORÅS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46248</v>
      </c>
      <c r="F156" t="inlineStr">
        <is>
          <t>VÄSTRA GÖTALANDS LÄN</t>
        </is>
      </c>
      <c r="G156" t="inlineStr">
        <is>
          <t>BORÅS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44155-2022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46248</v>
      </c>
      <c r="F157" t="inlineStr">
        <is>
          <t>VÄSTRA GÖTALANDS LÄN</t>
        </is>
      </c>
      <c r="G157" t="inlineStr">
        <is>
          <t>BORÅS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11362-2022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44630</v>
      </c>
      <c r="E158" s="1" t="n">
        <v>46248</v>
      </c>
      <c r="F158" t="inlineStr">
        <is>
          <t>VÄSTRA GÖTALANDS LÄN</t>
        </is>
      </c>
      <c r="G158" t="inlineStr">
        <is>
          <t>BORÅS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46248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46248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46248</v>
      </c>
      <c r="F161" t="inlineStr">
        <is>
          <t>VÄSTRA GÖTALANDS LÄN</t>
        </is>
      </c>
      <c r="G161" t="inlineStr">
        <is>
          <t>BORÅS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44644</v>
      </c>
      <c r="E162" s="1" t="n">
        <v>46248</v>
      </c>
      <c r="F162" t="inlineStr">
        <is>
          <t>VÄSTRA GÖTALANDS LÄN</t>
        </is>
      </c>
      <c r="G162" t="inlineStr">
        <is>
          <t>BORÅS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46248</v>
      </c>
      <c r="F163" t="inlineStr">
        <is>
          <t>VÄSTRA GÖTALANDS LÄN</t>
        </is>
      </c>
      <c r="G163" t="inlineStr">
        <is>
          <t>BORÅS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46248</v>
      </c>
      <c r="F164" t="inlineStr">
        <is>
          <t>VÄSTRA GÖTALANDS LÄN</t>
        </is>
      </c>
      <c r="G164" t="inlineStr">
        <is>
          <t>BORÅS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45120</v>
      </c>
      <c r="E165" s="1" t="n">
        <v>46248</v>
      </c>
      <c r="F165" t="inlineStr">
        <is>
          <t>VÄSTRA GÖTALANDS LÄN</t>
        </is>
      </c>
      <c r="G165" t="inlineStr">
        <is>
          <t>BORÅS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46248</v>
      </c>
      <c r="F166" t="inlineStr">
        <is>
          <t>VÄSTRA GÖTALANDS LÄN</t>
        </is>
      </c>
      <c r="G166" t="inlineStr">
        <is>
          <t>BORÅS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46248</v>
      </c>
      <c r="F167" t="inlineStr">
        <is>
          <t>VÄSTRA GÖTALANDS LÄN</t>
        </is>
      </c>
      <c r="G167" t="inlineStr">
        <is>
          <t>BORÅS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46248</v>
      </c>
      <c r="F168" t="inlineStr">
        <is>
          <t>VÄSTRA GÖTALANDS LÄN</t>
        </is>
      </c>
      <c r="G168" t="inlineStr">
        <is>
          <t>BORÅS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44964</v>
      </c>
      <c r="E169" s="1" t="n">
        <v>46248</v>
      </c>
      <c r="F169" t="inlineStr">
        <is>
          <t>VÄSTRA GÖTALANDS LÄN</t>
        </is>
      </c>
      <c r="G169" t="inlineStr">
        <is>
          <t>BORÅS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46248</v>
      </c>
      <c r="F170" t="inlineStr">
        <is>
          <t>VÄSTRA GÖTALANDS LÄN</t>
        </is>
      </c>
      <c r="G170" t="inlineStr">
        <is>
          <t>BORÅS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46248</v>
      </c>
      <c r="F171" t="inlineStr">
        <is>
          <t>VÄSTRA GÖTALANDS LÄN</t>
        </is>
      </c>
      <c r="G171" t="inlineStr">
        <is>
          <t>BORÅS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46248</v>
      </c>
      <c r="F172" t="inlineStr">
        <is>
          <t>VÄSTRA GÖTALANDS LÄN</t>
        </is>
      </c>
      <c r="G172" t="inlineStr">
        <is>
          <t>BORÅS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45000</v>
      </c>
      <c r="E173" s="1" t="n">
        <v>46248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45316</v>
      </c>
      <c r="E174" s="1" t="n">
        <v>46248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44639</v>
      </c>
      <c r="E175" s="1" t="n">
        <v>46248</v>
      </c>
      <c r="F175" t="inlineStr">
        <is>
          <t>VÄSTRA GÖTALANDS LÄN</t>
        </is>
      </c>
      <c r="G175" t="inlineStr">
        <is>
          <t>BORÅS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46248</v>
      </c>
      <c r="F176" t="inlineStr">
        <is>
          <t>VÄSTRA GÖTALANDS LÄN</t>
        </is>
      </c>
      <c r="G176" t="inlineStr">
        <is>
          <t>BORÅS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46248</v>
      </c>
      <c r="F177" t="inlineStr">
        <is>
          <t>VÄSTRA GÖTALANDS LÄN</t>
        </is>
      </c>
      <c r="G177" t="inlineStr">
        <is>
          <t>BORÅS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46248</v>
      </c>
      <c r="F178" t="inlineStr">
        <is>
          <t>VÄSTRA GÖTALANDS LÄN</t>
        </is>
      </c>
      <c r="G178" t="inlineStr">
        <is>
          <t>BORÅS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46248</v>
      </c>
      <c r="F179" t="inlineStr">
        <is>
          <t>VÄSTRA GÖTALANDS LÄN</t>
        </is>
      </c>
      <c r="G179" t="inlineStr">
        <is>
          <t>BORÅS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46248</v>
      </c>
      <c r="F180" t="inlineStr">
        <is>
          <t>VÄSTRA GÖTALANDS LÄN</t>
        </is>
      </c>
      <c r="G180" t="inlineStr">
        <is>
          <t>BORÅS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24183-2024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45456</v>
      </c>
      <c r="E181" s="1" t="n">
        <v>46248</v>
      </c>
      <c r="F181" t="inlineStr">
        <is>
          <t>VÄSTRA GÖTALANDS LÄN</t>
        </is>
      </c>
      <c r="G181" t="inlineStr">
        <is>
          <t>BORÅS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46248</v>
      </c>
      <c r="F182" t="inlineStr">
        <is>
          <t>VÄSTRA GÖTALANDS LÄN</t>
        </is>
      </c>
      <c r="G182" t="inlineStr">
        <is>
          <t>BORÅS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46248</v>
      </c>
      <c r="F183" t="inlineStr">
        <is>
          <t>VÄSTRA GÖTALANDS LÄN</t>
        </is>
      </c>
      <c r="G183" t="inlineStr">
        <is>
          <t>BORÅS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46248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44639</v>
      </c>
      <c r="E185" s="1" t="n">
        <v>46248</v>
      </c>
      <c r="F185" t="inlineStr">
        <is>
          <t>VÄSTRA GÖTALANDS LÄN</t>
        </is>
      </c>
      <c r="G185" t="inlineStr">
        <is>
          <t>BORÅS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46248</v>
      </c>
      <c r="F186" t="inlineStr">
        <is>
          <t>VÄSTRA GÖTALANDS LÄN</t>
        </is>
      </c>
      <c r="G186" t="inlineStr">
        <is>
          <t>BORÅS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46248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49948-2023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46248</v>
      </c>
      <c r="F188" t="inlineStr">
        <is>
          <t>VÄSTRA GÖTALANDS LÄN</t>
        </is>
      </c>
      <c r="G188" t="inlineStr">
        <is>
          <t>BORÅS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46248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45650</v>
      </c>
      <c r="E190" s="1" t="n">
        <v>46248</v>
      </c>
      <c r="F190" t="inlineStr">
        <is>
          <t>VÄSTRA GÖTALANDS LÄN</t>
        </is>
      </c>
      <c r="G190" t="inlineStr">
        <is>
          <t>BORÅS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46248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46248</v>
      </c>
      <c r="F192" t="inlineStr">
        <is>
          <t>VÄSTRA GÖTALANDS LÄN</t>
        </is>
      </c>
      <c r="G192" t="inlineStr">
        <is>
          <t>BORÅS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46248</v>
      </c>
      <c r="F193" t="inlineStr">
        <is>
          <t>VÄSTRA GÖTALANDS LÄN</t>
        </is>
      </c>
      <c r="G193" t="inlineStr">
        <is>
          <t>BORÅS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46248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46248</v>
      </c>
      <c r="F195" t="inlineStr">
        <is>
          <t>VÄSTRA GÖTALANDS LÄN</t>
        </is>
      </c>
      <c r="G195" t="inlineStr">
        <is>
          <t>BORÅS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46248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46248</v>
      </c>
      <c r="F197" t="inlineStr">
        <is>
          <t>VÄSTRA GÖTALANDS LÄN</t>
        </is>
      </c>
      <c r="G197" t="inlineStr">
        <is>
          <t>BORÅS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46248</v>
      </c>
      <c r="F198" t="inlineStr">
        <is>
          <t>VÄSTRA GÖTALANDS LÄN</t>
        </is>
      </c>
      <c r="G198" t="inlineStr">
        <is>
          <t>BORÅS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72566-2021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44546</v>
      </c>
      <c r="E199" s="1" t="n">
        <v>46248</v>
      </c>
      <c r="F199" t="inlineStr">
        <is>
          <t>VÄSTRA GÖTALANDS LÄN</t>
        </is>
      </c>
      <c r="G199" t="inlineStr">
        <is>
          <t>BORÅS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46248</v>
      </c>
      <c r="F200" t="inlineStr">
        <is>
          <t>VÄSTRA GÖTALANDS LÄN</t>
        </is>
      </c>
      <c r="G200" t="inlineStr">
        <is>
          <t>BORÅS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46248</v>
      </c>
      <c r="F201" t="inlineStr">
        <is>
          <t>VÄSTRA GÖTALANDS LÄN</t>
        </is>
      </c>
      <c r="G201" t="inlineStr">
        <is>
          <t>BORÅS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46248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Kyrkan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44964</v>
      </c>
      <c r="E203" s="1" t="n">
        <v>46248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45462</v>
      </c>
      <c r="E204" s="1" t="n">
        <v>46248</v>
      </c>
      <c r="F204" t="inlineStr">
        <is>
          <t>VÄSTRA GÖTALANDS LÄN</t>
        </is>
      </c>
      <c r="G204" t="inlineStr">
        <is>
          <t>BORÅS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46248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45044</v>
      </c>
      <c r="E206" s="1" t="n">
        <v>46248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48358-2023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45205</v>
      </c>
      <c r="E207" s="1" t="n">
        <v>46248</v>
      </c>
      <c r="F207" t="inlineStr">
        <is>
          <t>VÄSTRA GÖTALANDS LÄN</t>
        </is>
      </c>
      <c r="G207" t="inlineStr">
        <is>
          <t>BORÅS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46248</v>
      </c>
      <c r="F208" t="inlineStr">
        <is>
          <t>VÄSTRA GÖTALANDS LÄN</t>
        </is>
      </c>
      <c r="G208" t="inlineStr">
        <is>
          <t>BORÅS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44910</v>
      </c>
      <c r="E209" s="1" t="n">
        <v>46248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46248</v>
      </c>
      <c r="F210" t="inlineStr">
        <is>
          <t>VÄSTRA GÖTALANDS LÄN</t>
        </is>
      </c>
      <c r="G210" t="inlineStr">
        <is>
          <t>BORÅS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44916</v>
      </c>
      <c r="E211" s="1" t="n">
        <v>46248</v>
      </c>
      <c r="F211" t="inlineStr">
        <is>
          <t>VÄSTRA GÖTALANDS LÄN</t>
        </is>
      </c>
      <c r="G211" t="inlineStr">
        <is>
          <t>BORÅS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46248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Sveaskog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46248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Kyrkan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44506-2023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45189</v>
      </c>
      <c r="E214" s="1" t="n">
        <v>46248</v>
      </c>
      <c r="F214" t="inlineStr">
        <is>
          <t>VÄSTRA GÖTALANDS LÄN</t>
        </is>
      </c>
      <c r="G214" t="inlineStr">
        <is>
          <t>BORÅS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46248</v>
      </c>
      <c r="F215" t="inlineStr">
        <is>
          <t>VÄSTRA GÖTALANDS LÄN</t>
        </is>
      </c>
      <c r="G215" t="inlineStr">
        <is>
          <t>BORÅS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45638</v>
      </c>
      <c r="E216" s="1" t="n">
        <v>46248</v>
      </c>
      <c r="F216" t="inlineStr">
        <is>
          <t>VÄSTRA GÖTALANDS LÄN</t>
        </is>
      </c>
      <c r="G216" t="inlineStr">
        <is>
          <t>BORÅS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45301</v>
      </c>
      <c r="E217" s="1" t="n">
        <v>46248</v>
      </c>
      <c r="F217" t="inlineStr">
        <is>
          <t>VÄSTRA GÖTALANDS LÄN</t>
        </is>
      </c>
      <c r="G217" t="inlineStr">
        <is>
          <t>BORÅS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45593</v>
      </c>
      <c r="E218" s="1" t="n">
        <v>46248</v>
      </c>
      <c r="F218" t="inlineStr">
        <is>
          <t>VÄSTRA GÖTALANDS LÄN</t>
        </is>
      </c>
      <c r="G218" t="inlineStr">
        <is>
          <t>BORÅS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45462</v>
      </c>
      <c r="E219" s="1" t="n">
        <v>46248</v>
      </c>
      <c r="F219" t="inlineStr">
        <is>
          <t>VÄSTRA GÖTALANDS LÄN</t>
        </is>
      </c>
      <c r="G219" t="inlineStr">
        <is>
          <t>BORÅS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38970-2024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45548</v>
      </c>
      <c r="E220" s="1" t="n">
        <v>46248</v>
      </c>
      <c r="F220" t="inlineStr">
        <is>
          <t>VÄSTRA GÖTALANDS LÄN</t>
        </is>
      </c>
      <c r="G220" t="inlineStr">
        <is>
          <t>BORÅS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46248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46248</v>
      </c>
      <c r="F222" t="inlineStr">
        <is>
          <t>VÄSTRA GÖTALANDS LÄN</t>
        </is>
      </c>
      <c r="G222" t="inlineStr">
        <is>
          <t>BORÅS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46248</v>
      </c>
      <c r="F223" t="inlineStr">
        <is>
          <t>VÄSTRA GÖTALANDS LÄN</t>
        </is>
      </c>
      <c r="G223" t="inlineStr">
        <is>
          <t>BORÅS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36577-2022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44804</v>
      </c>
      <c r="E224" s="1" t="n">
        <v>46248</v>
      </c>
      <c r="F224" t="inlineStr">
        <is>
          <t>VÄSTRA GÖTALANDS LÄN</t>
        </is>
      </c>
      <c r="G224" t="inlineStr">
        <is>
          <t>BORÅS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46248</v>
      </c>
      <c r="F225" t="inlineStr">
        <is>
          <t>VÄSTRA GÖTALANDS LÄN</t>
        </is>
      </c>
      <c r="G225" t="inlineStr">
        <is>
          <t>BORÅS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45756</v>
      </c>
      <c r="E226" s="1" t="n">
        <v>46248</v>
      </c>
      <c r="F226" t="inlineStr">
        <is>
          <t>VÄSTRA GÖTALANDS LÄN</t>
        </is>
      </c>
      <c r="G226" t="inlineStr">
        <is>
          <t>BORÅS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46248</v>
      </c>
      <c r="F227" t="inlineStr">
        <is>
          <t>VÄSTRA GÖTALANDS LÄN</t>
        </is>
      </c>
      <c r="G227" t="inlineStr">
        <is>
          <t>BORÅS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45670</v>
      </c>
      <c r="E228" s="1" t="n">
        <v>46248</v>
      </c>
      <c r="F228" t="inlineStr">
        <is>
          <t>VÄSTRA GÖTALANDS LÄN</t>
        </is>
      </c>
      <c r="G228" t="inlineStr">
        <is>
          <t>BORÅS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45294</v>
      </c>
      <c r="E229" s="1" t="n">
        <v>46248</v>
      </c>
      <c r="F229" t="inlineStr">
        <is>
          <t>VÄSTRA GÖTALANDS LÄN</t>
        </is>
      </c>
      <c r="G229" t="inlineStr">
        <is>
          <t>BORÅS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46248</v>
      </c>
      <c r="F230" t="inlineStr">
        <is>
          <t>VÄSTRA GÖTALANDS LÄN</t>
        </is>
      </c>
      <c r="G230" t="inlineStr">
        <is>
          <t>BORÅS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46248</v>
      </c>
      <c r="F231" t="inlineStr">
        <is>
          <t>VÄSTRA GÖTALANDS LÄN</t>
        </is>
      </c>
      <c r="G231" t="inlineStr">
        <is>
          <t>BORÅS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45225</v>
      </c>
      <c r="E232" s="1" t="n">
        <v>46248</v>
      </c>
      <c r="F232" t="inlineStr">
        <is>
          <t>VÄSTRA GÖTALANDS LÄN</t>
        </is>
      </c>
      <c r="G232" t="inlineStr">
        <is>
          <t>BORÅS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45053</v>
      </c>
      <c r="E233" s="1" t="n">
        <v>46248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46248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46248</v>
      </c>
      <c r="F235" t="inlineStr">
        <is>
          <t>VÄSTRA GÖTALANDS LÄN</t>
        </is>
      </c>
      <c r="G235" t="inlineStr">
        <is>
          <t>BORÅS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46248</v>
      </c>
      <c r="F236" t="inlineStr">
        <is>
          <t>VÄSTRA GÖTALANDS LÄN</t>
        </is>
      </c>
      <c r="G236" t="inlineStr">
        <is>
          <t>BORÅS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50605-2022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44866</v>
      </c>
      <c r="E237" s="1" t="n">
        <v>46248</v>
      </c>
      <c r="F237" t="inlineStr">
        <is>
          <t>VÄSTRA GÖTALANDS LÄN</t>
        </is>
      </c>
      <c r="G237" t="inlineStr">
        <is>
          <t>BORÅS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46574-2022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44848</v>
      </c>
      <c r="E238" s="1" t="n">
        <v>46248</v>
      </c>
      <c r="F238" t="inlineStr">
        <is>
          <t>VÄSTRA GÖTALANDS LÄN</t>
        </is>
      </c>
      <c r="G238" t="inlineStr">
        <is>
          <t>BORÅS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63169-2023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46248</v>
      </c>
      <c r="F239" t="inlineStr">
        <is>
          <t>VÄSTRA GÖTALANDS LÄN</t>
        </is>
      </c>
      <c r="G239" t="inlineStr">
        <is>
          <t>BORÅS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46248</v>
      </c>
      <c r="F240" t="inlineStr">
        <is>
          <t>VÄSTRA GÖTALANDS LÄN</t>
        </is>
      </c>
      <c r="G240" t="inlineStr">
        <is>
          <t>BORÅS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9127-2023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44980</v>
      </c>
      <c r="E241" s="1" t="n">
        <v>46248</v>
      </c>
      <c r="F241" t="inlineStr">
        <is>
          <t>VÄSTRA GÖTALANDS LÄN</t>
        </is>
      </c>
      <c r="G241" t="inlineStr">
        <is>
          <t>BORÅS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46248</v>
      </c>
      <c r="F242" t="inlineStr">
        <is>
          <t>VÄSTRA GÖTALANDS LÄN</t>
        </is>
      </c>
      <c r="G242" t="inlineStr">
        <is>
          <t>BORÅS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45538</v>
      </c>
      <c r="E243" s="1" t="n">
        <v>46248</v>
      </c>
      <c r="F243" t="inlineStr">
        <is>
          <t>VÄSTRA GÖTALANDS LÄN</t>
        </is>
      </c>
      <c r="G243" t="inlineStr">
        <is>
          <t>BORÅS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46248</v>
      </c>
      <c r="F244" t="inlineStr">
        <is>
          <t>VÄSTRA GÖTALANDS LÄN</t>
        </is>
      </c>
      <c r="G244" t="inlineStr">
        <is>
          <t>BORÅS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46248</v>
      </c>
      <c r="F245" t="inlineStr">
        <is>
          <t>VÄSTRA GÖTALANDS LÄN</t>
        </is>
      </c>
      <c r="G245" t="inlineStr">
        <is>
          <t>BORÅS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46248</v>
      </c>
      <c r="F246" t="inlineStr">
        <is>
          <t>VÄSTRA GÖTALANDS LÄN</t>
        </is>
      </c>
      <c r="G246" t="inlineStr">
        <is>
          <t>BORÅS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46248</v>
      </c>
      <c r="F247" t="inlineStr">
        <is>
          <t>VÄSTRA GÖTALANDS LÄN</t>
        </is>
      </c>
      <c r="G247" t="inlineStr">
        <is>
          <t>BORÅS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46248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46248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46248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46248</v>
      </c>
      <c r="F251" t="inlineStr">
        <is>
          <t>VÄSTRA GÖTALANDS LÄN</t>
        </is>
      </c>
      <c r="G251" t="inlineStr">
        <is>
          <t>BORÅS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46248</v>
      </c>
      <c r="F252" t="inlineStr">
        <is>
          <t>VÄSTRA GÖTALANDS LÄN</t>
        </is>
      </c>
      <c r="G252" t="inlineStr">
        <is>
          <t>BORÅS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46248</v>
      </c>
      <c r="F253" t="inlineStr">
        <is>
          <t>VÄSTRA GÖTALANDS LÄN</t>
        </is>
      </c>
      <c r="G253" t="inlineStr">
        <is>
          <t>BORÅS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58734-2021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44489</v>
      </c>
      <c r="E254" s="1" t="n">
        <v>46248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44489</v>
      </c>
      <c r="E255" s="1" t="n">
        <v>46248</v>
      </c>
      <c r="F255" t="inlineStr">
        <is>
          <t>VÄSTRA GÖTALANDS LÄN</t>
        </is>
      </c>
      <c r="G255" t="inlineStr">
        <is>
          <t>BORÅS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46248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46248</v>
      </c>
      <c r="F257" t="inlineStr">
        <is>
          <t>VÄSTRA GÖTALANDS LÄN</t>
        </is>
      </c>
      <c r="G257" t="inlineStr">
        <is>
          <t>BORÅS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27334-2024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45472</v>
      </c>
      <c r="E258" s="1" t="n">
        <v>46248</v>
      </c>
      <c r="F258" t="inlineStr">
        <is>
          <t>VÄSTRA GÖTALANDS LÄN</t>
        </is>
      </c>
      <c r="G258" t="inlineStr">
        <is>
          <t>BORÅS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45186</v>
      </c>
      <c r="E259" s="1" t="n">
        <v>46248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46248</v>
      </c>
      <c r="F260" t="inlineStr">
        <is>
          <t>VÄSTRA GÖTALANDS LÄN</t>
        </is>
      </c>
      <c r="G260" t="inlineStr">
        <is>
          <t>BORÅS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46248</v>
      </c>
      <c r="F261" t="inlineStr">
        <is>
          <t>VÄSTRA GÖTALANDS LÄN</t>
        </is>
      </c>
      <c r="G261" t="inlineStr">
        <is>
          <t>BORÅS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45412</v>
      </c>
      <c r="E262" s="1" t="n">
        <v>46248</v>
      </c>
      <c r="F262" t="inlineStr">
        <is>
          <t>VÄSTRA GÖTALANDS LÄN</t>
        </is>
      </c>
      <c r="G262" t="inlineStr">
        <is>
          <t>BORÅS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45357</v>
      </c>
      <c r="E263" s="1" t="n">
        <v>46248</v>
      </c>
      <c r="F263" t="inlineStr">
        <is>
          <t>VÄSTRA GÖTALANDS LÄN</t>
        </is>
      </c>
      <c r="G263" t="inlineStr">
        <is>
          <t>BORÅS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46248</v>
      </c>
      <c r="F264" t="inlineStr">
        <is>
          <t>VÄSTRA GÖTALANDS LÄN</t>
        </is>
      </c>
      <c r="G264" t="inlineStr">
        <is>
          <t>BORÅS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46248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44581</v>
      </c>
      <c r="E266" s="1" t="n">
        <v>46248</v>
      </c>
      <c r="F266" t="inlineStr">
        <is>
          <t>VÄSTRA GÖTALANDS LÄN</t>
        </is>
      </c>
      <c r="G266" t="inlineStr">
        <is>
          <t>BORÅS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46248</v>
      </c>
      <c r="F267" t="inlineStr">
        <is>
          <t>VÄSTRA GÖTALANDS LÄN</t>
        </is>
      </c>
      <c r="G267" t="inlineStr">
        <is>
          <t>BORÅS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46248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45477</v>
      </c>
      <c r="E269" s="1" t="n">
        <v>46248</v>
      </c>
      <c r="F269" t="inlineStr">
        <is>
          <t>VÄSTRA GÖTALANDS LÄN</t>
        </is>
      </c>
      <c r="G269" t="inlineStr">
        <is>
          <t>BORÅS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32163-2023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45119</v>
      </c>
      <c r="E270" s="1" t="n">
        <v>46248</v>
      </c>
      <c r="F270" t="inlineStr">
        <is>
          <t>VÄSTRA GÖTALANDS LÄN</t>
        </is>
      </c>
      <c r="G270" t="inlineStr">
        <is>
          <t>BORÅS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44771</v>
      </c>
      <c r="E271" s="1" t="n">
        <v>46248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Kyrkan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46248</v>
      </c>
      <c r="F272" t="inlineStr">
        <is>
          <t>VÄSTRA GÖTALANDS LÄN</t>
        </is>
      </c>
      <c r="G272" t="inlineStr">
        <is>
          <t>BORÅS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46248</v>
      </c>
      <c r="F273" t="inlineStr">
        <is>
          <t>VÄSTRA GÖTALANDS LÄN</t>
        </is>
      </c>
      <c r="G273" t="inlineStr">
        <is>
          <t>BORÅS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46248</v>
      </c>
      <c r="F274" t="inlineStr">
        <is>
          <t>VÄSTRA GÖTALANDS LÄN</t>
        </is>
      </c>
      <c r="G274" t="inlineStr">
        <is>
          <t>BORÅS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46248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46248</v>
      </c>
      <c r="F276" t="inlineStr">
        <is>
          <t>VÄSTRA GÖTALANDS LÄN</t>
        </is>
      </c>
      <c r="G276" t="inlineStr">
        <is>
          <t>BORÅS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46248</v>
      </c>
      <c r="F277" t="inlineStr">
        <is>
          <t>VÄSTRA GÖTALANDS LÄN</t>
        </is>
      </c>
      <c r="G277" t="inlineStr">
        <is>
          <t>BORÅS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52957-2022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44875</v>
      </c>
      <c r="E278" s="1" t="n">
        <v>46248</v>
      </c>
      <c r="F278" t="inlineStr">
        <is>
          <t>VÄSTRA GÖTALANDS LÄN</t>
        </is>
      </c>
      <c r="G278" t="inlineStr">
        <is>
          <t>BORÅS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52410-2023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45224</v>
      </c>
      <c r="E279" s="1" t="n">
        <v>46248</v>
      </c>
      <c r="F279" t="inlineStr">
        <is>
          <t>VÄSTRA GÖTALANDS LÄN</t>
        </is>
      </c>
      <c r="G279" t="inlineStr">
        <is>
          <t>BORÅS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46248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Kommuner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45126</v>
      </c>
      <c r="E281" s="1" t="n">
        <v>46248</v>
      </c>
      <c r="F281" t="inlineStr">
        <is>
          <t>VÄSTRA GÖTALANDS LÄN</t>
        </is>
      </c>
      <c r="G281" t="inlineStr">
        <is>
          <t>BORÅS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45120</v>
      </c>
      <c r="E282" s="1" t="n">
        <v>46248</v>
      </c>
      <c r="F282" t="inlineStr">
        <is>
          <t>VÄSTRA GÖTALANDS LÄN</t>
        </is>
      </c>
      <c r="G282" t="inlineStr">
        <is>
          <t>BORÅS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46248</v>
      </c>
      <c r="F283" t="inlineStr">
        <is>
          <t>VÄSTRA GÖTALANDS LÄN</t>
        </is>
      </c>
      <c r="G283" t="inlineStr">
        <is>
          <t>BORÅS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32482-2023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45120</v>
      </c>
      <c r="E284" s="1" t="n">
        <v>46248</v>
      </c>
      <c r="F284" t="inlineStr">
        <is>
          <t>VÄSTRA GÖTALANDS LÄN</t>
        </is>
      </c>
      <c r="G284" t="inlineStr">
        <is>
          <t>BORÅS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46248</v>
      </c>
      <c r="F285" t="inlineStr">
        <is>
          <t>VÄSTRA GÖTALANDS LÄN</t>
        </is>
      </c>
      <c r="G285" t="inlineStr">
        <is>
          <t>BORÅS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46248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46248</v>
      </c>
      <c r="F287" t="inlineStr">
        <is>
          <t>VÄSTRA GÖTALANDS LÄN</t>
        </is>
      </c>
      <c r="G287" t="inlineStr">
        <is>
          <t>BORÅS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46248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46248</v>
      </c>
      <c r="F289" t="inlineStr">
        <is>
          <t>VÄSTRA GÖTALANDS LÄN</t>
        </is>
      </c>
      <c r="G289" t="inlineStr">
        <is>
          <t>BORÅS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45120</v>
      </c>
      <c r="E290" s="1" t="n">
        <v>46248</v>
      </c>
      <c r="F290" t="inlineStr">
        <is>
          <t>VÄSTRA GÖTALANDS LÄN</t>
        </is>
      </c>
      <c r="G290" t="inlineStr">
        <is>
          <t>BORÅS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46248</v>
      </c>
      <c r="F291" t="inlineStr">
        <is>
          <t>VÄSTRA GÖTALANDS LÄN</t>
        </is>
      </c>
      <c r="G291" t="inlineStr">
        <is>
          <t>BORÅS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46248</v>
      </c>
      <c r="F292" t="inlineStr">
        <is>
          <t>VÄSTRA GÖTALANDS LÄN</t>
        </is>
      </c>
      <c r="G292" t="inlineStr">
        <is>
          <t>BORÅS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46248</v>
      </c>
      <c r="F293" t="inlineStr">
        <is>
          <t>VÄSTRA GÖTALANDS LÄN</t>
        </is>
      </c>
      <c r="G293" t="inlineStr">
        <is>
          <t>BORÅS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32234-2023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46248</v>
      </c>
      <c r="F294" t="inlineStr">
        <is>
          <t>VÄSTRA GÖTALANDS LÄN</t>
        </is>
      </c>
      <c r="G294" t="inlineStr">
        <is>
          <t>BORÅS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45575</v>
      </c>
      <c r="E295" s="1" t="n">
        <v>46248</v>
      </c>
      <c r="F295" t="inlineStr">
        <is>
          <t>VÄSTRA GÖTALANDS LÄN</t>
        </is>
      </c>
      <c r="G295" t="inlineStr">
        <is>
          <t>BORÅS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45412</v>
      </c>
      <c r="E296" s="1" t="n">
        <v>46248</v>
      </c>
      <c r="F296" t="inlineStr">
        <is>
          <t>VÄSTRA GÖTALANDS LÄN</t>
        </is>
      </c>
      <c r="G296" t="inlineStr">
        <is>
          <t>BORÅS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46248</v>
      </c>
      <c r="F297" t="inlineStr">
        <is>
          <t>VÄSTRA GÖTALANDS LÄN</t>
        </is>
      </c>
      <c r="G297" t="inlineStr">
        <is>
          <t>BORÅS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45525</v>
      </c>
      <c r="E298" s="1" t="n">
        <v>46248</v>
      </c>
      <c r="F298" t="inlineStr">
        <is>
          <t>VÄSTRA GÖTALANDS LÄN</t>
        </is>
      </c>
      <c r="G298" t="inlineStr">
        <is>
          <t>BORÅS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46248</v>
      </c>
      <c r="F299" t="inlineStr">
        <is>
          <t>VÄSTRA GÖTALANDS LÄN</t>
        </is>
      </c>
      <c r="G299" t="inlineStr">
        <is>
          <t>BORÅS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46248</v>
      </c>
      <c r="F300" t="inlineStr">
        <is>
          <t>VÄSTRA GÖTALANDS LÄN</t>
        </is>
      </c>
      <c r="G300" t="inlineStr">
        <is>
          <t>BORÅS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46248</v>
      </c>
      <c r="F301" t="inlineStr">
        <is>
          <t>VÄSTRA GÖTALANDS LÄN</t>
        </is>
      </c>
      <c r="G301" t="inlineStr">
        <is>
          <t>BORÅS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45268</v>
      </c>
      <c r="E302" s="1" t="n">
        <v>46248</v>
      </c>
      <c r="F302" t="inlineStr">
        <is>
          <t>VÄSTRA GÖTALANDS LÄN</t>
        </is>
      </c>
      <c r="G302" t="inlineStr">
        <is>
          <t>BORÅS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56684-2022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44888</v>
      </c>
      <c r="E303" s="1" t="n">
        <v>46248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Kyrkan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2008-2024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45308</v>
      </c>
      <c r="E304" s="1" t="n">
        <v>46248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46248</v>
      </c>
      <c r="F305" t="inlineStr">
        <is>
          <t>VÄSTRA GÖTALANDS LÄN</t>
        </is>
      </c>
      <c r="G305" t="inlineStr">
        <is>
          <t>BORÅS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65200-2023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45289</v>
      </c>
      <c r="E306" s="1" t="n">
        <v>46248</v>
      </c>
      <c r="F306" t="inlineStr">
        <is>
          <t>VÄSTRA GÖTALANDS LÄN</t>
        </is>
      </c>
      <c r="G306" t="inlineStr">
        <is>
          <t>BORÅS</t>
        </is>
      </c>
      <c r="I306" t="n">
        <v>12.5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45770</v>
      </c>
      <c r="E307" s="1" t="n">
        <v>46248</v>
      </c>
      <c r="F307" t="inlineStr">
        <is>
          <t>VÄSTRA GÖTALANDS LÄN</t>
        </is>
      </c>
      <c r="G307" t="inlineStr">
        <is>
          <t>BORÅS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45120</v>
      </c>
      <c r="E308" s="1" t="n">
        <v>46248</v>
      </c>
      <c r="F308" t="inlineStr">
        <is>
          <t>VÄSTRA GÖTALANDS LÄN</t>
        </is>
      </c>
      <c r="G308" t="inlineStr">
        <is>
          <t>BORÅS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32473-2023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45120</v>
      </c>
      <c r="E309" s="1" t="n">
        <v>46248</v>
      </c>
      <c r="F309" t="inlineStr">
        <is>
          <t>VÄSTRA GÖTALANDS LÄN</t>
        </is>
      </c>
      <c r="G309" t="inlineStr">
        <is>
          <t>BORÅS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46248</v>
      </c>
      <c r="F310" t="inlineStr">
        <is>
          <t>VÄSTRA GÖTALANDS LÄN</t>
        </is>
      </c>
      <c r="G310" t="inlineStr">
        <is>
          <t>BORÅS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46248</v>
      </c>
      <c r="F311" t="inlineStr">
        <is>
          <t>VÄSTRA GÖTALANDS LÄN</t>
        </is>
      </c>
      <c r="G311" t="inlineStr">
        <is>
          <t>BORÅS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46248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45769</v>
      </c>
      <c r="E313" s="1" t="n">
        <v>46248</v>
      </c>
      <c r="F313" t="inlineStr">
        <is>
          <t>VÄSTRA GÖTALANDS LÄN</t>
        </is>
      </c>
      <c r="G313" t="inlineStr">
        <is>
          <t>BORÅS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45579</v>
      </c>
      <c r="E314" s="1" t="n">
        <v>46248</v>
      </c>
      <c r="F314" t="inlineStr">
        <is>
          <t>VÄSTRA GÖTALANDS LÄN</t>
        </is>
      </c>
      <c r="G314" t="inlineStr">
        <is>
          <t>BORÅS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44941</v>
      </c>
      <c r="E315" s="1" t="n">
        <v>46248</v>
      </c>
      <c r="F315" t="inlineStr">
        <is>
          <t>VÄSTRA GÖTALANDS LÄN</t>
        </is>
      </c>
      <c r="G315" t="inlineStr">
        <is>
          <t>BORÅS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46248</v>
      </c>
      <c r="F316" t="inlineStr">
        <is>
          <t>VÄSTRA GÖTALANDS LÄN</t>
        </is>
      </c>
      <c r="G316" t="inlineStr">
        <is>
          <t>BORÅS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46248</v>
      </c>
      <c r="F317" t="inlineStr">
        <is>
          <t>VÄSTRA GÖTALANDS LÄN</t>
        </is>
      </c>
      <c r="G317" t="inlineStr">
        <is>
          <t>BORÅS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46248</v>
      </c>
      <c r="F318" t="inlineStr">
        <is>
          <t>VÄSTRA GÖTALANDS LÄN</t>
        </is>
      </c>
      <c r="G318" t="inlineStr">
        <is>
          <t>BORÅS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46248</v>
      </c>
      <c r="F319" t="inlineStr">
        <is>
          <t>VÄSTRA GÖTALANDS LÄN</t>
        </is>
      </c>
      <c r="G319" t="inlineStr">
        <is>
          <t>BORÅS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46248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Kommuner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46248</v>
      </c>
      <c r="F321" t="inlineStr">
        <is>
          <t>VÄSTRA GÖTALANDS LÄN</t>
        </is>
      </c>
      <c r="G321" t="inlineStr">
        <is>
          <t>BORÅS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46248</v>
      </c>
      <c r="F322" t="inlineStr">
        <is>
          <t>VÄSTRA GÖTALANDS LÄN</t>
        </is>
      </c>
      <c r="G322" t="inlineStr">
        <is>
          <t>BORÅS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46248</v>
      </c>
      <c r="F323" t="inlineStr">
        <is>
          <t>VÄSTRA GÖTALANDS LÄN</t>
        </is>
      </c>
      <c r="G323" t="inlineStr">
        <is>
          <t>BORÅS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45097</v>
      </c>
      <c r="E324" s="1" t="n">
        <v>46248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46248</v>
      </c>
      <c r="F325" t="inlineStr">
        <is>
          <t>VÄSTRA GÖTALANDS LÄN</t>
        </is>
      </c>
      <c r="G325" t="inlineStr">
        <is>
          <t>BORÅS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44564</v>
      </c>
      <c r="E326" s="1" t="n">
        <v>46248</v>
      </c>
      <c r="F326" t="inlineStr">
        <is>
          <t>VÄSTRA GÖTALANDS LÄN</t>
        </is>
      </c>
      <c r="G326" t="inlineStr">
        <is>
          <t>BORÅS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45058</v>
      </c>
      <c r="E327" s="1" t="n">
        <v>46248</v>
      </c>
      <c r="F327" t="inlineStr">
        <is>
          <t>VÄSTRA GÖTALANDS LÄN</t>
        </is>
      </c>
      <c r="G327" t="inlineStr">
        <is>
          <t>BORÅS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46248</v>
      </c>
      <c r="F328" t="inlineStr">
        <is>
          <t>VÄSTRA GÖTALANDS LÄN</t>
        </is>
      </c>
      <c r="G328" t="inlineStr">
        <is>
          <t>BORÅS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46248</v>
      </c>
      <c r="F329" t="inlineStr">
        <is>
          <t>VÄSTRA GÖTALANDS LÄN</t>
        </is>
      </c>
      <c r="G329" t="inlineStr">
        <is>
          <t>BORÅS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45379</v>
      </c>
      <c r="E330" s="1" t="n">
        <v>46248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46248</v>
      </c>
      <c r="F331" t="inlineStr">
        <is>
          <t>VÄSTRA GÖTALANDS LÄN</t>
        </is>
      </c>
      <c r="G331" t="inlineStr">
        <is>
          <t>BORÅS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8240-2022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44609</v>
      </c>
      <c r="E332" s="1" t="n">
        <v>46248</v>
      </c>
      <c r="F332" t="inlineStr">
        <is>
          <t>VÄSTRA GÖTALANDS LÄN</t>
        </is>
      </c>
      <c r="G332" t="inlineStr">
        <is>
          <t>BORÅS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46248</v>
      </c>
      <c r="F333" t="inlineStr">
        <is>
          <t>VÄSTRA GÖTALANDS LÄN</t>
        </is>
      </c>
      <c r="G333" t="inlineStr">
        <is>
          <t>BORÅS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45611</v>
      </c>
      <c r="E334" s="1" t="n">
        <v>46248</v>
      </c>
      <c r="F334" t="inlineStr">
        <is>
          <t>VÄSTRA GÖTALANDS LÄN</t>
        </is>
      </c>
      <c r="G334" t="inlineStr">
        <is>
          <t>BORÅS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45321</v>
      </c>
      <c r="E335" s="1" t="n">
        <v>46248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45321</v>
      </c>
      <c r="E336" s="1" t="n">
        <v>46248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Kommuner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32443-2023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45120</v>
      </c>
      <c r="E337" s="1" t="n">
        <v>46248</v>
      </c>
      <c r="F337" t="inlineStr">
        <is>
          <t>VÄSTRA GÖTALANDS LÄN</t>
        </is>
      </c>
      <c r="G337" t="inlineStr">
        <is>
          <t>BORÅS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46248</v>
      </c>
      <c r="F338" t="inlineStr">
        <is>
          <t>VÄSTRA GÖTALANDS LÄN</t>
        </is>
      </c>
      <c r="G338" t="inlineStr">
        <is>
          <t>BORÅS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46248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21168-2022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44704</v>
      </c>
      <c r="E340" s="1" t="n">
        <v>46248</v>
      </c>
      <c r="F340" t="inlineStr">
        <is>
          <t>VÄSTRA GÖTALANDS LÄN</t>
        </is>
      </c>
      <c r="G340" t="inlineStr">
        <is>
          <t>BORÅS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44467</v>
      </c>
      <c r="E341" s="1" t="n">
        <v>46248</v>
      </c>
      <c r="F341" t="inlineStr">
        <is>
          <t>VÄSTRA GÖTALANDS LÄN</t>
        </is>
      </c>
      <c r="G341" t="inlineStr">
        <is>
          <t>BORÅS</t>
        </is>
      </c>
      <c r="I341" t="n">
        <v>19.4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45670</v>
      </c>
      <c r="E342" s="1" t="n">
        <v>46248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46538-2021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46248</v>
      </c>
      <c r="F343" t="inlineStr">
        <is>
          <t>VÄSTRA GÖTALANDS LÄN</t>
        </is>
      </c>
      <c r="G343" t="inlineStr">
        <is>
          <t>BORÅS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45798</v>
      </c>
      <c r="E344" s="1" t="n">
        <v>46248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46248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25338-2025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45800</v>
      </c>
      <c r="E346" s="1" t="n">
        <v>46248</v>
      </c>
      <c r="F346" t="inlineStr">
        <is>
          <t>VÄSTRA GÖTALANDS LÄN</t>
        </is>
      </c>
      <c r="G346" t="inlineStr">
        <is>
          <t>BORÅS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46248</v>
      </c>
      <c r="F347" t="inlineStr">
        <is>
          <t>VÄSTRA GÖTALANDS LÄN</t>
        </is>
      </c>
      <c r="G347" t="inlineStr">
        <is>
          <t>BORÅS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45803</v>
      </c>
      <c r="E348" s="1" t="n">
        <v>46248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46248</v>
      </c>
      <c r="F349" t="inlineStr">
        <is>
          <t>VÄSTRA GÖTALANDS LÄN</t>
        </is>
      </c>
      <c r="G349" t="inlineStr">
        <is>
          <t>BORÅS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45671</v>
      </c>
      <c r="E350" s="1" t="n">
        <v>46248</v>
      </c>
      <c r="F350" t="inlineStr">
        <is>
          <t>VÄSTRA GÖTALANDS LÄN</t>
        </is>
      </c>
      <c r="G350" t="inlineStr">
        <is>
          <t>BORÅS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44577</v>
      </c>
      <c r="E351" s="1" t="n">
        <v>46248</v>
      </c>
      <c r="F351" t="inlineStr">
        <is>
          <t>VÄSTRA GÖTALANDS LÄN</t>
        </is>
      </c>
      <c r="G351" t="inlineStr">
        <is>
          <t>BORÅS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45561</v>
      </c>
      <c r="E352" s="1" t="n">
        <v>46248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27335-2024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45472</v>
      </c>
      <c r="E353" s="1" t="n">
        <v>46248</v>
      </c>
      <c r="F353" t="inlineStr">
        <is>
          <t>VÄSTRA GÖTALANDS LÄN</t>
        </is>
      </c>
      <c r="G353" t="inlineStr">
        <is>
          <t>BORÅS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46248</v>
      </c>
      <c r="F354" t="inlineStr">
        <is>
          <t>VÄSTRA GÖTALANDS LÄN</t>
        </is>
      </c>
      <c r="G354" t="inlineStr">
        <is>
          <t>BORÅS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32170-2023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46248</v>
      </c>
      <c r="F355" t="inlineStr">
        <is>
          <t>VÄSTRA GÖTALANDS LÄN</t>
        </is>
      </c>
      <c r="G355" t="inlineStr">
        <is>
          <t>BORÅS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46248</v>
      </c>
      <c r="F356" t="inlineStr">
        <is>
          <t>VÄSTRA GÖTALANDS LÄN</t>
        </is>
      </c>
      <c r="G356" t="inlineStr">
        <is>
          <t>BORÅS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46248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46248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46248</v>
      </c>
      <c r="F359" t="inlineStr">
        <is>
          <t>VÄSTRA GÖTALANDS LÄN</t>
        </is>
      </c>
      <c r="G359" t="inlineStr">
        <is>
          <t>BORÅS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46248</v>
      </c>
      <c r="F360" t="inlineStr">
        <is>
          <t>VÄSTRA GÖTALANDS LÄN</t>
        </is>
      </c>
      <c r="G360" t="inlineStr">
        <is>
          <t>BORÅS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62532-2022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44916</v>
      </c>
      <c r="E361" s="1" t="n">
        <v>46248</v>
      </c>
      <c r="F361" t="inlineStr">
        <is>
          <t>VÄSTRA GÖTALANDS LÄN</t>
        </is>
      </c>
      <c r="G361" t="inlineStr">
        <is>
          <t>BORÅS</t>
        </is>
      </c>
      <c r="I361" t="n">
        <v>9.800000000000001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46248</v>
      </c>
      <c r="F362" t="inlineStr">
        <is>
          <t>VÄSTRA GÖTALANDS LÄN</t>
        </is>
      </c>
      <c r="G362" t="inlineStr">
        <is>
          <t>BORÅS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32452-2023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45120</v>
      </c>
      <c r="E363" s="1" t="n">
        <v>46248</v>
      </c>
      <c r="F363" t="inlineStr">
        <is>
          <t>VÄSTRA GÖTALANDS LÄN</t>
        </is>
      </c>
      <c r="G363" t="inlineStr">
        <is>
          <t>BORÅS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46248</v>
      </c>
      <c r="F364" t="inlineStr">
        <is>
          <t>VÄSTRA GÖTALANDS LÄN</t>
        </is>
      </c>
      <c r="G364" t="inlineStr">
        <is>
          <t>BORÅS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27039-2022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44740</v>
      </c>
      <c r="E365" s="1" t="n">
        <v>46248</v>
      </c>
      <c r="F365" t="inlineStr">
        <is>
          <t>VÄSTRA GÖTALANDS LÄN</t>
        </is>
      </c>
      <c r="G365" t="inlineStr">
        <is>
          <t>BORÅS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46248</v>
      </c>
      <c r="F366" t="inlineStr">
        <is>
          <t>VÄSTRA GÖTALANDS LÄN</t>
        </is>
      </c>
      <c r="G366" t="inlineStr">
        <is>
          <t>BORÅS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46248</v>
      </c>
      <c r="F367" t="inlineStr">
        <is>
          <t>VÄSTRA GÖTALANDS LÄN</t>
        </is>
      </c>
      <c r="G367" t="inlineStr">
        <is>
          <t>BORÅS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44656</v>
      </c>
      <c r="E368" s="1" t="n">
        <v>46248</v>
      </c>
      <c r="F368" t="inlineStr">
        <is>
          <t>VÄSTRA GÖTALANDS LÄN</t>
        </is>
      </c>
      <c r="G368" t="inlineStr">
        <is>
          <t>BORÅS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45812</v>
      </c>
      <c r="E369" s="1" t="n">
        <v>46248</v>
      </c>
      <c r="F369" t="inlineStr">
        <is>
          <t>VÄSTRA GÖTALANDS LÄN</t>
        </is>
      </c>
      <c r="G369" t="inlineStr">
        <is>
          <t>BORÅS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46248</v>
      </c>
      <c r="F370" t="inlineStr">
        <is>
          <t>VÄSTRA GÖTALANDS LÄN</t>
        </is>
      </c>
      <c r="G370" t="inlineStr">
        <is>
          <t>BORÅS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44837</v>
      </c>
      <c r="E371" s="1" t="n">
        <v>46248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27370-2025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45812</v>
      </c>
      <c r="E372" s="1" t="n">
        <v>46248</v>
      </c>
      <c r="F372" t="inlineStr">
        <is>
          <t>VÄSTRA GÖTALANDS LÄN</t>
        </is>
      </c>
      <c r="G372" t="inlineStr">
        <is>
          <t>BORÅS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46420-2024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46248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45817</v>
      </c>
      <c r="E374" s="1" t="n">
        <v>46248</v>
      </c>
      <c r="F374" t="inlineStr">
        <is>
          <t>VÄSTRA GÖTALANDS LÄN</t>
        </is>
      </c>
      <c r="G374" t="inlineStr">
        <is>
          <t>BORÅS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45048</v>
      </c>
      <c r="E375" s="1" t="n">
        <v>46248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45817</v>
      </c>
      <c r="E376" s="1" t="n">
        <v>46248</v>
      </c>
      <c r="F376" t="inlineStr">
        <is>
          <t>VÄSTRA GÖTALANDS LÄN</t>
        </is>
      </c>
      <c r="G376" t="inlineStr">
        <is>
          <t>BORÅS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13436-2025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45735</v>
      </c>
      <c r="E377" s="1" t="n">
        <v>46248</v>
      </c>
      <c r="F377" t="inlineStr">
        <is>
          <t>VÄSTRA GÖTALANDS LÄN</t>
        </is>
      </c>
      <c r="G377" t="inlineStr">
        <is>
          <t>BORÅS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28536-2025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46248</v>
      </c>
      <c r="F378" t="inlineStr">
        <is>
          <t>VÄSTRA GÖTALANDS LÄN</t>
        </is>
      </c>
      <c r="G378" t="inlineStr">
        <is>
          <t>BORÅS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28171-2022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44746</v>
      </c>
      <c r="E379" s="1" t="n">
        <v>46248</v>
      </c>
      <c r="F379" t="inlineStr">
        <is>
          <t>VÄSTRA GÖTALANDS LÄN</t>
        </is>
      </c>
      <c r="G379" t="inlineStr">
        <is>
          <t>BORÅS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46248</v>
      </c>
      <c r="F380" t="inlineStr">
        <is>
          <t>VÄSTRA GÖTALANDS LÄN</t>
        </is>
      </c>
      <c r="G380" t="inlineStr">
        <is>
          <t>BORÅS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45119</v>
      </c>
      <c r="E381" s="1" t="n">
        <v>46248</v>
      </c>
      <c r="F381" t="inlineStr">
        <is>
          <t>VÄSTRA GÖTALANDS LÄN</t>
        </is>
      </c>
      <c r="G381" t="inlineStr">
        <is>
          <t>BORÅS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46248</v>
      </c>
      <c r="F382" t="inlineStr">
        <is>
          <t>VÄSTRA GÖTALANDS LÄN</t>
        </is>
      </c>
      <c r="G382" t="inlineStr">
        <is>
          <t>BORÅS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46248</v>
      </c>
      <c r="F383" t="inlineStr">
        <is>
          <t>VÄSTRA GÖTALANDS LÄN</t>
        </is>
      </c>
      <c r="G383" t="inlineStr">
        <is>
          <t>BORÅS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44844</v>
      </c>
      <c r="E384" s="1" t="n">
        <v>46248</v>
      </c>
      <c r="F384" t="inlineStr">
        <is>
          <t>VÄSTRA GÖTALANDS LÄN</t>
        </is>
      </c>
      <c r="G384" t="inlineStr">
        <is>
          <t>BORÅS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45472</v>
      </c>
      <c r="E385" s="1" t="n">
        <v>46248</v>
      </c>
      <c r="F385" t="inlineStr">
        <is>
          <t>VÄSTRA GÖTALANDS LÄN</t>
        </is>
      </c>
      <c r="G385" t="inlineStr">
        <is>
          <t>BORÅS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45823</v>
      </c>
      <c r="E386" s="1" t="n">
        <v>46248</v>
      </c>
      <c r="F386" t="inlineStr">
        <is>
          <t>VÄSTRA GÖTALANDS LÄN</t>
        </is>
      </c>
      <c r="G386" t="inlineStr">
        <is>
          <t>BORÅS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45516</v>
      </c>
      <c r="E387" s="1" t="n">
        <v>46248</v>
      </c>
      <c r="F387" t="inlineStr">
        <is>
          <t>VÄSTRA GÖTALANDS LÄN</t>
        </is>
      </c>
      <c r="G387" t="inlineStr">
        <is>
          <t>BORÅS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46248</v>
      </c>
      <c r="F388" t="inlineStr">
        <is>
          <t>VÄSTRA GÖTALANDS LÄN</t>
        </is>
      </c>
      <c r="G388" t="inlineStr">
        <is>
          <t>BORÅS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46248</v>
      </c>
      <c r="F389" t="inlineStr">
        <is>
          <t>VÄSTRA GÖTALANDS LÄN</t>
        </is>
      </c>
      <c r="G389" t="inlineStr">
        <is>
          <t>BORÅS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46248</v>
      </c>
      <c r="F390" t="inlineStr">
        <is>
          <t>VÄSTRA GÖTALANDS LÄN</t>
        </is>
      </c>
      <c r="G390" t="inlineStr">
        <is>
          <t>BORÅS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46248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45741</v>
      </c>
      <c r="E392" s="1" t="n">
        <v>46248</v>
      </c>
      <c r="F392" t="inlineStr">
        <is>
          <t>VÄSTRA GÖTALANDS LÄN</t>
        </is>
      </c>
      <c r="G392" t="inlineStr">
        <is>
          <t>BORÅS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45741</v>
      </c>
      <c r="E393" s="1" t="n">
        <v>46248</v>
      </c>
      <c r="F393" t="inlineStr">
        <is>
          <t>VÄSTRA GÖTALANDS LÄN</t>
        </is>
      </c>
      <c r="G393" t="inlineStr">
        <is>
          <t>BORÅS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45720</v>
      </c>
      <c r="E394" s="1" t="n">
        <v>46248</v>
      </c>
      <c r="F394" t="inlineStr">
        <is>
          <t>VÄSTRA GÖTALANDS LÄN</t>
        </is>
      </c>
      <c r="G394" t="inlineStr">
        <is>
          <t>BORÅS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50282-2023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45216</v>
      </c>
      <c r="E395" s="1" t="n">
        <v>46248</v>
      </c>
      <c r="F395" t="inlineStr">
        <is>
          <t>VÄSTRA GÖTALANDS LÄN</t>
        </is>
      </c>
      <c r="G395" t="inlineStr">
        <is>
          <t>BORÅS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11022-2025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46248</v>
      </c>
      <c r="F396" t="inlineStr">
        <is>
          <t>VÄSTRA GÖTALANDS LÄN</t>
        </is>
      </c>
      <c r="G396" t="inlineStr">
        <is>
          <t>BORÅS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30312-2025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45827</v>
      </c>
      <c r="E397" s="1" t="n">
        <v>46248</v>
      </c>
      <c r="F397" t="inlineStr">
        <is>
          <t>VÄSTRA GÖTALANDS LÄN</t>
        </is>
      </c>
      <c r="G397" t="inlineStr">
        <is>
          <t>BORÅS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49191-2021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44454</v>
      </c>
      <c r="E398" s="1" t="n">
        <v>46248</v>
      </c>
      <c r="F398" t="inlineStr">
        <is>
          <t>VÄSTRA GÖTALANDS LÄN</t>
        </is>
      </c>
      <c r="G398" t="inlineStr">
        <is>
          <t>BORÅS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44992</v>
      </c>
      <c r="E399" s="1" t="n">
        <v>46248</v>
      </c>
      <c r="F399" t="inlineStr">
        <is>
          <t>VÄSTRA GÖTALANDS LÄN</t>
        </is>
      </c>
      <c r="G399" t="inlineStr">
        <is>
          <t>BORÅS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46248</v>
      </c>
      <c r="F400" t="inlineStr">
        <is>
          <t>VÄSTRA GÖTALANDS LÄN</t>
        </is>
      </c>
      <c r="G400" t="inlineStr">
        <is>
          <t>BORÅS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45832</v>
      </c>
      <c r="E401" s="1" t="n">
        <v>46248</v>
      </c>
      <c r="F401" t="inlineStr">
        <is>
          <t>VÄSTRA GÖTALANDS LÄN</t>
        </is>
      </c>
      <c r="G401" t="inlineStr">
        <is>
          <t>BORÅS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45888</v>
      </c>
      <c r="E402" s="1" t="n">
        <v>46248</v>
      </c>
      <c r="F402" t="inlineStr">
        <is>
          <t>VÄSTRA GÖTALANDS LÄN</t>
        </is>
      </c>
      <c r="G402" t="inlineStr">
        <is>
          <t>BORÅS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30952-2025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45832</v>
      </c>
      <c r="E403" s="1" t="n">
        <v>46248</v>
      </c>
      <c r="F403" t="inlineStr">
        <is>
          <t>VÄSTRA GÖTALANDS LÄN</t>
        </is>
      </c>
      <c r="G403" t="inlineStr">
        <is>
          <t>BORÅS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45888</v>
      </c>
      <c r="E404" s="1" t="n">
        <v>46248</v>
      </c>
      <c r="F404" t="inlineStr">
        <is>
          <t>VÄSTRA GÖTALANDS LÄN</t>
        </is>
      </c>
      <c r="G404" t="inlineStr">
        <is>
          <t>BORÅS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39082-2025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46248</v>
      </c>
      <c r="F405" t="inlineStr">
        <is>
          <t>VÄSTRA GÖTALANDS LÄN</t>
        </is>
      </c>
      <c r="G405" t="inlineStr">
        <is>
          <t>BORÅS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46248</v>
      </c>
      <c r="F406" t="inlineStr">
        <is>
          <t>VÄSTRA GÖTALANDS LÄN</t>
        </is>
      </c>
      <c r="G406" t="inlineStr">
        <is>
          <t>BORÅS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46248</v>
      </c>
      <c r="F407" t="inlineStr">
        <is>
          <t>VÄSTRA GÖTALANDS LÄN</t>
        </is>
      </c>
      <c r="G407" t="inlineStr">
        <is>
          <t>BORÅS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45421</v>
      </c>
      <c r="E408" s="1" t="n">
        <v>46248</v>
      </c>
      <c r="F408" t="inlineStr">
        <is>
          <t>VÄSTRA GÖTALANDS LÄN</t>
        </is>
      </c>
      <c r="G408" t="inlineStr">
        <is>
          <t>BORÅS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45842</v>
      </c>
      <c r="E409" s="1" t="n">
        <v>46248</v>
      </c>
      <c r="F409" t="inlineStr">
        <is>
          <t>VÄSTRA GÖTALANDS LÄN</t>
        </is>
      </c>
      <c r="G409" t="inlineStr">
        <is>
          <t>BORÅS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46248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45895</v>
      </c>
      <c r="E411" s="1" t="n">
        <v>46248</v>
      </c>
      <c r="F411" t="inlineStr">
        <is>
          <t>VÄSTRA GÖTALANDS LÄN</t>
        </is>
      </c>
      <c r="G411" t="inlineStr">
        <is>
          <t>BORÅS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35480-2025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45855</v>
      </c>
      <c r="E412" s="1" t="n">
        <v>46248</v>
      </c>
      <c r="F412" t="inlineStr">
        <is>
          <t>VÄSTRA GÖTALANDS LÄN</t>
        </is>
      </c>
      <c r="G412" t="inlineStr">
        <is>
          <t>BORÅS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46248</v>
      </c>
      <c r="F413" t="inlineStr">
        <is>
          <t>VÄSTRA GÖTALANDS LÄN</t>
        </is>
      </c>
      <c r="G413" t="inlineStr">
        <is>
          <t>BORÅS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46248</v>
      </c>
      <c r="F414" t="inlineStr">
        <is>
          <t>VÄSTRA GÖTALANDS LÄN</t>
        </is>
      </c>
      <c r="G414" t="inlineStr">
        <is>
          <t>BORÅS</t>
        </is>
      </c>
      <c r="I414" t="n">
        <v>11.7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45839</v>
      </c>
      <c r="E415" s="1" t="n">
        <v>46248</v>
      </c>
      <c r="F415" t="inlineStr">
        <is>
          <t>VÄSTRA GÖTALANDS LÄN</t>
        </is>
      </c>
      <c r="G415" t="inlineStr">
        <is>
          <t>BORÅS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32905-2025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45839</v>
      </c>
      <c r="E416" s="1" t="n">
        <v>46248</v>
      </c>
      <c r="F416" t="inlineStr">
        <is>
          <t>VÄSTRA GÖTALANDS LÄN</t>
        </is>
      </c>
      <c r="G416" t="inlineStr">
        <is>
          <t>BORÅS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45836</v>
      </c>
      <c r="E417" s="1" t="n">
        <v>46248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46248</v>
      </c>
      <c r="F418" t="inlineStr">
        <is>
          <t>VÄSTRA GÖTALANDS LÄN</t>
        </is>
      </c>
      <c r="G418" t="inlineStr">
        <is>
          <t>BORÅS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46248</v>
      </c>
      <c r="F419" t="inlineStr">
        <is>
          <t>VÄSTRA GÖTALANDS LÄN</t>
        </is>
      </c>
      <c r="G419" t="inlineStr">
        <is>
          <t>BORÅS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46248</v>
      </c>
      <c r="F420" t="inlineStr">
        <is>
          <t>VÄSTRA GÖTALANDS LÄN</t>
        </is>
      </c>
      <c r="G420" t="inlineStr">
        <is>
          <t>BORÅS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45836</v>
      </c>
      <c r="E421" s="1" t="n">
        <v>46248</v>
      </c>
      <c r="F421" t="inlineStr">
        <is>
          <t>VÄSTRA GÖTALANDS LÄN</t>
        </is>
      </c>
      <c r="G421" t="inlineStr">
        <is>
          <t>BORÅS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20653-2026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46141</v>
      </c>
      <c r="E422" s="1" t="n">
        <v>46248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45294</v>
      </c>
      <c r="E423" s="1" t="n">
        <v>46248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46248</v>
      </c>
      <c r="F424" t="inlineStr">
        <is>
          <t>VÄSTRA GÖTALANDS LÄN</t>
        </is>
      </c>
      <c r="G424" t="inlineStr">
        <is>
          <t>BORÅS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13955-2024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45392</v>
      </c>
      <c r="E425" s="1" t="n">
        <v>46248</v>
      </c>
      <c r="F425" t="inlineStr">
        <is>
          <t>VÄSTRA GÖTALANDS LÄN</t>
        </is>
      </c>
      <c r="G425" t="inlineStr">
        <is>
          <t>BORÅS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44748</v>
      </c>
      <c r="E426" s="1" t="n">
        <v>46248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Kommuner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46248</v>
      </c>
      <c r="F427" t="inlineStr">
        <is>
          <t>VÄSTRA GÖTALANDS LÄN</t>
        </is>
      </c>
      <c r="G427" t="inlineStr">
        <is>
          <t>BORÅS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19691-2024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45432</v>
      </c>
      <c r="E428" s="1" t="n">
        <v>46248</v>
      </c>
      <c r="F428" t="inlineStr">
        <is>
          <t>VÄSTRA GÖTALANDS LÄN</t>
        </is>
      </c>
      <c r="G428" t="inlineStr">
        <is>
          <t>BORÅS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45846</v>
      </c>
      <c r="E429" s="1" t="n">
        <v>46248</v>
      </c>
      <c r="F429" t="inlineStr">
        <is>
          <t>VÄSTRA GÖTALANDS LÄN</t>
        </is>
      </c>
      <c r="G429" t="inlineStr">
        <is>
          <t>BORÅS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46248</v>
      </c>
      <c r="F430" t="inlineStr">
        <is>
          <t>VÄSTRA GÖTALANDS LÄN</t>
        </is>
      </c>
      <c r="G430" t="inlineStr">
        <is>
          <t>BORÅS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46248</v>
      </c>
      <c r="F431" t="inlineStr">
        <is>
          <t>VÄSTRA GÖTALANDS LÄN</t>
        </is>
      </c>
      <c r="G431" t="inlineStr">
        <is>
          <t>BORÅS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46248</v>
      </c>
      <c r="F432" t="inlineStr">
        <is>
          <t>VÄSTRA GÖTALANDS LÄN</t>
        </is>
      </c>
      <c r="G432" t="inlineStr">
        <is>
          <t>BORÅS</t>
        </is>
      </c>
      <c r="H432" t="inlineStr">
        <is>
          <t>Kommuner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46248</v>
      </c>
      <c r="F433" t="inlineStr">
        <is>
          <t>VÄSTRA GÖTALANDS LÄN</t>
        </is>
      </c>
      <c r="G433" t="inlineStr">
        <is>
          <t>BORÅS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60931-2022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44914</v>
      </c>
      <c r="E434" s="1" t="n">
        <v>46248</v>
      </c>
      <c r="F434" t="inlineStr">
        <is>
          <t>VÄSTRA GÖTALANDS LÄN</t>
        </is>
      </c>
      <c r="G434" t="inlineStr">
        <is>
          <t>BORÅS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46248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46248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45392</v>
      </c>
      <c r="E437" s="1" t="n">
        <v>46248</v>
      </c>
      <c r="F437" t="inlineStr">
        <is>
          <t>VÄSTRA GÖTALANDS LÄN</t>
        </is>
      </c>
      <c r="G437" t="inlineStr">
        <is>
          <t>BORÅS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45870</v>
      </c>
      <c r="E438" s="1" t="n">
        <v>46248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46248</v>
      </c>
      <c r="F439" t="inlineStr">
        <is>
          <t>VÄSTRA GÖTALANDS LÄN</t>
        </is>
      </c>
      <c r="G439" t="inlineStr">
        <is>
          <t>BORÅS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45866</v>
      </c>
      <c r="E440" s="1" t="n">
        <v>46248</v>
      </c>
      <c r="F440" t="inlineStr">
        <is>
          <t>VÄSTRA GÖTALANDS LÄN</t>
        </is>
      </c>
      <c r="G440" t="inlineStr">
        <is>
          <t>BORÅS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14396-2025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45741</v>
      </c>
      <c r="E441" s="1" t="n">
        <v>46248</v>
      </c>
      <c r="F441" t="inlineStr">
        <is>
          <t>VÄSTRA GÖTALANDS LÄN</t>
        </is>
      </c>
      <c r="G441" t="inlineStr">
        <is>
          <t>BORÅS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54361-2022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46248</v>
      </c>
      <c r="F442" t="inlineStr">
        <is>
          <t>VÄSTRA GÖTALANDS LÄN</t>
        </is>
      </c>
      <c r="G442" t="inlineStr">
        <is>
          <t>BORÅS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52904-2024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45610</v>
      </c>
      <c r="E443" s="1" t="n">
        <v>46248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48508-2024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45593</v>
      </c>
      <c r="E444" s="1" t="n">
        <v>46248</v>
      </c>
      <c r="F444" t="inlineStr">
        <is>
          <t>VÄSTRA GÖTALANDS LÄN</t>
        </is>
      </c>
      <c r="G444" t="inlineStr">
        <is>
          <t>BORÅS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47624-2021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44448</v>
      </c>
      <c r="E445" s="1" t="n">
        <v>46248</v>
      </c>
      <c r="F445" t="inlineStr">
        <is>
          <t>VÄSTRA GÖTALANDS LÄN</t>
        </is>
      </c>
      <c r="G445" t="inlineStr">
        <is>
          <t>BORÅS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45582</v>
      </c>
      <c r="E446" s="1" t="n">
        <v>46248</v>
      </c>
      <c r="F446" t="inlineStr">
        <is>
          <t>VÄSTRA GÖTALANDS LÄN</t>
        </is>
      </c>
      <c r="G446" t="inlineStr">
        <is>
          <t>BORÅS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43185-2024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45567</v>
      </c>
      <c r="E447" s="1" t="n">
        <v>46248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53204-2024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45612</v>
      </c>
      <c r="E448" s="1" t="n">
        <v>46248</v>
      </c>
      <c r="F448" t="inlineStr">
        <is>
          <t>VÄSTRA GÖTALANDS LÄN</t>
        </is>
      </c>
      <c r="G448" t="inlineStr">
        <is>
          <t>BORÅS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45629</v>
      </c>
      <c r="E449" s="1" t="n">
        <v>46248</v>
      </c>
      <c r="F449" t="inlineStr">
        <is>
          <t>VÄSTRA GÖTALANDS LÄN</t>
        </is>
      </c>
      <c r="G449" t="inlineStr">
        <is>
          <t>BORÅS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20279-2026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46248</v>
      </c>
      <c r="F450" t="inlineStr">
        <is>
          <t>VÄSTRA GÖTALANDS LÄN</t>
        </is>
      </c>
      <c r="G450" t="inlineStr">
        <is>
          <t>BORÅS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45877</v>
      </c>
      <c r="E451" s="1" t="n">
        <v>46248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45776</v>
      </c>
      <c r="E452" s="1" t="n">
        <v>46248</v>
      </c>
      <c r="F452" t="inlineStr">
        <is>
          <t>VÄSTRA GÖTALANDS LÄN</t>
        </is>
      </c>
      <c r="G452" t="inlineStr">
        <is>
          <t>BORÅS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45935</v>
      </c>
      <c r="E453" s="1" t="n">
        <v>46248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46248</v>
      </c>
      <c r="F454" t="inlineStr">
        <is>
          <t>VÄSTRA GÖTALANDS LÄN</t>
        </is>
      </c>
      <c r="G454" t="inlineStr">
        <is>
          <t>BORÅS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46248</v>
      </c>
      <c r="F455" t="inlineStr">
        <is>
          <t>VÄSTRA GÖTALANDS LÄN</t>
        </is>
      </c>
      <c r="G455" t="inlineStr">
        <is>
          <t>BORÅS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45783</v>
      </c>
      <c r="E456" s="1" t="n">
        <v>46248</v>
      </c>
      <c r="F456" t="inlineStr">
        <is>
          <t>VÄSTRA GÖTALANDS LÄN</t>
        </is>
      </c>
      <c r="G456" t="inlineStr">
        <is>
          <t>BORÅS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46248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46248</v>
      </c>
      <c r="F458" t="inlineStr">
        <is>
          <t>VÄSTRA GÖTALANDS LÄN</t>
        </is>
      </c>
      <c r="G458" t="inlineStr">
        <is>
          <t>BORÅS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21671-2025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45783</v>
      </c>
      <c r="E459" s="1" t="n">
        <v>46248</v>
      </c>
      <c r="F459" t="inlineStr">
        <is>
          <t>VÄSTRA GÖTALANDS LÄN</t>
        </is>
      </c>
      <c r="G459" t="inlineStr">
        <is>
          <t>BORÅS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45475</v>
      </c>
      <c r="E460" s="1" t="n">
        <v>46248</v>
      </c>
      <c r="F460" t="inlineStr">
        <is>
          <t>VÄSTRA GÖTALANDS LÄN</t>
        </is>
      </c>
      <c r="G460" t="inlineStr">
        <is>
          <t>BORÅS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46248</v>
      </c>
      <c r="F461" t="inlineStr">
        <is>
          <t>VÄSTRA GÖTALANDS LÄN</t>
        </is>
      </c>
      <c r="G461" t="inlineStr">
        <is>
          <t>BORÅS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47358-2024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45587</v>
      </c>
      <c r="E462" s="1" t="n">
        <v>46248</v>
      </c>
      <c r="F462" t="inlineStr">
        <is>
          <t>VÄSTRA GÖTALANDS LÄN</t>
        </is>
      </c>
      <c r="G462" t="inlineStr">
        <is>
          <t>BORÅS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46248</v>
      </c>
      <c r="F463" t="inlineStr">
        <is>
          <t>VÄSTRA GÖTALANDS LÄN</t>
        </is>
      </c>
      <c r="G463" t="inlineStr">
        <is>
          <t>BORÅS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22098-2026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46248</v>
      </c>
      <c r="F464" t="inlineStr">
        <is>
          <t>VÄSTRA GÖTALANDS LÄN</t>
        </is>
      </c>
      <c r="G464" t="inlineStr">
        <is>
          <t>BORÅS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45209</v>
      </c>
      <c r="E465" s="1" t="n">
        <v>46248</v>
      </c>
      <c r="F465" t="inlineStr">
        <is>
          <t>VÄSTRA GÖTALANDS LÄN</t>
        </is>
      </c>
      <c r="G465" t="inlineStr">
        <is>
          <t>BORÅS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10681-2025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45721</v>
      </c>
      <c r="E466" s="1" t="n">
        <v>46248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45909</v>
      </c>
      <c r="E467" s="1" t="n">
        <v>46248</v>
      </c>
      <c r="F467" t="inlineStr">
        <is>
          <t>VÄSTRA GÖTALANDS LÄN</t>
        </is>
      </c>
      <c r="G467" t="inlineStr">
        <is>
          <t>BORÅS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46248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45784</v>
      </c>
      <c r="E469" s="1" t="n">
        <v>46248</v>
      </c>
      <c r="F469" t="inlineStr">
        <is>
          <t>VÄSTRA GÖTALANDS LÄN</t>
        </is>
      </c>
      <c r="G469" t="inlineStr">
        <is>
          <t>BORÅS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49584-2024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45596</v>
      </c>
      <c r="E470" s="1" t="n">
        <v>46248</v>
      </c>
      <c r="F470" t="inlineStr">
        <is>
          <t>VÄSTRA GÖTALANDS LÄN</t>
        </is>
      </c>
      <c r="G470" t="inlineStr">
        <is>
          <t>BORÅS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42988-2025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45909</v>
      </c>
      <c r="E471" s="1" t="n">
        <v>46248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Sveaskog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46154</v>
      </c>
      <c r="E472" s="1" t="n">
        <v>46248</v>
      </c>
      <c r="F472" t="inlineStr">
        <is>
          <t>VÄSTRA GÖTALANDS LÄN</t>
        </is>
      </c>
      <c r="G472" t="inlineStr">
        <is>
          <t>BORÅS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46154</v>
      </c>
      <c r="E473" s="1" t="n">
        <v>46248</v>
      </c>
      <c r="F473" t="inlineStr">
        <is>
          <t>VÄSTRA GÖTALANDS LÄN</t>
        </is>
      </c>
      <c r="G473" t="inlineStr">
        <is>
          <t>BORÅS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44987</v>
      </c>
      <c r="E474" s="1" t="n">
        <v>46248</v>
      </c>
      <c r="F474" t="inlineStr">
        <is>
          <t>VÄSTRA GÖTALANDS LÄN</t>
        </is>
      </c>
      <c r="G474" t="inlineStr">
        <is>
          <t>BORÅS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22734-2025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45789</v>
      </c>
      <c r="E475" s="1" t="n">
        <v>46248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45789</v>
      </c>
      <c r="E476" s="1" t="n">
        <v>46248</v>
      </c>
      <c r="F476" t="inlineStr">
        <is>
          <t>VÄSTRA GÖTALANDS LÄN</t>
        </is>
      </c>
      <c r="G476" t="inlineStr">
        <is>
          <t>BORÅS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45142</v>
      </c>
      <c r="E477" s="1" t="n">
        <v>46248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46248</v>
      </c>
      <c r="F478" t="inlineStr">
        <is>
          <t>VÄSTRA GÖTALANDS LÄN</t>
        </is>
      </c>
      <c r="G478" t="inlineStr">
        <is>
          <t>BORÅS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6203-2024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45337</v>
      </c>
      <c r="E479" s="1" t="n">
        <v>46248</v>
      </c>
      <c r="F479" t="inlineStr">
        <is>
          <t>VÄSTRA GÖTALANDS LÄN</t>
        </is>
      </c>
      <c r="G479" t="inlineStr">
        <is>
          <t>BORÅS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45792</v>
      </c>
      <c r="E480" s="1" t="n">
        <v>46248</v>
      </c>
      <c r="F480" t="inlineStr">
        <is>
          <t>VÄSTRA GÖTALANDS LÄN</t>
        </is>
      </c>
      <c r="G480" t="inlineStr">
        <is>
          <t>BORÅS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44777-2025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46248</v>
      </c>
      <c r="F481" t="inlineStr">
        <is>
          <t>VÄSTRA GÖTALANDS LÄN</t>
        </is>
      </c>
      <c r="G481" t="inlineStr">
        <is>
          <t>BORÅS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44825</v>
      </c>
      <c r="E482" s="1" t="n">
        <v>46248</v>
      </c>
      <c r="F482" t="inlineStr">
        <is>
          <t>VÄSTRA GÖTALANDS LÄN</t>
        </is>
      </c>
      <c r="G482" t="inlineStr">
        <is>
          <t>BORÅS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46248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Kommuner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45510-2025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46248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Kommuner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46248</v>
      </c>
      <c r="F485" t="inlineStr">
        <is>
          <t>VÄSTRA GÖTALANDS LÄN</t>
        </is>
      </c>
      <c r="G485" t="inlineStr">
        <is>
          <t>BORÅS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46368-2025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45925</v>
      </c>
      <c r="E486" s="1" t="n">
        <v>46248</v>
      </c>
      <c r="F486" t="inlineStr">
        <is>
          <t>VÄSTRA GÖTALANDS LÄN</t>
        </is>
      </c>
      <c r="G486" t="inlineStr">
        <is>
          <t>BORÅS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46113-2025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46248</v>
      </c>
      <c r="F487" t="inlineStr">
        <is>
          <t>VÄSTRA GÖTALANDS LÄN</t>
        </is>
      </c>
      <c r="G487" t="inlineStr">
        <is>
          <t>BORÅS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46366-2025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45925</v>
      </c>
      <c r="E488" s="1" t="n">
        <v>46248</v>
      </c>
      <c r="F488" t="inlineStr">
        <is>
          <t>VÄSTRA GÖTALANDS LÄN</t>
        </is>
      </c>
      <c r="G488" t="inlineStr">
        <is>
          <t>BORÅS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46967-2025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45929</v>
      </c>
      <c r="E489" s="1" t="n">
        <v>46248</v>
      </c>
      <c r="F489" t="inlineStr">
        <is>
          <t>VÄSTRA GÖTALANDS LÄN</t>
        </is>
      </c>
      <c r="G489" t="inlineStr">
        <is>
          <t>BORÅS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47588-2025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45931</v>
      </c>
      <c r="E490" s="1" t="n">
        <v>46248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Kommuner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45931</v>
      </c>
      <c r="E491" s="1" t="n">
        <v>46248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Kommuner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46248</v>
      </c>
      <c r="F492" t="inlineStr">
        <is>
          <t>VÄSTRA GÖTALANDS LÄN</t>
        </is>
      </c>
      <c r="G492" t="inlineStr">
        <is>
          <t>BORÅS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47594-2025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46248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Kommuner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45935</v>
      </c>
      <c r="E494" s="1" t="n">
        <v>46248</v>
      </c>
      <c r="F494" t="inlineStr">
        <is>
          <t>VÄSTRA GÖTALANDS LÄN</t>
        </is>
      </c>
      <c r="G494" t="inlineStr">
        <is>
          <t>BORÅS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48445-2025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45935</v>
      </c>
      <c r="E495" s="1" t="n">
        <v>46248</v>
      </c>
      <c r="F495" t="inlineStr">
        <is>
          <t>VÄSTRA GÖTALANDS LÄN</t>
        </is>
      </c>
      <c r="G495" t="inlineStr">
        <is>
          <t>BORÅS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45937</v>
      </c>
      <c r="E496" s="1" t="n">
        <v>46248</v>
      </c>
      <c r="F496" t="inlineStr">
        <is>
          <t>VÄSTRA GÖTALANDS LÄN</t>
        </is>
      </c>
      <c r="G496" t="inlineStr">
        <is>
          <t>BORÅS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49262-2025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46248</v>
      </c>
      <c r="F497" t="inlineStr">
        <is>
          <t>VÄSTRA GÖTALANDS LÄN</t>
        </is>
      </c>
      <c r="G497" t="inlineStr">
        <is>
          <t>BORÅS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46248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50069-2025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45943</v>
      </c>
      <c r="E499" s="1" t="n">
        <v>46248</v>
      </c>
      <c r="F499" t="inlineStr">
        <is>
          <t>VÄSTRA GÖTALANDS LÄN</t>
        </is>
      </c>
      <c r="G499" t="inlineStr">
        <is>
          <t>BORÅS</t>
        </is>
      </c>
      <c r="H499" t="inlineStr">
        <is>
          <t>Kommuner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49078-2025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46248</v>
      </c>
      <c r="F500" t="inlineStr">
        <is>
          <t>VÄSTRA GÖTALANDS LÄN</t>
        </is>
      </c>
      <c r="G500" t="inlineStr">
        <is>
          <t>BORÅS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51196-2025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46248</v>
      </c>
      <c r="F501" t="inlineStr">
        <is>
          <t>VÄSTRA GÖTALANDS LÄN</t>
        </is>
      </c>
      <c r="G501" t="inlineStr">
        <is>
          <t>BORÅS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51199-2025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45947</v>
      </c>
      <c r="E502" s="1" t="n">
        <v>46248</v>
      </c>
      <c r="F502" t="inlineStr">
        <is>
          <t>VÄSTRA GÖTALANDS LÄN</t>
        </is>
      </c>
      <c r="G502" t="inlineStr">
        <is>
          <t>BORÅS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46216</v>
      </c>
      <c r="E503" s="1" t="n">
        <v>46248</v>
      </c>
      <c r="F503" t="inlineStr">
        <is>
          <t>VÄSTRA GÖTALANDS LÄN</t>
        </is>
      </c>
      <c r="G503" t="inlineStr">
        <is>
          <t>BORÅS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46217</v>
      </c>
      <c r="E504" s="1" t="n">
        <v>46248</v>
      </c>
      <c r="F504" t="inlineStr">
        <is>
          <t>VÄSTRA GÖTALANDS LÄN</t>
        </is>
      </c>
      <c r="G504" t="inlineStr">
        <is>
          <t>BORÅS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46248</v>
      </c>
      <c r="F505" t="inlineStr">
        <is>
          <t>VÄSTRA GÖTALANDS LÄN</t>
        </is>
      </c>
      <c r="G505" t="inlineStr">
        <is>
          <t>BORÅS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44782-2025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45917</v>
      </c>
      <c r="E506" s="1" t="n">
        <v>46248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45952</v>
      </c>
      <c r="E507" s="1" t="n">
        <v>46248</v>
      </c>
      <c r="F507" t="inlineStr">
        <is>
          <t>VÄSTRA GÖTALANDS LÄN</t>
        </is>
      </c>
      <c r="G507" t="inlineStr">
        <is>
          <t>BORÅS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34195-2025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45845</v>
      </c>
      <c r="E508" s="1" t="n">
        <v>46248</v>
      </c>
      <c r="F508" t="inlineStr">
        <is>
          <t>VÄSTRA GÖTALANDS LÄN</t>
        </is>
      </c>
      <c r="G508" t="inlineStr">
        <is>
          <t>BORÅS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45953</v>
      </c>
      <c r="E509" s="1" t="n">
        <v>46248</v>
      </c>
      <c r="F509" t="inlineStr">
        <is>
          <t>VÄSTRA GÖTALANDS LÄN</t>
        </is>
      </c>
      <c r="G509" t="inlineStr">
        <is>
          <t>BORÅS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46176</v>
      </c>
      <c r="E510" s="1" t="n">
        <v>46248</v>
      </c>
      <c r="F510" t="inlineStr">
        <is>
          <t>VÄSTRA GÖTALANDS LÄN</t>
        </is>
      </c>
      <c r="G510" t="inlineStr">
        <is>
          <t>BORÅS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25238-2026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46175</v>
      </c>
      <c r="E511" s="1" t="n">
        <v>46248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45959</v>
      </c>
      <c r="E512" s="1" t="n">
        <v>46248</v>
      </c>
      <c r="F512" t="inlineStr">
        <is>
          <t>VÄSTRA GÖTALANDS LÄN</t>
        </is>
      </c>
      <c r="G512" t="inlineStr">
        <is>
          <t>BORÅS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51810-2025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45951</v>
      </c>
      <c r="E513" s="1" t="n">
        <v>46248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45961</v>
      </c>
      <c r="E514" s="1" t="n">
        <v>46248</v>
      </c>
      <c r="F514" t="inlineStr">
        <is>
          <t>VÄSTRA GÖTALANDS LÄN</t>
        </is>
      </c>
      <c r="G514" t="inlineStr">
        <is>
          <t>BORÅS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45960</v>
      </c>
      <c r="E515" s="1" t="n">
        <v>46248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53942-2025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45961</v>
      </c>
      <c r="E516" s="1" t="n">
        <v>46248</v>
      </c>
      <c r="F516" t="inlineStr">
        <is>
          <t>VÄSTRA GÖTALANDS LÄN</t>
        </is>
      </c>
      <c r="G516" t="inlineStr">
        <is>
          <t>BORÅS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45964</v>
      </c>
      <c r="E517" s="1" t="n">
        <v>46248</v>
      </c>
      <c r="F517" t="inlineStr">
        <is>
          <t>VÄSTRA GÖTALANDS LÄN</t>
        </is>
      </c>
      <c r="G517" t="inlineStr">
        <is>
          <t>BORÅS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46248</v>
      </c>
      <c r="F518" t="inlineStr">
        <is>
          <t>VÄSTRA GÖTALANDS LÄN</t>
        </is>
      </c>
      <c r="G518" t="inlineStr">
        <is>
          <t>BORÅS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46224</v>
      </c>
      <c r="E519" s="1" t="n">
        <v>46248</v>
      </c>
      <c r="F519" t="inlineStr">
        <is>
          <t>VÄSTRA GÖTALANDS LÄN</t>
        </is>
      </c>
      <c r="G519" t="inlineStr">
        <is>
          <t>BORÅS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46248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Kyrkan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46248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Kyrkan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46183</v>
      </c>
      <c r="E522" s="1" t="n">
        <v>46248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Kyrkan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46248</v>
      </c>
      <c r="F523" t="inlineStr">
        <is>
          <t>VÄSTRA GÖTALANDS LÄN</t>
        </is>
      </c>
      <c r="G523" t="inlineStr">
        <is>
          <t>BORÅS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46248</v>
      </c>
      <c r="F524" t="inlineStr">
        <is>
          <t>VÄSTRA GÖTALANDS LÄN</t>
        </is>
      </c>
      <c r="G524" t="inlineStr">
        <is>
          <t>BORÅS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56376-2025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45974</v>
      </c>
      <c r="E525" s="1" t="n">
        <v>46248</v>
      </c>
      <c r="F525" t="inlineStr">
        <is>
          <t>VÄSTRA GÖTALANDS LÄN</t>
        </is>
      </c>
      <c r="G525" t="inlineStr">
        <is>
          <t>BORÅS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27206-2026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46248</v>
      </c>
      <c r="F526" t="inlineStr">
        <is>
          <t>VÄSTRA GÖTALANDS LÄN</t>
        </is>
      </c>
      <c r="G526" t="inlineStr">
        <is>
          <t>BORÅS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46248</v>
      </c>
      <c r="F527" t="inlineStr">
        <is>
          <t>VÄSTRA GÖTALANDS LÄN</t>
        </is>
      </c>
      <c r="G527" t="inlineStr">
        <is>
          <t>BORÅS</t>
        </is>
      </c>
      <c r="H527" t="inlineStr">
        <is>
          <t>Kommuner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45982</v>
      </c>
      <c r="E528" s="1" t="n">
        <v>46248</v>
      </c>
      <c r="F528" t="inlineStr">
        <is>
          <t>VÄSTRA GÖTALANDS LÄN</t>
        </is>
      </c>
      <c r="G528" t="inlineStr">
        <is>
          <t>BORÅS</t>
        </is>
      </c>
      <c r="H528" t="inlineStr">
        <is>
          <t>Kommuner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46248</v>
      </c>
      <c r="F529" t="inlineStr">
        <is>
          <t>VÄSTRA GÖTALANDS LÄN</t>
        </is>
      </c>
      <c r="G529" t="inlineStr">
        <is>
          <t>BORÅS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58304-2025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45982</v>
      </c>
      <c r="E530" s="1" t="n">
        <v>46248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Kommuner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  <c r="X530">
        <f>HYPERLINK("https://klasma.github.io/Logging_1490/kartor/A 58304-2025 karta.png", "A 58304-2025")</f>
        <v/>
      </c>
      <c r="Y530">
        <f>HYPERLINK("https://klasma.github.io/Logging_1490/kartor_geotiff/A 58304-2025 georefererad karta.tif", "A 58304-2025")</f>
        <v/>
      </c>
      <c r="AA530">
        <f>HYPERLINK("https://klasma.github.io/Logging_1490/klagomål/A 58304-2025 FSC-klagomål.docx", "A 58304-2025")</f>
        <v/>
      </c>
      <c r="AB530">
        <f>HYPERLINK("https://klasma.github.io/Logging_1490/klagomålsmail/A 58304-2025 FSC-klagomål mail.docx", "A 58304-2025")</f>
        <v/>
      </c>
      <c r="AC530">
        <f>HYPERLINK("https://klasma.github.io/Logging_1490/tillsyn/A 58304-2025 tillsynsbegäran.docx", "A 58304-2025")</f>
        <v/>
      </c>
      <c r="AD530">
        <f>HYPERLINK("https://klasma.github.io/Logging_1490/tillsynsmail/A 58304-2025 tillsynsbegäran mail.docx", "A 58304-2025")</f>
        <v/>
      </c>
    </row>
    <row r="531" ht="15" customHeight="1">
      <c r="A531" t="inlineStr">
        <is>
          <t>A 59392-2025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45989</v>
      </c>
      <c r="E531" s="1" t="n">
        <v>46248</v>
      </c>
      <c r="F531" t="inlineStr">
        <is>
          <t>VÄSTRA GÖTALANDS LÄN</t>
        </is>
      </c>
      <c r="G531" t="inlineStr">
        <is>
          <t>BORÅS</t>
        </is>
      </c>
      <c r="H531" t="inlineStr">
        <is>
          <t>Kyrkan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45988</v>
      </c>
      <c r="E532" s="1" t="n">
        <v>46248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45992</v>
      </c>
      <c r="E533" s="1" t="n">
        <v>46248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45994</v>
      </c>
      <c r="E534" s="1" t="n">
        <v>46248</v>
      </c>
      <c r="F534" t="inlineStr">
        <is>
          <t>VÄSTRA GÖTALANDS LÄN</t>
        </is>
      </c>
      <c r="G534" t="inlineStr">
        <is>
          <t>BORÅS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46248</v>
      </c>
      <c r="F535" t="inlineStr">
        <is>
          <t>VÄSTRA GÖTALANDS LÄN</t>
        </is>
      </c>
      <c r="G535" t="inlineStr">
        <is>
          <t>BORÅS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46248</v>
      </c>
      <c r="F536" t="inlineStr">
        <is>
          <t>VÄSTRA GÖTALANDS LÄN</t>
        </is>
      </c>
      <c r="G536" t="inlineStr">
        <is>
          <t>BORÅS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46248</v>
      </c>
      <c r="F537" t="inlineStr">
        <is>
          <t>VÄSTRA GÖTALANDS LÄN</t>
        </is>
      </c>
      <c r="G537" t="inlineStr">
        <is>
          <t>BORÅS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60617-2025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45996</v>
      </c>
      <c r="E538" s="1" t="n">
        <v>46248</v>
      </c>
      <c r="F538" t="inlineStr">
        <is>
          <t>VÄSTRA GÖTALANDS LÄN</t>
        </is>
      </c>
      <c r="G538" t="inlineStr">
        <is>
          <t>BORÅS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29513-2026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46248</v>
      </c>
      <c r="F539" t="inlineStr">
        <is>
          <t>VÄSTRA GÖTALANDS LÄN</t>
        </is>
      </c>
      <c r="G539" t="inlineStr">
        <is>
          <t>BORÅS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45308</v>
      </c>
      <c r="E540" s="1" t="n">
        <v>46248</v>
      </c>
      <c r="F540" t="inlineStr">
        <is>
          <t>VÄSTRA GÖTALANDS LÄN</t>
        </is>
      </c>
      <c r="G540" t="inlineStr">
        <is>
          <t>BORÅS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46248</v>
      </c>
      <c r="F541" t="inlineStr">
        <is>
          <t>VÄSTRA GÖTALANDS LÄN</t>
        </is>
      </c>
      <c r="G541" t="inlineStr">
        <is>
          <t>BORÅS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46248</v>
      </c>
      <c r="F542" t="inlineStr">
        <is>
          <t>VÄSTRA GÖTALANDS LÄN</t>
        </is>
      </c>
      <c r="G542" t="inlineStr">
        <is>
          <t>BORÅS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46248</v>
      </c>
      <c r="F543" t="inlineStr">
        <is>
          <t>VÄSTRA GÖTALANDS LÄN</t>
        </is>
      </c>
      <c r="G543" t="inlineStr">
        <is>
          <t>BORÅS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46248</v>
      </c>
      <c r="F544" t="inlineStr">
        <is>
          <t>VÄSTRA GÖTALANDS LÄN</t>
        </is>
      </c>
      <c r="G544" t="inlineStr">
        <is>
          <t>BORÅS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45294</v>
      </c>
      <c r="E545" s="1" t="n">
        <v>46248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46248</v>
      </c>
      <c r="F546" t="inlineStr">
        <is>
          <t>VÄSTRA GÖTALANDS LÄN</t>
        </is>
      </c>
      <c r="G546" t="inlineStr">
        <is>
          <t>BORÅS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46248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Kyrkan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46248</v>
      </c>
      <c r="F548" t="inlineStr">
        <is>
          <t>VÄSTRA GÖTALANDS LÄN</t>
        </is>
      </c>
      <c r="G548" t="inlineStr">
        <is>
          <t>BORÅS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62850-2025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46248</v>
      </c>
      <c r="F549" t="inlineStr">
        <is>
          <t>VÄSTRA GÖTALANDS LÄN</t>
        </is>
      </c>
      <c r="G549" t="inlineStr">
        <is>
          <t>BORÅS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46248</v>
      </c>
      <c r="F550" t="inlineStr">
        <is>
          <t>VÄSTRA GÖTALANDS LÄN</t>
        </is>
      </c>
      <c r="G550" t="inlineStr">
        <is>
          <t>BORÅS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9529-2025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46248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45688</v>
      </c>
      <c r="E552" s="1" t="n">
        <v>46248</v>
      </c>
      <c r="F552" t="inlineStr">
        <is>
          <t>VÄSTRA GÖTALANDS LÄN</t>
        </is>
      </c>
      <c r="G552" t="inlineStr">
        <is>
          <t>BORÅS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4757-2025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45688</v>
      </c>
      <c r="E553" s="1" t="n">
        <v>46248</v>
      </c>
      <c r="F553" t="inlineStr">
        <is>
          <t>VÄSTRA GÖTALANDS LÄN</t>
        </is>
      </c>
      <c r="G553" t="inlineStr">
        <is>
          <t>BORÅS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45713</v>
      </c>
      <c r="E554" s="1" t="n">
        <v>46248</v>
      </c>
      <c r="F554" t="inlineStr">
        <is>
          <t>VÄSTRA GÖTALANDS LÄN</t>
        </is>
      </c>
      <c r="G554" t="inlineStr">
        <is>
          <t>BORÅS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45698</v>
      </c>
      <c r="E555" s="1" t="n">
        <v>46248</v>
      </c>
      <c r="F555" t="inlineStr">
        <is>
          <t>VÄSTRA GÖTALANDS LÄN</t>
        </is>
      </c>
      <c r="G555" t="inlineStr">
        <is>
          <t>BORÅS</t>
        </is>
      </c>
      <c r="I555" t="n">
        <v>12.8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46248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45699</v>
      </c>
      <c r="E557" s="1" t="n">
        <v>46248</v>
      </c>
      <c r="F557" t="inlineStr">
        <is>
          <t>VÄSTRA GÖTALANDS LÄN</t>
        </is>
      </c>
      <c r="G557" t="inlineStr">
        <is>
          <t>BORÅS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45615</v>
      </c>
      <c r="E558" s="1" t="n">
        <v>46248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46248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46248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46248</v>
      </c>
      <c r="F561" t="inlineStr">
        <is>
          <t>VÄSTRA GÖTALANDS LÄN</t>
        </is>
      </c>
      <c r="G561" t="inlineStr">
        <is>
          <t>BORÅS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46246</v>
      </c>
      <c r="E562" s="1" t="n">
        <v>46248</v>
      </c>
      <c r="F562" t="inlineStr">
        <is>
          <t>VÄSTRA GÖTALANDS LÄN</t>
        </is>
      </c>
      <c r="G562" t="inlineStr">
        <is>
          <t>BORÅS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46248</v>
      </c>
      <c r="F563" t="inlineStr">
        <is>
          <t>VÄSTRA GÖTALANDS LÄN</t>
        </is>
      </c>
      <c r="G563" t="inlineStr">
        <is>
          <t>BORÅS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46248</v>
      </c>
      <c r="F564" t="inlineStr">
        <is>
          <t>VÄSTRA GÖTALANDS LÄN</t>
        </is>
      </c>
      <c r="G564" t="inlineStr">
        <is>
          <t>BORÅS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46248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46248</v>
      </c>
      <c r="F566" t="inlineStr">
        <is>
          <t>VÄSTRA GÖTALANDS LÄN</t>
        </is>
      </c>
      <c r="G566" t="inlineStr">
        <is>
          <t>BORÅS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46248</v>
      </c>
      <c r="F567" t="inlineStr">
        <is>
          <t>VÄSTRA GÖTALANDS LÄN</t>
        </is>
      </c>
      <c r="G567" t="inlineStr">
        <is>
          <t>BORÅS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46248</v>
      </c>
      <c r="F568" t="inlineStr">
        <is>
          <t>VÄSTRA GÖTALANDS LÄN</t>
        </is>
      </c>
      <c r="G568" t="inlineStr">
        <is>
          <t>BORÅS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46248</v>
      </c>
      <c r="F569" t="inlineStr">
        <is>
          <t>VÄSTRA GÖTALANDS LÄN</t>
        </is>
      </c>
      <c r="G569" t="inlineStr">
        <is>
          <t>BORÅS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46248</v>
      </c>
      <c r="F570" t="inlineStr">
        <is>
          <t>VÄSTRA GÖTALANDS LÄN</t>
        </is>
      </c>
      <c r="G570" t="inlineStr">
        <is>
          <t>BORÅS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46248</v>
      </c>
      <c r="F571" t="inlineStr">
        <is>
          <t>VÄSTRA GÖTALANDS LÄN</t>
        </is>
      </c>
      <c r="G571" t="inlineStr">
        <is>
          <t>BORÅS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46042</v>
      </c>
      <c r="E572" s="1" t="n">
        <v>46248</v>
      </c>
      <c r="F572" t="inlineStr">
        <is>
          <t>VÄSTRA GÖTALANDS LÄN</t>
        </is>
      </c>
      <c r="G572" t="inlineStr">
        <is>
          <t>BORÅS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46248</v>
      </c>
      <c r="F573" t="inlineStr">
        <is>
          <t>VÄSTRA GÖTALANDS LÄN</t>
        </is>
      </c>
      <c r="G573" t="inlineStr">
        <is>
          <t>BORÅS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46248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Sveaskog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46248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10218-2026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46248</v>
      </c>
      <c r="F576" t="inlineStr">
        <is>
          <t>VÄSTRA GÖTALANDS LÄN</t>
        </is>
      </c>
      <c r="G576" t="inlineStr">
        <is>
          <t>BORÅS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46248</v>
      </c>
      <c r="F577" t="inlineStr">
        <is>
          <t>VÄSTRA GÖTALANDS LÄN</t>
        </is>
      </c>
      <c r="G577" t="inlineStr">
        <is>
          <t>BORÅS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11446-2026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46248</v>
      </c>
      <c r="F578" t="inlineStr">
        <is>
          <t>VÄSTRA GÖTALANDS LÄN</t>
        </is>
      </c>
      <c r="G578" t="inlineStr">
        <is>
          <t>BORÅS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46248</v>
      </c>
      <c r="F579" t="inlineStr">
        <is>
          <t>VÄSTRA GÖTALANDS LÄN</t>
        </is>
      </c>
      <c r="G579" t="inlineStr">
        <is>
          <t>BORÅS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11874-2026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46248</v>
      </c>
      <c r="F580" t="inlineStr">
        <is>
          <t>VÄSTRA GÖTALANDS LÄN</t>
        </is>
      </c>
      <c r="G580" t="inlineStr">
        <is>
          <t>BORÅS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46248</v>
      </c>
      <c r="F581" t="inlineStr">
        <is>
          <t>VÄSTRA GÖTALANDS LÄN</t>
        </is>
      </c>
      <c r="G581" t="inlineStr">
        <is>
          <t>BORÅS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12635-2026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46091</v>
      </c>
      <c r="E582" s="1" t="n">
        <v>46248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13729-2026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46248</v>
      </c>
      <c r="F583" t="inlineStr">
        <is>
          <t>VÄSTRA GÖTALANDS LÄN</t>
        </is>
      </c>
      <c r="G583" t="inlineStr">
        <is>
          <t>BORÅS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46248</v>
      </c>
      <c r="F584" t="inlineStr">
        <is>
          <t>VÄSTRA GÖTALANDS LÄN</t>
        </is>
      </c>
      <c r="G584" t="inlineStr">
        <is>
          <t>BORÅS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50382-2022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44866</v>
      </c>
      <c r="E585" s="1" t="n">
        <v>46248</v>
      </c>
      <c r="F585" t="inlineStr">
        <is>
          <t>VÄSTRA GÖTALANDS LÄN</t>
        </is>
      </c>
      <c r="G585" t="inlineStr">
        <is>
          <t>BORÅS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54875-2022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44886</v>
      </c>
      <c r="E586" s="1" t="n">
        <v>46248</v>
      </c>
      <c r="F586" t="inlineStr">
        <is>
          <t>VÄSTRA GÖTALANDS LÄN</t>
        </is>
      </c>
      <c r="G586" t="inlineStr">
        <is>
          <t>BORÅS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14275-2026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46248</v>
      </c>
      <c r="F587" t="inlineStr">
        <is>
          <t>VÄSTRA GÖTALANDS LÄN</t>
        </is>
      </c>
      <c r="G587" t="inlineStr">
        <is>
          <t>BORÅS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44949</v>
      </c>
      <c r="E588" s="1" t="n">
        <v>46248</v>
      </c>
      <c r="F588" t="inlineStr">
        <is>
          <t>VÄSTRA GÖTALANDS LÄN</t>
        </is>
      </c>
      <c r="G588" t="inlineStr">
        <is>
          <t>BORÅS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54871-2022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44886</v>
      </c>
      <c r="E589" s="1" t="n">
        <v>46248</v>
      </c>
      <c r="F589" t="inlineStr">
        <is>
          <t>VÄSTRA GÖTALANDS LÄN</t>
        </is>
      </c>
      <c r="G589" t="inlineStr">
        <is>
          <t>BORÅS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54878-2022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44886</v>
      </c>
      <c r="E590" s="1" t="n">
        <v>46248</v>
      </c>
      <c r="F590" t="inlineStr">
        <is>
          <t>VÄSTRA GÖTALANDS LÄN</t>
        </is>
      </c>
      <c r="G590" t="inlineStr">
        <is>
          <t>BORÅS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47616-2022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44854</v>
      </c>
      <c r="E591" s="1" t="n">
        <v>46248</v>
      </c>
      <c r="F591" t="inlineStr">
        <is>
          <t>VÄSTRA GÖTALANDS LÄN</t>
        </is>
      </c>
      <c r="G591" t="inlineStr">
        <is>
          <t>BORÅS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46248</v>
      </c>
      <c r="F592" t="inlineStr">
        <is>
          <t>VÄSTRA GÖTALANDS LÄN</t>
        </is>
      </c>
      <c r="G592" t="inlineStr">
        <is>
          <t>BORÅS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15193-2026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46105</v>
      </c>
      <c r="E593" s="1" t="n">
        <v>46248</v>
      </c>
      <c r="F593" t="inlineStr">
        <is>
          <t>VÄSTRA GÖTALANDS LÄN</t>
        </is>
      </c>
      <c r="G593" t="inlineStr">
        <is>
          <t>BORÅS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15365-2026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46248</v>
      </c>
      <c r="F594" t="inlineStr">
        <is>
          <t>VÄSTRA GÖTALANDS LÄN</t>
        </is>
      </c>
      <c r="G594" t="inlineStr">
        <is>
          <t>BORÅS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45483</v>
      </c>
      <c r="E595" s="1" t="n">
        <v>46248</v>
      </c>
      <c r="F595" t="inlineStr">
        <is>
          <t>VÄSTRA GÖTALANDS LÄN</t>
        </is>
      </c>
      <c r="G595" t="inlineStr">
        <is>
          <t>BORÅS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45483</v>
      </c>
      <c r="E596" s="1" t="n">
        <v>46248</v>
      </c>
      <c r="F596" t="inlineStr">
        <is>
          <t>VÄSTRA GÖTALANDS LÄN</t>
        </is>
      </c>
      <c r="G596" t="inlineStr">
        <is>
          <t>BORÅS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16406-2026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46248</v>
      </c>
      <c r="F597" t="inlineStr">
        <is>
          <t>VÄSTRA GÖTALANDS LÄN</t>
        </is>
      </c>
      <c r="G597" t="inlineStr">
        <is>
          <t>BORÅS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44703-2021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44438</v>
      </c>
      <c r="E598" s="1" t="n">
        <v>46248</v>
      </c>
      <c r="F598" t="inlineStr">
        <is>
          <t>VÄSTRA GÖTALANDS LÄN</t>
        </is>
      </c>
      <c r="G598" t="inlineStr">
        <is>
          <t>BORÅS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17234-2026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46119</v>
      </c>
      <c r="E599" s="1" t="n">
        <v>46248</v>
      </c>
      <c r="F599" t="inlineStr">
        <is>
          <t>VÄSTRA GÖTALANDS LÄN</t>
        </is>
      </c>
      <c r="G599" t="inlineStr">
        <is>
          <t>BORÅS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18695-2026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46248</v>
      </c>
      <c r="F600" t="inlineStr">
        <is>
          <t>VÄSTRA GÖTALANDS LÄN</t>
        </is>
      </c>
      <c r="G600" t="inlineStr">
        <is>
          <t>BORÅS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46132</v>
      </c>
      <c r="E601" s="1" t="n">
        <v>46248</v>
      </c>
      <c r="F601" t="inlineStr">
        <is>
          <t>VÄSTRA GÖTALANDS LÄN</t>
        </is>
      </c>
      <c r="G601" t="inlineStr">
        <is>
          <t>BORÅS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46248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70988-2021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44538</v>
      </c>
      <c r="E603" s="1" t="n">
        <v>46248</v>
      </c>
      <c r="F603" t="inlineStr">
        <is>
          <t>VÄSTRA GÖTALANDS LÄN</t>
        </is>
      </c>
      <c r="G603" t="inlineStr">
        <is>
          <t>BORÅS</t>
        </is>
      </c>
      <c r="H603" t="inlineStr">
        <is>
          <t>Kommuner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45798</v>
      </c>
      <c r="E604" s="1" t="n">
        <v>46248</v>
      </c>
      <c r="F604" t="inlineStr">
        <is>
          <t>VÄSTRA GÖTALANDS LÄN</t>
        </is>
      </c>
      <c r="G604" t="inlineStr">
        <is>
          <t>BORÅS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36016-2025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45863</v>
      </c>
      <c r="E605" s="1" t="n">
        <v>46248</v>
      </c>
      <c r="F605" t="inlineStr">
        <is>
          <t>VÄSTRA GÖTALANDS LÄN</t>
        </is>
      </c>
      <c r="G605" t="inlineStr">
        <is>
          <t>BORÅS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45870</v>
      </c>
      <c r="E606" s="1" t="n">
        <v>46248</v>
      </c>
      <c r="F606" t="inlineStr">
        <is>
          <t>VÄSTRA GÖTALANDS LÄN</t>
        </is>
      </c>
      <c r="G606" t="inlineStr">
        <is>
          <t>BORÅS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45453</v>
      </c>
      <c r="E607" s="1" t="n">
        <v>46248</v>
      </c>
      <c r="F607" t="inlineStr">
        <is>
          <t>VÄSTRA GÖTALANDS LÄN</t>
        </is>
      </c>
      <c r="G607" t="inlineStr">
        <is>
          <t>BORÅS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45855</v>
      </c>
      <c r="E608" s="1" t="n">
        <v>46248</v>
      </c>
      <c r="F608" t="inlineStr">
        <is>
          <t>VÄSTRA GÖTALANDS LÄN</t>
        </is>
      </c>
      <c r="G608" t="inlineStr">
        <is>
          <t>BORÅS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21739-2026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46147</v>
      </c>
      <c r="E609" s="1" t="n">
        <v>46248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45688</v>
      </c>
      <c r="E610" s="1" t="n">
        <v>46248</v>
      </c>
      <c r="F610" t="inlineStr">
        <is>
          <t>VÄSTRA GÖTALANDS LÄN</t>
        </is>
      </c>
      <c r="G610" t="inlineStr">
        <is>
          <t>BORÅS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46248</v>
      </c>
      <c r="F611" t="inlineStr">
        <is>
          <t>VÄSTRA GÖTALANDS LÄN</t>
        </is>
      </c>
      <c r="G611" t="inlineStr">
        <is>
          <t>BORÅS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7249-2021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44467</v>
      </c>
      <c r="E612" s="1" t="n">
        <v>46248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46248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46248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46248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46248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7239-2021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44466</v>
      </c>
      <c r="E617" s="1" t="n">
        <v>46248</v>
      </c>
      <c r="F617" t="inlineStr">
        <is>
          <t>VÄSTRA GÖTALANDS LÄN</t>
        </is>
      </c>
      <c r="G617" t="inlineStr">
        <is>
          <t>BORÅS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46248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46248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46248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46248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46248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46248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46248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46248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46248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46248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46248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46248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46248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46248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46248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46248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46248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46248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46248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46248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46248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46248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2026-08-14T01:52:46Z</dcterms:created>
  <dcterms:modified xmlns:dcterms="http://purl.org/dc/terms/" xmlns:xsi="http://www.w3.org/2001/XMLSchema-instance" xsi:type="dcterms:W3CDTF">2026-08-14T01:52:47Z</dcterms:modified>
</cp:coreProperties>
</file>