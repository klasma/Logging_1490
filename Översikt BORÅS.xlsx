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46316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46316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46316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46316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46316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46316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46316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46316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46316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46316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46316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46316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46316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46316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46316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28586-2022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46316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4.9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Tallriska
Talltita
Brandticka</t>
        </is>
      </c>
      <c r="W25">
        <f>HYPERLINK("https://klasma.github.io/Logging_1490/artfynd/A 28586-2022 artfynd.xlsx", "A 28586-2022")</f>
        <v/>
      </c>
      <c r="X25">
        <f>HYPERLINK("https://klasma.github.io/Logging_1490/kartor/A 28586-2022 karta.png", "A 28586-2022")</f>
        <v/>
      </c>
      <c r="Y25">
        <f>HYPERLINK("https://klasma.github.io/Logging_1490/kartor_geotiff/A 28586-2022 georefererad karta.tif", "A 28586-2022")</f>
        <v/>
      </c>
      <c r="AA25">
        <f>HYPERLINK("https://klasma.github.io/Logging_1490/klagomål/A 28586-2022 FSC-klagomål.docx", "A 28586-2022")</f>
        <v/>
      </c>
      <c r="AB25">
        <f>HYPERLINK("https://klasma.github.io/Logging_1490/klagomålsmail/A 28586-2022 FSC-klagomål mail.docx", "A 28586-2022")</f>
        <v/>
      </c>
      <c r="AC25">
        <f>HYPERLINK("https://klasma.github.io/Logging_1490/tillsyn/A 28586-2022 tillsynsbegäran.docx", "A 28586-2022")</f>
        <v/>
      </c>
      <c r="AD25">
        <f>HYPERLINK("https://klasma.github.io/Logging_1490/tillsynsmail/A 28586-2022 tillsynsbegäran mail.docx", "A 28586-2022")</f>
        <v/>
      </c>
      <c r="AE25">
        <f>HYPERLINK("https://klasma.github.io/Logging_1490/fåglar/A 28586-2022 prioriterade fågelarter.docx", "A 28586-2022")</f>
        <v/>
      </c>
    </row>
    <row r="26" ht="15" customHeight="1">
      <c r="A26" t="inlineStr">
        <is>
          <t>A 42729-2026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46308</v>
      </c>
      <c r="E26" s="1" t="n">
        <v>46316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5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Strutbräken
Mattlummer
Spillkråka</t>
        </is>
      </c>
      <c r="W26">
        <f>HYPERLINK("https://klasma.github.io/Logging_1490/artfynd/A 42729-2026 artfynd.xlsx", "A 42729-2026")</f>
        <v/>
      </c>
      <c r="X26">
        <f>HYPERLINK("https://klasma.github.io/Logging_1490/kartor/A 42729-2026 karta.png", "A 42729-2026")</f>
        <v/>
      </c>
      <c r="Y26">
        <f>HYPERLINK("https://klasma.github.io/Logging_1490/kartor_geotiff/A 42729-2026 georefererad karta.tif", "A 42729-2026")</f>
        <v/>
      </c>
      <c r="AA26">
        <f>HYPERLINK("https://klasma.github.io/Logging_1490/klagomål/A 42729-2026 FSC-klagomål.docx", "A 42729-2026")</f>
        <v/>
      </c>
      <c r="AB26">
        <f>HYPERLINK("https://klasma.github.io/Logging_1490/klagomålsmail/A 42729-2026 FSC-klagomål mail.docx", "A 42729-2026")</f>
        <v/>
      </c>
      <c r="AC26">
        <f>HYPERLINK("https://klasma.github.io/Logging_1490/tillsyn/A 42729-2026 tillsynsbegäran.docx", "A 42729-2026")</f>
        <v/>
      </c>
      <c r="AD26">
        <f>HYPERLINK("https://klasma.github.io/Logging_1490/tillsynsmail/A 42729-2026 tillsynsbegäran mail.docx", "A 42729-2026")</f>
        <v/>
      </c>
      <c r="AE26">
        <f>HYPERLINK("https://klasma.github.io/Logging_1490/fåglar/A 42729-2026 prioriterade fågelarter.docx", "A 42729-2026")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46316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46316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46316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46316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46316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46316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46316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46316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46316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46316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34341-2025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46316</v>
      </c>
      <c r="F37" t="inlineStr">
        <is>
          <t>VÄSTRA GÖTALANDS LÄN</t>
        </is>
      </c>
      <c r="G37" t="inlineStr">
        <is>
          <t>BORÅS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Svavelriska
Nattskärra</t>
        </is>
      </c>
      <c r="W37">
        <f>HYPERLINK("https://klasma.github.io/Logging_1490/artfynd/A 34341-2025 artfynd.xlsx", "A 34341-2025")</f>
        <v/>
      </c>
      <c r="X37">
        <f>HYPERLINK("https://klasma.github.io/Logging_1490/kartor/A 34341-2025 karta.png", "A 34341-2025")</f>
        <v/>
      </c>
      <c r="Y37">
        <f>HYPERLINK("https://klasma.github.io/Logging_1490/kartor_geotiff/A 34341-2025 georefererad karta.tif", "A 34341-2025")</f>
        <v/>
      </c>
      <c r="AA37">
        <f>HYPERLINK("https://klasma.github.io/Logging_1490/klagomål/A 34341-2025 FSC-klagomål.docx", "A 34341-2025")</f>
        <v/>
      </c>
      <c r="AB37">
        <f>HYPERLINK("https://klasma.github.io/Logging_1490/klagomålsmail/A 34341-2025 FSC-klagomål mail.docx", "A 34341-2025")</f>
        <v/>
      </c>
      <c r="AC37">
        <f>HYPERLINK("https://klasma.github.io/Logging_1490/tillsyn/A 34341-2025 tillsynsbegäran.docx", "A 34341-2025")</f>
        <v/>
      </c>
      <c r="AD37">
        <f>HYPERLINK("https://klasma.github.io/Logging_1490/tillsynsmail/A 34341-2025 tillsynsbegäran mail.docx", "A 34341-2025")</f>
        <v/>
      </c>
      <c r="AE37">
        <f>HYPERLINK("https://klasma.github.io/Logging_1490/fåglar/A 34341-2025 prioriterade fågelarter.docx", "A 34341-2025")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46316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46316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46316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46316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46316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46316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46316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46316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46316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46316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46316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46316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46316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46316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46316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46316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46316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46316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62645-2025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46316</v>
      </c>
      <c r="F56" t="inlineStr">
        <is>
          <t>VÄSTRA GÖTALANDS LÄN</t>
        </is>
      </c>
      <c r="G56" t="inlineStr">
        <is>
          <t>BORÅS</t>
        </is>
      </c>
      <c r="I56" t="n">
        <v>0.5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hackspett</t>
        </is>
      </c>
      <c r="W56">
        <f>HYPERLINK("https://klasma.github.io/Logging_1490/artfynd/A 62645-2025 artfynd.xlsx", "A 62645-2025")</f>
        <v/>
      </c>
      <c r="X56">
        <f>HYPERLINK("https://klasma.github.io/Logging_1490/kartor/A 62645-2025 karta.png", "A 62645-2025")</f>
        <v/>
      </c>
      <c r="Y56">
        <f>HYPERLINK("https://klasma.github.io/Logging_1490/kartor_geotiff/A 62645-2025 georefererad karta.tif", "A 62645-2025")</f>
        <v/>
      </c>
      <c r="AA56">
        <f>HYPERLINK("https://klasma.github.io/Logging_1490/klagomål/A 62645-2025 FSC-klagomål.docx", "A 62645-2025")</f>
        <v/>
      </c>
      <c r="AB56">
        <f>HYPERLINK("https://klasma.github.io/Logging_1490/klagomålsmail/A 62645-2025 FSC-klagomål mail.docx", "A 62645-2025")</f>
        <v/>
      </c>
      <c r="AC56">
        <f>HYPERLINK("https://klasma.github.io/Logging_1490/tillsyn/A 62645-2025 tillsynsbegäran.docx", "A 62645-2025")</f>
        <v/>
      </c>
      <c r="AD56">
        <f>HYPERLINK("https://klasma.github.io/Logging_1490/tillsynsmail/A 62645-2025 tillsynsbegäran mail.docx", "A 62645-2025")</f>
        <v/>
      </c>
      <c r="AE56">
        <f>HYPERLINK("https://klasma.github.io/Logging_1490/fåglar/A 62645-2025 prioriterade fågelarter.docx", "A 62645-2025")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46316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46316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46316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Kungsfågel</t>
        </is>
      </c>
      <c r="W59">
        <f>HYPERLINK("https://klasma.github.io/Logging_1490/artfynd/A 1922-2025 artfynd.xlsx", "A 1922-2025")</f>
        <v/>
      </c>
      <c r="X59">
        <f>HYPERLINK("https://klasma.github.io/Logging_1490/kartor/A 1922-2025 karta.png", "A 1922-2025")</f>
        <v/>
      </c>
      <c r="Y59">
        <f>HYPERLINK("https://klasma.github.io/Logging_1490/kartor_geotiff/A 1922-2025 georefererad karta.tif", "A 1922-2025")</f>
        <v/>
      </c>
      <c r="AA59">
        <f>HYPERLINK("https://klasma.github.io/Logging_1490/klagomål/A 1922-2025 FSC-klagomål.docx", "A 1922-2025")</f>
        <v/>
      </c>
      <c r="AB59">
        <f>HYPERLINK("https://klasma.github.io/Logging_1490/klagomålsmail/A 1922-2025 FSC-klagomål mail.docx", "A 1922-2025")</f>
        <v/>
      </c>
      <c r="AC59">
        <f>HYPERLINK("https://klasma.github.io/Logging_1490/tillsyn/A 1922-2025 tillsynsbegäran.docx", "A 1922-2025")</f>
        <v/>
      </c>
      <c r="AD59">
        <f>HYPERLINK("https://klasma.github.io/Logging_1490/tillsynsmail/A 1922-2025 tillsynsbegäran mail.docx", "A 1922-2025")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46316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46316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46316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57175-2023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45240</v>
      </c>
      <c r="E63" s="1" t="n">
        <v>46316</v>
      </c>
      <c r="F63" t="inlineStr">
        <is>
          <t>VÄSTRA GÖTALANDS LÄN</t>
        </is>
      </c>
      <c r="G63" t="inlineStr">
        <is>
          <t>BORÅS</t>
        </is>
      </c>
      <c r="I63" t="n">
        <v>1.7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Läderlappslav</t>
        </is>
      </c>
      <c r="W63">
        <f>HYPERLINK("https://klasma.github.io/Logging_1490/artfynd/A 57175-2023 artfynd.xlsx", "A 57175-2023")</f>
        <v/>
      </c>
      <c r="X63">
        <f>HYPERLINK("https://klasma.github.io/Logging_1490/kartor/A 57175-2023 karta.png", "A 57175-2023")</f>
        <v/>
      </c>
      <c r="Y63">
        <f>HYPERLINK("https://klasma.github.io/Logging_1490/kartor_geotiff/A 57175-2023 georefererad karta.tif", "A 57175-2023")</f>
        <v/>
      </c>
      <c r="AA63">
        <f>HYPERLINK("https://klasma.github.io/Logging_1490/klagomål/A 57175-2023 FSC-klagomål.docx", "A 57175-2023")</f>
        <v/>
      </c>
      <c r="AB63">
        <f>HYPERLINK("https://klasma.github.io/Logging_1490/klagomålsmail/A 57175-2023 FSC-klagomål mail.docx", "A 57175-2023")</f>
        <v/>
      </c>
      <c r="AC63">
        <f>HYPERLINK("https://klasma.github.io/Logging_1490/tillsyn/A 57175-2023 tillsynsbegäran.docx", "A 57175-2023")</f>
        <v/>
      </c>
      <c r="AD63">
        <f>HYPERLINK("https://klasma.github.io/Logging_1490/tillsynsmail/A 57175-2023 tillsynsbegäran mail.docx", "A 57175-2023")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46316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46316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Järnsparv</t>
        </is>
      </c>
      <c r="W65">
        <f>HYPERLINK("https://klasma.github.io/Logging_1490/artfynd/A 27342-2022 artfynd.xlsx", "A 27342-2022")</f>
        <v/>
      </c>
      <c r="X65">
        <f>HYPERLINK("https://klasma.github.io/Logging_1490/kartor/A 27342-2022 karta.png", "A 27342-2022")</f>
        <v/>
      </c>
      <c r="Y65">
        <f>HYPERLINK("https://klasma.github.io/Logging_1490/kartor_geotiff/A 27342-2022 georefererad karta.tif", "A 27342-2022")</f>
        <v/>
      </c>
      <c r="AA65">
        <f>HYPERLINK("https://klasma.github.io/Logging_1490/klagomål/A 27342-2022 FSC-klagomål.docx", "A 27342-2022")</f>
        <v/>
      </c>
      <c r="AB65">
        <f>HYPERLINK("https://klasma.github.io/Logging_1490/klagomålsmail/A 27342-2022 FSC-klagomål mail.docx", "A 27342-2022")</f>
        <v/>
      </c>
      <c r="AC65">
        <f>HYPERLINK("https://klasma.github.io/Logging_1490/tillsyn/A 27342-2022 tillsynsbegäran.docx", "A 27342-2022")</f>
        <v/>
      </c>
      <c r="AD65">
        <f>HYPERLINK("https://klasma.github.io/Logging_1490/tillsynsmail/A 27342-2022 tillsynsbegäran mail.docx", "A 27342-2022")</f>
        <v/>
      </c>
      <c r="AE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46316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46316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46316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3719-2024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46316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Hasselmus</t>
        </is>
      </c>
      <c r="W69">
        <f>HYPERLINK("https://klasma.github.io/Logging_1490/artfynd/A 3719-2024 artfynd.xlsx", "A 3719-2024")</f>
        <v/>
      </c>
      <c r="X69">
        <f>HYPERLINK("https://klasma.github.io/Logging_1490/kartor/A 3719-2024 karta.png", "A 3719-2024")</f>
        <v/>
      </c>
      <c r="Y69">
        <f>HYPERLINK("https://klasma.github.io/Logging_1490/kartor_geotiff/A 3719-2024 georefererad karta.tif", "A 3719-2024")</f>
        <v/>
      </c>
      <c r="AA69">
        <f>HYPERLINK("https://klasma.github.io/Logging_1490/klagomål/A 3719-2024 FSC-klagomål.docx", "A 3719-2024")</f>
        <v/>
      </c>
      <c r="AB69">
        <f>HYPERLINK("https://klasma.github.io/Logging_1490/klagomålsmail/A 3719-2024 FSC-klagomål mail.docx", "A 3719-2024")</f>
        <v/>
      </c>
      <c r="AC69">
        <f>HYPERLINK("https://klasma.github.io/Logging_1490/tillsyn/A 3719-2024 tillsynsbegäran.docx", "A 3719-2024")</f>
        <v/>
      </c>
      <c r="AD69">
        <f>HYPERLINK("https://klasma.github.io/Logging_1490/tillsynsmail/A 3719-2024 tillsynsbegäran mail.docx", "A 3719-2024")</f>
        <v/>
      </c>
    </row>
    <row r="70" ht="15" customHeight="1">
      <c r="A70" t="inlineStr">
        <is>
          <t>A 53533-2022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46316</v>
      </c>
      <c r="F70" t="inlineStr">
        <is>
          <t>VÄSTRA GÖTALANDS LÄN</t>
        </is>
      </c>
      <c r="G70" t="inlineStr">
        <is>
          <t>BORÅS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HYPERLINK("https://klasma.github.io/Logging_1490/artfynd/A 53533-2022 artfynd.xlsx", "A 53533-2022")</f>
        <v/>
      </c>
      <c r="X70">
        <f>HYPERLINK("https://klasma.github.io/Logging_1490/kartor/A 53533-2022 karta.png", "A 53533-2022")</f>
        <v/>
      </c>
      <c r="Y70">
        <f>HYPERLINK("https://klasma.github.io/Logging_1490/kartor_geotiff/A 53533-2022 georefererad karta.tif", "A 53533-2022")</f>
        <v/>
      </c>
      <c r="AA70">
        <f>HYPERLINK("https://klasma.github.io/Logging_1490/klagomål/A 53533-2022 FSC-klagomål.docx", "A 53533-2022")</f>
        <v/>
      </c>
      <c r="AB70">
        <f>HYPERLINK("https://klasma.github.io/Logging_1490/klagomålsmail/A 53533-2022 FSC-klagomål mail.docx", "A 53533-2022")</f>
        <v/>
      </c>
      <c r="AC70">
        <f>HYPERLINK("https://klasma.github.io/Logging_1490/tillsyn/A 53533-2022 tillsynsbegäran.docx", "A 53533-2022")</f>
        <v/>
      </c>
      <c r="AD70">
        <f>HYPERLINK("https://klasma.github.io/Logging_1490/tillsynsmail/A 53533-2022 tillsynsbegäran mail.docx", "A 53533-2022")</f>
        <v/>
      </c>
    </row>
    <row r="71" ht="15" customHeight="1">
      <c r="A71" t="inlineStr">
        <is>
          <t>A 33140-2023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46316</v>
      </c>
      <c r="F71" t="inlineStr">
        <is>
          <t>VÄSTRA GÖTALANDS LÄN</t>
        </is>
      </c>
      <c r="G71" t="inlineStr">
        <is>
          <t>BORÅS</t>
        </is>
      </c>
      <c r="I71" t="n">
        <v>5.1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HYPERLINK("https://klasma.github.io/Logging_1490/artfynd/A 33140-2023 artfynd.xlsx", "A 33140-2023")</f>
        <v/>
      </c>
      <c r="X71">
        <f>HYPERLINK("https://klasma.github.io/Logging_1490/kartor/A 33140-2023 karta.png", "A 33140-2023")</f>
        <v/>
      </c>
      <c r="Y71">
        <f>HYPERLINK("https://klasma.github.io/Logging_1490/kartor_geotiff/A 33140-2023 georefererad karta.tif", "A 33140-2023")</f>
        <v/>
      </c>
      <c r="AA71">
        <f>HYPERLINK("https://klasma.github.io/Logging_1490/klagomål/A 33140-2023 FSC-klagomål.docx", "A 33140-2023")</f>
        <v/>
      </c>
      <c r="AB71">
        <f>HYPERLINK("https://klasma.github.io/Logging_1490/klagomålsmail/A 33140-2023 FSC-klagomål mail.docx", "A 33140-2023")</f>
        <v/>
      </c>
      <c r="AC71">
        <f>HYPERLINK("https://klasma.github.io/Logging_1490/tillsyn/A 33140-2023 tillsynsbegäran.docx", "A 33140-2023")</f>
        <v/>
      </c>
      <c r="AD71">
        <f>HYPERLINK("https://klasma.github.io/Logging_1490/tillsynsmail/A 33140-2023 tillsynsbegäran mail.docx", "A 33140-2023")</f>
        <v/>
      </c>
    </row>
    <row r="72" ht="15" customHeight="1">
      <c r="A72" t="inlineStr">
        <is>
          <t>A 3772-2024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46316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Vågbandad barkbock</t>
        </is>
      </c>
      <c r="W72">
        <f>HYPERLINK("https://klasma.github.io/Logging_1490/artfynd/A 3772-2024 artfynd.xlsx", "A 3772-2024")</f>
        <v/>
      </c>
      <c r="X72">
        <f>HYPERLINK("https://klasma.github.io/Logging_1490/kartor/A 3772-2024 karta.png", "A 3772-2024")</f>
        <v/>
      </c>
      <c r="Y72">
        <f>HYPERLINK("https://klasma.github.io/Logging_1490/kartor_geotiff/A 3772-2024 georefererad karta.tif", "A 3772-2024")</f>
        <v/>
      </c>
      <c r="AA72">
        <f>HYPERLINK("https://klasma.github.io/Logging_1490/klagomål/A 3772-2024 FSC-klagomål.docx", "A 3772-2024")</f>
        <v/>
      </c>
      <c r="AB72">
        <f>HYPERLINK("https://klasma.github.io/Logging_1490/klagomålsmail/A 3772-2024 FSC-klagomål mail.docx", "A 3772-2024")</f>
        <v/>
      </c>
      <c r="AC72">
        <f>HYPERLINK("https://klasma.github.io/Logging_1490/tillsyn/A 3772-2024 tillsynsbegäran.docx", "A 3772-2024")</f>
        <v/>
      </c>
      <c r="AD72">
        <f>HYPERLINK("https://klasma.github.io/Logging_1490/tillsynsmail/A 3772-2024 tillsynsbegäran mail.docx", "A 3772-2024")</f>
        <v/>
      </c>
    </row>
    <row r="73" ht="15" customHeight="1">
      <c r="A73" t="inlineStr">
        <is>
          <t>A 35135-2026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46259</v>
      </c>
      <c r="E73" s="1" t="n">
        <v>46316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Strandskata</t>
        </is>
      </c>
      <c r="W73">
        <f>HYPERLINK("https://klasma.github.io/Logging_1490/artfynd/A 35135-2026 artfynd.xlsx", "A 35135-2026")</f>
        <v/>
      </c>
      <c r="X73">
        <f>HYPERLINK("https://klasma.github.io/Logging_1490/kartor/A 35135-2026 karta.png", "A 35135-2026")</f>
        <v/>
      </c>
      <c r="Y73">
        <f>HYPERLINK("https://klasma.github.io/Logging_1490/kartor_geotiff/A 35135-2026 georefererad karta.tif", "A 35135-2026")</f>
        <v/>
      </c>
      <c r="AA73">
        <f>HYPERLINK("https://klasma.github.io/Logging_1490/klagomål/A 35135-2026 FSC-klagomål.docx", "A 35135-2026")</f>
        <v/>
      </c>
      <c r="AB73">
        <f>HYPERLINK("https://klasma.github.io/Logging_1490/klagomålsmail/A 35135-2026 FSC-klagomål mail.docx", "A 35135-2026")</f>
        <v/>
      </c>
      <c r="AC73">
        <f>HYPERLINK("https://klasma.github.io/Logging_1490/tillsyn/A 35135-2026 tillsynsbegäran.docx", "A 35135-2026")</f>
        <v/>
      </c>
      <c r="AD73">
        <f>HYPERLINK("https://klasma.github.io/Logging_1490/tillsynsmail/A 35135-2026 tillsynsbegäran mail.docx", "A 35135-2026")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46316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HYPERLINK("https://klasma.github.io/Logging_1490/artfynd/A 60816-2023 artfynd.xlsx", "A 60816-2023")</f>
        <v/>
      </c>
      <c r="X74">
        <f>HYPERLINK("https://klasma.github.io/Logging_1490/kartor/A 60816-2023 karta.png", "A 60816-2023")</f>
        <v/>
      </c>
      <c r="Y74">
        <f>HYPERLINK("https://klasma.github.io/Logging_1490/kartor_geotiff/A 60816-2023 georefererad karta.tif", "A 60816-2023")</f>
        <v/>
      </c>
      <c r="AA74">
        <f>HYPERLINK("https://klasma.github.io/Logging_1490/klagomål/A 60816-2023 FSC-klagomål.docx", "A 60816-2023")</f>
        <v/>
      </c>
      <c r="AB74">
        <f>HYPERLINK("https://klasma.github.io/Logging_1490/klagomålsmail/A 60816-2023 FSC-klagomål mail.docx", "A 60816-2023")</f>
        <v/>
      </c>
      <c r="AC74">
        <f>HYPERLINK("https://klasma.github.io/Logging_1490/tillsyn/A 60816-2023 tillsynsbegäran.docx", "A 60816-2023")</f>
        <v/>
      </c>
      <c r="AD74">
        <f>HYPERLINK("https://klasma.github.io/Logging_1490/tillsynsmail/A 60816-2023 tillsynsbegäran mail.docx", "A 60816-2023")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46316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46316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46316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46316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46316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46316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46316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46316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46316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46316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46316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46316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46316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46316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46316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46316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46316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46316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46316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46316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46316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46316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46316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46316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46316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46316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46316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46316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46316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46316</v>
      </c>
      <c r="F104" t="inlineStr">
        <is>
          <t>VÄSTRA GÖTALANDS LÄN</t>
        </is>
      </c>
      <c r="G104" t="inlineStr">
        <is>
          <t>BORÅS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46316</v>
      </c>
      <c r="F105" t="inlineStr">
        <is>
          <t>VÄSTRA GÖTALANDS LÄN</t>
        </is>
      </c>
      <c r="G105" t="inlineStr">
        <is>
          <t>BORÅS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46316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46316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46316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46316</v>
      </c>
      <c r="F109" t="inlineStr">
        <is>
          <t>VÄSTRA GÖTALANDS LÄN</t>
        </is>
      </c>
      <c r="G109" t="inlineStr">
        <is>
          <t>BORÅS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46316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44673</v>
      </c>
      <c r="E111" s="1" t="n">
        <v>46316</v>
      </c>
      <c r="F111" t="inlineStr">
        <is>
          <t>VÄSTRA GÖTALANDS LÄN</t>
        </is>
      </c>
      <c r="G111" t="inlineStr">
        <is>
          <t>BORÅS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46316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46316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46316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46316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46316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46316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46316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46316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46316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46316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46316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46316</v>
      </c>
      <c r="F123" t="inlineStr">
        <is>
          <t>VÄSTRA GÖTALANDS LÄN</t>
        </is>
      </c>
      <c r="G123" t="inlineStr">
        <is>
          <t>BORÅS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46316</v>
      </c>
      <c r="F124" t="inlineStr">
        <is>
          <t>VÄSTRA GÖTALANDS LÄN</t>
        </is>
      </c>
      <c r="G124" t="inlineStr">
        <is>
          <t>BORÅS</t>
        </is>
      </c>
      <c r="I124" t="n">
        <v>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46316</v>
      </c>
      <c r="F125" t="inlineStr">
        <is>
          <t>VÄSTRA GÖTALANDS LÄN</t>
        </is>
      </c>
      <c r="G125" t="inlineStr">
        <is>
          <t>BORÅS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44740</v>
      </c>
      <c r="E126" s="1" t="n">
        <v>46316</v>
      </c>
      <c r="F126" t="inlineStr">
        <is>
          <t>VÄSTRA GÖTALANDS LÄN</t>
        </is>
      </c>
      <c r="G126" t="inlineStr">
        <is>
          <t>BORÅS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46316</v>
      </c>
      <c r="F127" t="inlineStr">
        <is>
          <t>VÄSTRA GÖTALANDS LÄN</t>
        </is>
      </c>
      <c r="G127" t="inlineStr">
        <is>
          <t>BORÅS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46316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46316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46316</v>
      </c>
      <c r="F130" t="inlineStr">
        <is>
          <t>VÄSTRA GÖTALANDS LÄN</t>
        </is>
      </c>
      <c r="G130" t="inlineStr">
        <is>
          <t>BORÅS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45050</v>
      </c>
      <c r="E131" s="1" t="n">
        <v>46316</v>
      </c>
      <c r="F131" t="inlineStr">
        <is>
          <t>VÄSTRA GÖTALANDS LÄN</t>
        </is>
      </c>
      <c r="G131" t="inlineStr">
        <is>
          <t>BORÅS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45050</v>
      </c>
      <c r="E132" s="1" t="n">
        <v>46316</v>
      </c>
      <c r="F132" t="inlineStr">
        <is>
          <t>VÄSTRA GÖTALANDS LÄN</t>
        </is>
      </c>
      <c r="G132" t="inlineStr">
        <is>
          <t>BORÅS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73822-2021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44552</v>
      </c>
      <c r="E133" s="1" t="n">
        <v>46316</v>
      </c>
      <c r="F133" t="inlineStr">
        <is>
          <t>VÄSTRA GÖTALANDS LÄN</t>
        </is>
      </c>
      <c r="G133" t="inlineStr">
        <is>
          <t>BORÅS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46316</v>
      </c>
      <c r="F134" t="inlineStr">
        <is>
          <t>VÄSTRA GÖTALANDS LÄN</t>
        </is>
      </c>
      <c r="G134" t="inlineStr">
        <is>
          <t>BORÅS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57886-2022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46316</v>
      </c>
      <c r="F135" t="inlineStr">
        <is>
          <t>VÄSTRA GÖTALANDS LÄN</t>
        </is>
      </c>
      <c r="G135" t="inlineStr">
        <is>
          <t>BORÅS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45294</v>
      </c>
      <c r="E136" s="1" t="n">
        <v>46316</v>
      </c>
      <c r="F136" t="inlineStr">
        <is>
          <t>VÄSTRA GÖTALANDS LÄN</t>
        </is>
      </c>
      <c r="G136" t="inlineStr">
        <is>
          <t>BORÅS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46316</v>
      </c>
      <c r="F137" t="inlineStr">
        <is>
          <t>VÄSTRA GÖTALANDS LÄN</t>
        </is>
      </c>
      <c r="G137" t="inlineStr">
        <is>
          <t>BORÅS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8182-2024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45351</v>
      </c>
      <c r="E138" s="1" t="n">
        <v>46316</v>
      </c>
      <c r="F138" t="inlineStr">
        <is>
          <t>VÄSTRA GÖTALANDS LÄN</t>
        </is>
      </c>
      <c r="G138" t="inlineStr">
        <is>
          <t>BORÅS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24860-2022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46316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46316</v>
      </c>
      <c r="F140" t="inlineStr">
        <is>
          <t>VÄSTRA GÖTALANDS LÄN</t>
        </is>
      </c>
      <c r="G140" t="inlineStr">
        <is>
          <t>BORÅS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46316</v>
      </c>
      <c r="F141" t="inlineStr">
        <is>
          <t>VÄSTRA GÖTALANDS LÄN</t>
        </is>
      </c>
      <c r="G141" t="inlineStr">
        <is>
          <t>BORÅS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46316</v>
      </c>
      <c r="F142" t="inlineStr">
        <is>
          <t>VÄSTRA GÖTALANDS LÄN</t>
        </is>
      </c>
      <c r="G142" t="inlineStr">
        <is>
          <t>BORÅS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46316</v>
      </c>
      <c r="F143" t="inlineStr">
        <is>
          <t>VÄSTRA GÖTALANDS LÄN</t>
        </is>
      </c>
      <c r="G143" t="inlineStr">
        <is>
          <t>BORÅS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45510</v>
      </c>
      <c r="E144" s="1" t="n">
        <v>46316</v>
      </c>
      <c r="F144" t="inlineStr">
        <is>
          <t>VÄSTRA GÖTALANDS LÄN</t>
        </is>
      </c>
      <c r="G144" t="inlineStr">
        <is>
          <t>BORÅS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46316</v>
      </c>
      <c r="F145" t="inlineStr">
        <is>
          <t>VÄSTRA GÖTALANDS LÄN</t>
        </is>
      </c>
      <c r="G145" t="inlineStr">
        <is>
          <t>BORÅS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45197</v>
      </c>
      <c r="E146" s="1" t="n">
        <v>46316</v>
      </c>
      <c r="F146" t="inlineStr">
        <is>
          <t>VÄSTRA GÖTALANDS LÄN</t>
        </is>
      </c>
      <c r="G146" t="inlineStr">
        <is>
          <t>BORÅS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46316</v>
      </c>
      <c r="F147" t="inlineStr">
        <is>
          <t>VÄSTRA GÖTALANDS LÄN</t>
        </is>
      </c>
      <c r="G147" t="inlineStr">
        <is>
          <t>BORÅS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46316</v>
      </c>
      <c r="F148" t="inlineStr">
        <is>
          <t>VÄSTRA GÖTALANDS LÄN</t>
        </is>
      </c>
      <c r="G148" t="inlineStr">
        <is>
          <t>BORÅS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46316</v>
      </c>
      <c r="F149" t="inlineStr">
        <is>
          <t>VÄSTRA GÖTALANDS LÄN</t>
        </is>
      </c>
      <c r="G149" t="inlineStr">
        <is>
          <t>BORÅS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44639</v>
      </c>
      <c r="E150" s="1" t="n">
        <v>46316</v>
      </c>
      <c r="F150" t="inlineStr">
        <is>
          <t>VÄSTRA GÖTALANDS LÄN</t>
        </is>
      </c>
      <c r="G150" t="inlineStr">
        <is>
          <t>BORÅS</t>
        </is>
      </c>
      <c r="I150" t="n">
        <v>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45142</v>
      </c>
      <c r="E151" s="1" t="n">
        <v>46316</v>
      </c>
      <c r="F151" t="inlineStr">
        <is>
          <t>VÄSTRA GÖTALANDS LÄN</t>
        </is>
      </c>
      <c r="G151" t="inlineStr">
        <is>
          <t>BORÅS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46316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45650</v>
      </c>
      <c r="E153" s="1" t="n">
        <v>46316</v>
      </c>
      <c r="F153" t="inlineStr">
        <is>
          <t>VÄSTRA GÖTALANDS LÄN</t>
        </is>
      </c>
      <c r="G153" t="inlineStr">
        <is>
          <t>BORÅS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46316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46316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46008</v>
      </c>
      <c r="E156" s="1" t="n">
        <v>46316</v>
      </c>
      <c r="F156" t="inlineStr">
        <is>
          <t>VÄSTRA GÖTALANDS LÄN</t>
        </is>
      </c>
      <c r="G156" t="inlineStr">
        <is>
          <t>BORÅS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46316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46316</v>
      </c>
      <c r="F158" t="inlineStr">
        <is>
          <t>VÄSTRA GÖTALANDS LÄN</t>
        </is>
      </c>
      <c r="G158" t="inlineStr">
        <is>
          <t>BORÅS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46316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46316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46316</v>
      </c>
      <c r="F161" t="inlineStr">
        <is>
          <t>VÄSTRA GÖTALANDS LÄN</t>
        </is>
      </c>
      <c r="G161" t="inlineStr">
        <is>
          <t>BORÅS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46316</v>
      </c>
      <c r="F162" t="inlineStr">
        <is>
          <t>VÄSTRA GÖTALANDS LÄN</t>
        </is>
      </c>
      <c r="G162" t="inlineStr">
        <is>
          <t>BORÅS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45015</v>
      </c>
      <c r="E163" s="1" t="n">
        <v>46316</v>
      </c>
      <c r="F163" t="inlineStr">
        <is>
          <t>VÄSTRA GÖTALANDS LÄN</t>
        </is>
      </c>
      <c r="G163" t="inlineStr">
        <is>
          <t>BORÅS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46316</v>
      </c>
      <c r="F164" t="inlineStr">
        <is>
          <t>VÄSTRA GÖTALANDS LÄN</t>
        </is>
      </c>
      <c r="G164" t="inlineStr">
        <is>
          <t>BORÅS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46316</v>
      </c>
      <c r="F165" t="inlineStr">
        <is>
          <t>VÄSTRA GÖTALANDS LÄN</t>
        </is>
      </c>
      <c r="G165" t="inlineStr">
        <is>
          <t>BORÅS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46316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46316</v>
      </c>
      <c r="F167" t="inlineStr">
        <is>
          <t>VÄSTRA GÖTALANDS LÄN</t>
        </is>
      </c>
      <c r="G167" t="inlineStr">
        <is>
          <t>BORÅS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45462</v>
      </c>
      <c r="E168" s="1" t="n">
        <v>46316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46316</v>
      </c>
      <c r="F169" t="inlineStr">
        <is>
          <t>VÄSTRA GÖTALANDS LÄN</t>
        </is>
      </c>
      <c r="G169" t="inlineStr">
        <is>
          <t>BORÅS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46316</v>
      </c>
      <c r="F170" t="inlineStr">
        <is>
          <t>VÄSTRA GÖTALANDS LÄN</t>
        </is>
      </c>
      <c r="G170" t="inlineStr">
        <is>
          <t>BORÅS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46316</v>
      </c>
      <c r="F171" t="inlineStr">
        <is>
          <t>VÄSTRA GÖTALANDS LÄN</t>
        </is>
      </c>
      <c r="G171" t="inlineStr">
        <is>
          <t>BORÅS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46316</v>
      </c>
      <c r="F172" t="inlineStr">
        <is>
          <t>VÄSTRA GÖTALANDS LÄN</t>
        </is>
      </c>
      <c r="G172" t="inlineStr">
        <is>
          <t>BORÅS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46316</v>
      </c>
      <c r="F173" t="inlineStr">
        <is>
          <t>VÄSTRA GÖTALANDS LÄN</t>
        </is>
      </c>
      <c r="G173" t="inlineStr">
        <is>
          <t>BORÅS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45688</v>
      </c>
      <c r="E174" s="1" t="n">
        <v>46316</v>
      </c>
      <c r="F174" t="inlineStr">
        <is>
          <t>VÄSTRA GÖTALANDS LÄN</t>
        </is>
      </c>
      <c r="G174" t="inlineStr">
        <is>
          <t>BORÅS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4757-2025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45688</v>
      </c>
      <c r="E175" s="1" t="n">
        <v>46316</v>
      </c>
      <c r="F175" t="inlineStr">
        <is>
          <t>VÄSTRA GÖTALANDS LÄN</t>
        </is>
      </c>
      <c r="G175" t="inlineStr">
        <is>
          <t>BORÅS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46316</v>
      </c>
      <c r="F176" t="inlineStr">
        <is>
          <t>VÄSTRA GÖTALANDS LÄN</t>
        </is>
      </c>
      <c r="G176" t="inlineStr">
        <is>
          <t>BORÅS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46316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44910</v>
      </c>
      <c r="E178" s="1" t="n">
        <v>46316</v>
      </c>
      <c r="F178" t="inlineStr">
        <is>
          <t>VÄSTRA GÖTALANDS LÄN</t>
        </is>
      </c>
      <c r="G178" t="inlineStr">
        <is>
          <t>BORÅS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46316</v>
      </c>
      <c r="F179" t="inlineStr">
        <is>
          <t>VÄSTRA GÖTALANDS LÄN</t>
        </is>
      </c>
      <c r="G179" t="inlineStr">
        <is>
          <t>BORÅS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46316</v>
      </c>
      <c r="F180" t="inlineStr">
        <is>
          <t>VÄSTRA GÖTALANDS LÄN</t>
        </is>
      </c>
      <c r="G180" t="inlineStr">
        <is>
          <t>BORÅS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46316</v>
      </c>
      <c r="F181" t="inlineStr">
        <is>
          <t>VÄSTRA GÖTALANDS LÄN</t>
        </is>
      </c>
      <c r="G181" t="inlineStr">
        <is>
          <t>BORÅS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46316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Sveaskog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46316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Kyrkan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46316</v>
      </c>
      <c r="F184" t="inlineStr">
        <is>
          <t>VÄSTRA GÖTALANDS LÄN</t>
        </is>
      </c>
      <c r="G184" t="inlineStr">
        <is>
          <t>BORÅS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45274</v>
      </c>
      <c r="E185" s="1" t="n">
        <v>46316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46316</v>
      </c>
      <c r="F186" t="inlineStr">
        <is>
          <t>VÄSTRA GÖTALANDS LÄN</t>
        </is>
      </c>
      <c r="G186" t="inlineStr">
        <is>
          <t>BORÅS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46316</v>
      </c>
      <c r="F187" t="inlineStr">
        <is>
          <t>VÄSTRA GÖTALANDS LÄN</t>
        </is>
      </c>
      <c r="G187" t="inlineStr">
        <is>
          <t>BORÅS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46316</v>
      </c>
      <c r="F188" t="inlineStr">
        <is>
          <t>VÄSTRA GÖTALANDS LÄN</t>
        </is>
      </c>
      <c r="G188" t="inlineStr">
        <is>
          <t>BORÅS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46316</v>
      </c>
      <c r="F189" t="inlineStr">
        <is>
          <t>VÄSTRA GÖTALANDS LÄN</t>
        </is>
      </c>
      <c r="G189" t="inlineStr">
        <is>
          <t>BORÅS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27370-2025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45812</v>
      </c>
      <c r="E190" s="1" t="n">
        <v>46316</v>
      </c>
      <c r="F190" t="inlineStr">
        <is>
          <t>VÄSTRA GÖTALANDS LÄN</t>
        </is>
      </c>
      <c r="G190" t="inlineStr">
        <is>
          <t>BORÅS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45462</v>
      </c>
      <c r="E191" s="1" t="n">
        <v>46316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46316</v>
      </c>
      <c r="F192" t="inlineStr">
        <is>
          <t>VÄSTRA GÖTALANDS LÄN</t>
        </is>
      </c>
      <c r="G192" t="inlineStr">
        <is>
          <t>BORÅS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46316</v>
      </c>
      <c r="F193" t="inlineStr">
        <is>
          <t>VÄSTRA GÖTALANDS LÄN</t>
        </is>
      </c>
      <c r="G193" t="inlineStr">
        <is>
          <t>BORÅS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46316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46316</v>
      </c>
      <c r="F195" t="inlineStr">
        <is>
          <t>VÄSTRA GÖTALANDS LÄN</t>
        </is>
      </c>
      <c r="G195" t="inlineStr">
        <is>
          <t>BORÅS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13436-2025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45735</v>
      </c>
      <c r="E196" s="1" t="n">
        <v>46316</v>
      </c>
      <c r="F196" t="inlineStr">
        <is>
          <t>VÄSTRA GÖTALANDS LÄN</t>
        </is>
      </c>
      <c r="G196" t="inlineStr">
        <is>
          <t>BORÅS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46316</v>
      </c>
      <c r="F197" t="inlineStr">
        <is>
          <t>VÄSTRA GÖTALANDS LÄN</t>
        </is>
      </c>
      <c r="G197" t="inlineStr">
        <is>
          <t>BORÅS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46316</v>
      </c>
      <c r="F198" t="inlineStr">
        <is>
          <t>VÄSTRA GÖTALANDS LÄN</t>
        </is>
      </c>
      <c r="G198" t="inlineStr">
        <is>
          <t>BORÅS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36577-2022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44804</v>
      </c>
      <c r="E199" s="1" t="n">
        <v>46316</v>
      </c>
      <c r="F199" t="inlineStr">
        <is>
          <t>VÄSTRA GÖTALANDS LÄN</t>
        </is>
      </c>
      <c r="G199" t="inlineStr">
        <is>
          <t>BORÅS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46316</v>
      </c>
      <c r="F200" t="inlineStr">
        <is>
          <t>VÄSTRA GÖTALANDS LÄN</t>
        </is>
      </c>
      <c r="G200" t="inlineStr">
        <is>
          <t>BORÅS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46316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46316</v>
      </c>
      <c r="F202" t="inlineStr">
        <is>
          <t>VÄSTRA GÖTALANDS LÄN</t>
        </is>
      </c>
      <c r="G202" t="inlineStr">
        <is>
          <t>BORÅS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45472</v>
      </c>
      <c r="E203" s="1" t="n">
        <v>46316</v>
      </c>
      <c r="F203" t="inlineStr">
        <is>
          <t>VÄSTRA GÖTALANDS LÄN</t>
        </is>
      </c>
      <c r="G203" t="inlineStr">
        <is>
          <t>BORÅS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46316</v>
      </c>
      <c r="F204" t="inlineStr">
        <is>
          <t>VÄSTRA GÖTALANDS LÄN</t>
        </is>
      </c>
      <c r="G204" t="inlineStr">
        <is>
          <t>BORÅS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46316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46316</v>
      </c>
      <c r="F206" t="inlineStr">
        <is>
          <t>VÄSTRA GÖTALANDS LÄN</t>
        </is>
      </c>
      <c r="G206" t="inlineStr">
        <is>
          <t>BORÅS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46316</v>
      </c>
      <c r="F207" t="inlineStr">
        <is>
          <t>VÄSTRA GÖTALANDS LÄN</t>
        </is>
      </c>
      <c r="G207" t="inlineStr">
        <is>
          <t>BORÅS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46316</v>
      </c>
      <c r="F208" t="inlineStr">
        <is>
          <t>VÄSTRA GÖTALANDS LÄN</t>
        </is>
      </c>
      <c r="G208" t="inlineStr">
        <is>
          <t>BORÅS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46316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46316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44987</v>
      </c>
      <c r="E211" s="1" t="n">
        <v>46316</v>
      </c>
      <c r="F211" t="inlineStr">
        <is>
          <t>VÄSTRA GÖTALANDS LÄN</t>
        </is>
      </c>
      <c r="G211" t="inlineStr">
        <is>
          <t>BORÅS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45294</v>
      </c>
      <c r="E212" s="1" t="n">
        <v>46316</v>
      </c>
      <c r="F212" t="inlineStr">
        <is>
          <t>VÄSTRA GÖTALANDS LÄN</t>
        </is>
      </c>
      <c r="G212" t="inlineStr">
        <is>
          <t>BORÅS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46316</v>
      </c>
      <c r="F213" t="inlineStr">
        <is>
          <t>VÄSTRA GÖTALANDS LÄN</t>
        </is>
      </c>
      <c r="G213" t="inlineStr">
        <is>
          <t>BORÅS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46316</v>
      </c>
      <c r="F214" t="inlineStr">
        <is>
          <t>VÄSTRA GÖTALANDS LÄN</t>
        </is>
      </c>
      <c r="G214" t="inlineStr">
        <is>
          <t>BORÅS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45823</v>
      </c>
      <c r="E215" s="1" t="n">
        <v>46316</v>
      </c>
      <c r="F215" t="inlineStr">
        <is>
          <t>VÄSTRA GÖTALANDS LÄN</t>
        </is>
      </c>
      <c r="G215" t="inlineStr">
        <is>
          <t>BORÅS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46316</v>
      </c>
      <c r="F216" t="inlineStr">
        <is>
          <t>VÄSTRA GÖTALANDS LÄN</t>
        </is>
      </c>
      <c r="G216" t="inlineStr">
        <is>
          <t>BORÅS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46316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46316</v>
      </c>
      <c r="F218" t="inlineStr">
        <is>
          <t>VÄSTRA GÖTALANDS LÄN</t>
        </is>
      </c>
      <c r="G218" t="inlineStr">
        <is>
          <t>BORÅS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46316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46316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46316</v>
      </c>
      <c r="F221" t="inlineStr">
        <is>
          <t>VÄSTRA GÖTALANDS LÄN</t>
        </is>
      </c>
      <c r="G221" t="inlineStr">
        <is>
          <t>BORÅS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46316</v>
      </c>
      <c r="F222" t="inlineStr">
        <is>
          <t>VÄSTRA GÖTALANDS LÄN</t>
        </is>
      </c>
      <c r="G222" t="inlineStr">
        <is>
          <t>BORÅS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46316</v>
      </c>
      <c r="F223" t="inlineStr">
        <is>
          <t>VÄSTRA GÖTALANDS LÄN</t>
        </is>
      </c>
      <c r="G223" t="inlineStr">
        <is>
          <t>BORÅS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46316</v>
      </c>
      <c r="F224" t="inlineStr">
        <is>
          <t>VÄSTRA GÖTALANDS LÄN</t>
        </is>
      </c>
      <c r="G224" t="inlineStr">
        <is>
          <t>BORÅS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45538</v>
      </c>
      <c r="E225" s="1" t="n">
        <v>46316</v>
      </c>
      <c r="F225" t="inlineStr">
        <is>
          <t>VÄSTRA GÖTALANDS LÄN</t>
        </is>
      </c>
      <c r="G225" t="inlineStr">
        <is>
          <t>BORÅS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46316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46316</v>
      </c>
      <c r="F227" t="inlineStr">
        <is>
          <t>VÄSTRA GÖTALANDS LÄN</t>
        </is>
      </c>
      <c r="G227" t="inlineStr">
        <is>
          <t>BORÅS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46316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46316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46316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46316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45208</v>
      </c>
      <c r="E232" s="1" t="n">
        <v>46316</v>
      </c>
      <c r="F232" t="inlineStr">
        <is>
          <t>VÄSTRA GÖTALANDS LÄN</t>
        </is>
      </c>
      <c r="G232" t="inlineStr">
        <is>
          <t>BORÅS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46316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Kommuner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45190</v>
      </c>
      <c r="E234" s="1" t="n">
        <v>46316</v>
      </c>
      <c r="F234" t="inlineStr">
        <is>
          <t>VÄSTRA GÖTALANDS LÄN</t>
        </is>
      </c>
      <c r="G234" t="inlineStr">
        <is>
          <t>BORÅS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46316</v>
      </c>
      <c r="F235" t="inlineStr">
        <is>
          <t>VÄSTRA GÖTALANDS LÄN</t>
        </is>
      </c>
      <c r="G235" t="inlineStr">
        <is>
          <t>BORÅS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46316</v>
      </c>
      <c r="F236" t="inlineStr">
        <is>
          <t>VÄSTRA GÖTALANDS LÄN</t>
        </is>
      </c>
      <c r="G236" t="inlineStr">
        <is>
          <t>BORÅS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46316</v>
      </c>
      <c r="F237" t="inlineStr">
        <is>
          <t>VÄSTRA GÖTALANDS LÄN</t>
        </is>
      </c>
      <c r="G237" t="inlineStr">
        <is>
          <t>BORÅS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46316</v>
      </c>
      <c r="F238" t="inlineStr">
        <is>
          <t>VÄSTRA GÖTALANDS LÄN</t>
        </is>
      </c>
      <c r="G238" t="inlineStr">
        <is>
          <t>BORÅS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46316</v>
      </c>
      <c r="F239" t="inlineStr">
        <is>
          <t>VÄSTRA GÖTALANDS LÄN</t>
        </is>
      </c>
      <c r="G239" t="inlineStr">
        <is>
          <t>BORÅS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46316</v>
      </c>
      <c r="F240" t="inlineStr">
        <is>
          <t>VÄSTRA GÖTALANDS LÄN</t>
        </is>
      </c>
      <c r="G240" t="inlineStr">
        <is>
          <t>BORÅS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45233</v>
      </c>
      <c r="E241" s="1" t="n">
        <v>46316</v>
      </c>
      <c r="F241" t="inlineStr">
        <is>
          <t>VÄSTRA GÖTALANDS LÄN</t>
        </is>
      </c>
      <c r="G241" t="inlineStr">
        <is>
          <t>BORÅS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46316</v>
      </c>
      <c r="F242" t="inlineStr">
        <is>
          <t>VÄSTRA GÖTALANDS LÄN</t>
        </is>
      </c>
      <c r="G242" t="inlineStr">
        <is>
          <t>BORÅS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46316</v>
      </c>
      <c r="F243" t="inlineStr">
        <is>
          <t>VÄSTRA GÖTALANDS LÄN</t>
        </is>
      </c>
      <c r="G243" t="inlineStr">
        <is>
          <t>BORÅS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46316</v>
      </c>
      <c r="F244" t="inlineStr">
        <is>
          <t>VÄSTRA GÖTALANDS LÄN</t>
        </is>
      </c>
      <c r="G244" t="inlineStr">
        <is>
          <t>BORÅS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46316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46316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46316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46316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46316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46316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46316</v>
      </c>
      <c r="F251" t="inlineStr">
        <is>
          <t>VÄSTRA GÖTALANDS LÄN</t>
        </is>
      </c>
      <c r="G251" t="inlineStr">
        <is>
          <t>BORÅS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46316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46316</v>
      </c>
      <c r="F253" t="inlineStr">
        <is>
          <t>VÄSTRA GÖTALANDS LÄN</t>
        </is>
      </c>
      <c r="G253" t="inlineStr">
        <is>
          <t>BORÅS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46316</v>
      </c>
      <c r="F254" t="inlineStr">
        <is>
          <t>VÄSTRA GÖTALANDS LÄN</t>
        </is>
      </c>
      <c r="G254" t="inlineStr">
        <is>
          <t>BORÅS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45947</v>
      </c>
      <c r="E255" s="1" t="n">
        <v>46316</v>
      </c>
      <c r="F255" t="inlineStr">
        <is>
          <t>VÄSTRA GÖTALANDS LÄN</t>
        </is>
      </c>
      <c r="G255" t="inlineStr">
        <is>
          <t>BORÅS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46316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45120</v>
      </c>
      <c r="E257" s="1" t="n">
        <v>46316</v>
      </c>
      <c r="F257" t="inlineStr">
        <is>
          <t>VÄSTRA GÖTALANDS LÄN</t>
        </is>
      </c>
      <c r="G257" t="inlineStr">
        <is>
          <t>BORÅS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32482-2023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45120</v>
      </c>
      <c r="E258" s="1" t="n">
        <v>46316</v>
      </c>
      <c r="F258" t="inlineStr">
        <is>
          <t>VÄSTRA GÖTALANDS LÄN</t>
        </is>
      </c>
      <c r="G258" t="inlineStr">
        <is>
          <t>BORÅS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46316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Kyrkan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46316</v>
      </c>
      <c r="F260" t="inlineStr">
        <is>
          <t>VÄSTRA GÖTALANDS LÄN</t>
        </is>
      </c>
      <c r="G260" t="inlineStr">
        <is>
          <t>BORÅS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46316</v>
      </c>
      <c r="F261" t="inlineStr">
        <is>
          <t>VÄSTRA GÖTALANDS LÄN</t>
        </is>
      </c>
      <c r="G261" t="inlineStr">
        <is>
          <t>BORÅS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46316</v>
      </c>
      <c r="F262" t="inlineStr">
        <is>
          <t>VÄSTRA GÖTALANDS LÄN</t>
        </is>
      </c>
      <c r="G262" t="inlineStr">
        <is>
          <t>BORÅS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12635-2026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46091</v>
      </c>
      <c r="E263" s="1" t="n">
        <v>46316</v>
      </c>
      <c r="F263" t="inlineStr">
        <is>
          <t>VÄSTRA GÖTALANDS LÄN</t>
        </is>
      </c>
      <c r="G263" t="inlineStr">
        <is>
          <t>BORÅS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46316</v>
      </c>
      <c r="F264" t="inlineStr">
        <is>
          <t>VÄSTRA GÖTALANDS LÄN</t>
        </is>
      </c>
      <c r="G264" t="inlineStr">
        <is>
          <t>BORÅS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46316</v>
      </c>
      <c r="F265" t="inlineStr">
        <is>
          <t>VÄSTRA GÖTALANDS LÄN</t>
        </is>
      </c>
      <c r="G265" t="inlineStr">
        <is>
          <t>BORÅS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46316</v>
      </c>
      <c r="F266" t="inlineStr">
        <is>
          <t>VÄSTRA GÖTALANDS LÄN</t>
        </is>
      </c>
      <c r="G266" t="inlineStr">
        <is>
          <t>BORÅS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13729-2026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46097</v>
      </c>
      <c r="E267" s="1" t="n">
        <v>46316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46316</v>
      </c>
      <c r="F268" t="inlineStr">
        <is>
          <t>VÄSTRA GÖTALANDS LÄN</t>
        </is>
      </c>
      <c r="G268" t="inlineStr">
        <is>
          <t>BORÅS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46316</v>
      </c>
      <c r="F269" t="inlineStr">
        <is>
          <t>VÄSTRA GÖTALANDS LÄN</t>
        </is>
      </c>
      <c r="G269" t="inlineStr">
        <is>
          <t>BORÅS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50382-2022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44866</v>
      </c>
      <c r="E270" s="1" t="n">
        <v>46316</v>
      </c>
      <c r="F270" t="inlineStr">
        <is>
          <t>VÄSTRA GÖTALANDS LÄN</t>
        </is>
      </c>
      <c r="G270" t="inlineStr">
        <is>
          <t>BORÅS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46316</v>
      </c>
      <c r="F271" t="inlineStr">
        <is>
          <t>VÄSTRA GÖTALANDS LÄN</t>
        </is>
      </c>
      <c r="G271" t="inlineStr">
        <is>
          <t>BORÅS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45741</v>
      </c>
      <c r="E272" s="1" t="n">
        <v>46316</v>
      </c>
      <c r="F272" t="inlineStr">
        <is>
          <t>VÄSTRA GÖTALANDS LÄN</t>
        </is>
      </c>
      <c r="G272" t="inlineStr">
        <is>
          <t>BORÅS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46316</v>
      </c>
      <c r="F273" t="inlineStr">
        <is>
          <t>VÄSTRA GÖTALANDS LÄN</t>
        </is>
      </c>
      <c r="G273" t="inlineStr">
        <is>
          <t>BORÅS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56684-2022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44888</v>
      </c>
      <c r="E274" s="1" t="n">
        <v>46316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Kyrkan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46316</v>
      </c>
      <c r="F275" t="inlineStr">
        <is>
          <t>VÄSTRA GÖTALANDS LÄN</t>
        </is>
      </c>
      <c r="G275" t="inlineStr">
        <is>
          <t>BORÅS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54871-2022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44886</v>
      </c>
      <c r="E276" s="1" t="n">
        <v>46316</v>
      </c>
      <c r="F276" t="inlineStr">
        <is>
          <t>VÄSTRA GÖTALANDS LÄN</t>
        </is>
      </c>
      <c r="G276" t="inlineStr">
        <is>
          <t>BORÅS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44886</v>
      </c>
      <c r="E277" s="1" t="n">
        <v>46316</v>
      </c>
      <c r="F277" t="inlineStr">
        <is>
          <t>VÄSTRA GÖTALANDS LÄN</t>
        </is>
      </c>
      <c r="G277" t="inlineStr">
        <is>
          <t>BORÅS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44854</v>
      </c>
      <c r="E278" s="1" t="n">
        <v>46316</v>
      </c>
      <c r="F278" t="inlineStr">
        <is>
          <t>VÄSTRA GÖTALANDS LÄN</t>
        </is>
      </c>
      <c r="G278" t="inlineStr">
        <is>
          <t>BORÅS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46316</v>
      </c>
      <c r="F279" t="inlineStr">
        <is>
          <t>VÄSTRA GÖTALANDS LÄN</t>
        </is>
      </c>
      <c r="G279" t="inlineStr">
        <is>
          <t>BORÅS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45723</v>
      </c>
      <c r="E280" s="1" t="n">
        <v>46316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30312-2025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45827</v>
      </c>
      <c r="E281" s="1" t="n">
        <v>46316</v>
      </c>
      <c r="F281" t="inlineStr">
        <is>
          <t>VÄSTRA GÖTALANDS LÄN</t>
        </is>
      </c>
      <c r="G281" t="inlineStr">
        <is>
          <t>BORÅS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46316</v>
      </c>
      <c r="F282" t="inlineStr">
        <is>
          <t>VÄSTRA GÖTALANDS LÄN</t>
        </is>
      </c>
      <c r="G282" t="inlineStr">
        <is>
          <t>BORÅS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46316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53988-2025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45961</v>
      </c>
      <c r="E284" s="1" t="n">
        <v>46316</v>
      </c>
      <c r="F284" t="inlineStr">
        <is>
          <t>VÄSTRA GÖTALANDS LÄN</t>
        </is>
      </c>
      <c r="G284" t="inlineStr">
        <is>
          <t>BORÅS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45120</v>
      </c>
      <c r="E285" s="1" t="n">
        <v>46316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45120</v>
      </c>
      <c r="E286" s="1" t="n">
        <v>46316</v>
      </c>
      <c r="F286" t="inlineStr">
        <is>
          <t>VÄSTRA GÖTALANDS LÄN</t>
        </is>
      </c>
      <c r="G286" t="inlineStr">
        <is>
          <t>BORÅS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44958</v>
      </c>
      <c r="E287" s="1" t="n">
        <v>46316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46316</v>
      </c>
      <c r="F288" t="inlineStr">
        <is>
          <t>VÄSTRA GÖTALANDS LÄN</t>
        </is>
      </c>
      <c r="G288" t="inlineStr">
        <is>
          <t>BORÅS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15193-2026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46105</v>
      </c>
      <c r="E289" s="1" t="n">
        <v>46316</v>
      </c>
      <c r="F289" t="inlineStr">
        <is>
          <t>VÄSTRA GÖTALANDS LÄN</t>
        </is>
      </c>
      <c r="G289" t="inlineStr">
        <is>
          <t>BORÅS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30905-2025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46316</v>
      </c>
      <c r="F290" t="inlineStr">
        <is>
          <t>VÄSTRA GÖTALANDS LÄN</t>
        </is>
      </c>
      <c r="G290" t="inlineStr">
        <is>
          <t>BORÅS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46316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53942-2025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45961</v>
      </c>
      <c r="E292" s="1" t="n">
        <v>46316</v>
      </c>
      <c r="F292" t="inlineStr">
        <is>
          <t>VÄSTRA GÖTALANDS LÄN</t>
        </is>
      </c>
      <c r="G292" t="inlineStr">
        <is>
          <t>BORÅS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46316</v>
      </c>
      <c r="F293" t="inlineStr">
        <is>
          <t>VÄSTRA GÖTALANDS LÄN</t>
        </is>
      </c>
      <c r="G293" t="inlineStr">
        <is>
          <t>BORÅS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45483</v>
      </c>
      <c r="E294" s="1" t="n">
        <v>46316</v>
      </c>
      <c r="F294" t="inlineStr">
        <is>
          <t>VÄSTRA GÖTALANDS LÄN</t>
        </is>
      </c>
      <c r="G294" t="inlineStr">
        <is>
          <t>BORÅS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45483</v>
      </c>
      <c r="E295" s="1" t="n">
        <v>46316</v>
      </c>
      <c r="F295" t="inlineStr">
        <is>
          <t>VÄSTRA GÖTALANDS LÄN</t>
        </is>
      </c>
      <c r="G295" t="inlineStr">
        <is>
          <t>BORÅS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46316</v>
      </c>
      <c r="F296" t="inlineStr">
        <is>
          <t>VÄSTRA GÖTALANDS LÄN</t>
        </is>
      </c>
      <c r="G296" t="inlineStr">
        <is>
          <t>BORÅS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46316</v>
      </c>
      <c r="F297" t="inlineStr">
        <is>
          <t>VÄSTRA GÖTALANDS LÄN</t>
        </is>
      </c>
      <c r="G297" t="inlineStr">
        <is>
          <t>BORÅS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46316</v>
      </c>
      <c r="F298" t="inlineStr">
        <is>
          <t>VÄSTRA GÖTALANDS LÄN</t>
        </is>
      </c>
      <c r="G298" t="inlineStr">
        <is>
          <t>BORÅS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45097</v>
      </c>
      <c r="E299" s="1" t="n">
        <v>46316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17234-2026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46119</v>
      </c>
      <c r="E300" s="1" t="n">
        <v>46316</v>
      </c>
      <c r="F300" t="inlineStr">
        <is>
          <t>VÄSTRA GÖTALANDS LÄN</t>
        </is>
      </c>
      <c r="G300" t="inlineStr">
        <is>
          <t>BORÅS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46316</v>
      </c>
      <c r="F301" t="inlineStr">
        <is>
          <t>VÄSTRA GÖTALANDS LÄN</t>
        </is>
      </c>
      <c r="G301" t="inlineStr">
        <is>
          <t>BORÅS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46316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46316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56376-2025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46316</v>
      </c>
      <c r="F304" t="inlineStr">
        <is>
          <t>VÄSTRA GÖTALANDS LÄN</t>
        </is>
      </c>
      <c r="G304" t="inlineStr">
        <is>
          <t>BORÅS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46316</v>
      </c>
      <c r="F305" t="inlineStr">
        <is>
          <t>VÄSTRA GÖTALANDS LÄN</t>
        </is>
      </c>
      <c r="G305" t="inlineStr">
        <is>
          <t>BORÅS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46316</v>
      </c>
      <c r="F306" t="inlineStr">
        <is>
          <t>VÄSTRA GÖTALANDS LÄN</t>
        </is>
      </c>
      <c r="G306" t="inlineStr">
        <is>
          <t>BORÅS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46316</v>
      </c>
      <c r="F307" t="inlineStr">
        <is>
          <t>VÄSTRA GÖTALANDS LÄN</t>
        </is>
      </c>
      <c r="G307" t="inlineStr">
        <is>
          <t>BORÅS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45836</v>
      </c>
      <c r="E308" s="1" t="n">
        <v>46316</v>
      </c>
      <c r="F308" t="inlineStr">
        <is>
          <t>VÄSTRA GÖTALANDS LÄN</t>
        </is>
      </c>
      <c r="G308" t="inlineStr">
        <is>
          <t>BORÅS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46316</v>
      </c>
      <c r="F309" t="inlineStr">
        <is>
          <t>VÄSTRA GÖTALANDS LÄN</t>
        </is>
      </c>
      <c r="G309" t="inlineStr">
        <is>
          <t>BORÅS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45836</v>
      </c>
      <c r="E310" s="1" t="n">
        <v>46316</v>
      </c>
      <c r="F310" t="inlineStr">
        <is>
          <t>VÄSTRA GÖTALANDS LÄN</t>
        </is>
      </c>
      <c r="G310" t="inlineStr">
        <is>
          <t>BORÅS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46316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46316</v>
      </c>
      <c r="F312" t="inlineStr">
        <is>
          <t>VÄSTRA GÖTALANDS LÄN</t>
        </is>
      </c>
      <c r="G312" t="inlineStr">
        <is>
          <t>BORÅS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46316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45982</v>
      </c>
      <c r="E314" s="1" t="n">
        <v>46316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Kommuner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46316</v>
      </c>
      <c r="F315" t="inlineStr">
        <is>
          <t>VÄSTRA GÖTALANDS LÄN</t>
        </is>
      </c>
      <c r="G315" t="inlineStr">
        <is>
          <t>BORÅS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45982</v>
      </c>
      <c r="E316" s="1" t="n">
        <v>46316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  <c r="X316">
        <f>HYPERLINK("https://klasma.github.io/Logging_1490/kartor/A 58304-2025 karta.png", "A 58304-2025")</f>
        <v/>
      </c>
      <c r="Y316">
        <f>HYPERLINK("https://klasma.github.io/Logging_1490/kartor_geotiff/A 58304-2025 georefererad karta.tif", "A 58304-2025")</f>
        <v/>
      </c>
      <c r="AA316">
        <f>HYPERLINK("https://klasma.github.io/Logging_1490/klagomål/A 58304-2025 FSC-klagomål.docx", "A 58304-2025")</f>
        <v/>
      </c>
      <c r="AB316">
        <f>HYPERLINK("https://klasma.github.io/Logging_1490/klagomålsmail/A 58304-2025 FSC-klagomål mail.docx", "A 58304-2025")</f>
        <v/>
      </c>
      <c r="AC316">
        <f>HYPERLINK("https://klasma.github.io/Logging_1490/tillsyn/A 58304-2025 tillsynsbegäran.docx", "A 58304-2025")</f>
        <v/>
      </c>
      <c r="AD316">
        <f>HYPERLINK("https://klasma.github.io/Logging_1490/tillsynsmail/A 58304-2025 tillsynsbegäran mail.docx", "A 58304-2025")</f>
        <v/>
      </c>
    </row>
    <row r="317" ht="15" customHeight="1">
      <c r="A317" t="inlineStr">
        <is>
          <t>A 33725-2025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46316</v>
      </c>
      <c r="F317" t="inlineStr">
        <is>
          <t>VÄSTRA GÖTALANDS LÄN</t>
        </is>
      </c>
      <c r="G317" t="inlineStr">
        <is>
          <t>BORÅS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45392</v>
      </c>
      <c r="E318" s="1" t="n">
        <v>46316</v>
      </c>
      <c r="F318" t="inlineStr">
        <is>
          <t>VÄSTRA GÖTALANDS LÄN</t>
        </is>
      </c>
      <c r="G318" t="inlineStr">
        <is>
          <t>BORÅS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46316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Kyrkan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46316</v>
      </c>
      <c r="F320" t="inlineStr">
        <is>
          <t>VÄSTRA GÖTALANDS LÄN</t>
        </is>
      </c>
      <c r="G320" t="inlineStr">
        <is>
          <t>BORÅS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45846</v>
      </c>
      <c r="E321" s="1" t="n">
        <v>46316</v>
      </c>
      <c r="F321" t="inlineStr">
        <is>
          <t>VÄSTRA GÖTALANDS LÄN</t>
        </is>
      </c>
      <c r="G321" t="inlineStr">
        <is>
          <t>BORÅS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46316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45611</v>
      </c>
      <c r="E323" s="1" t="n">
        <v>46316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70988-2021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44538</v>
      </c>
      <c r="E324" s="1" t="n">
        <v>46316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Kommuner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45798</v>
      </c>
      <c r="E325" s="1" t="n">
        <v>46316</v>
      </c>
      <c r="F325" t="inlineStr">
        <is>
          <t>VÄSTRA GÖTALANDS LÄN</t>
        </is>
      </c>
      <c r="G325" t="inlineStr">
        <is>
          <t>BORÅS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45863</v>
      </c>
      <c r="E326" s="1" t="n">
        <v>46316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46316</v>
      </c>
      <c r="F327" t="inlineStr">
        <is>
          <t>VÄSTRA GÖTALANDS LÄN</t>
        </is>
      </c>
      <c r="G327" t="inlineStr">
        <is>
          <t>BORÅS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31940-2024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45510</v>
      </c>
      <c r="E328" s="1" t="n">
        <v>46316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46316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46316</v>
      </c>
      <c r="F330" t="inlineStr">
        <is>
          <t>VÄSTRA GÖTALANDS LÄN</t>
        </is>
      </c>
      <c r="G330" t="inlineStr">
        <is>
          <t>BORÅS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72806-2021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44547</v>
      </c>
      <c r="E331" s="1" t="n">
        <v>46316</v>
      </c>
      <c r="F331" t="inlineStr">
        <is>
          <t>VÄSTRA GÖTALANDS LÄN</t>
        </is>
      </c>
      <c r="G331" t="inlineStr">
        <is>
          <t>BORÅS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45870</v>
      </c>
      <c r="E332" s="1" t="n">
        <v>46316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46316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46316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46316</v>
      </c>
      <c r="F335" t="inlineStr">
        <is>
          <t>VÄSTRA GÖTALANDS LÄN</t>
        </is>
      </c>
      <c r="G335" t="inlineStr">
        <is>
          <t>BORÅS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46316</v>
      </c>
      <c r="F336" t="inlineStr">
        <is>
          <t>VÄSTRA GÖTALANDS LÄN</t>
        </is>
      </c>
      <c r="G336" t="inlineStr">
        <is>
          <t>BORÅS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11362-2022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44630</v>
      </c>
      <c r="E337" s="1" t="n">
        <v>46316</v>
      </c>
      <c r="F337" t="inlineStr">
        <is>
          <t>VÄSTRA GÖTALANDS LÄN</t>
        </is>
      </c>
      <c r="G337" t="inlineStr">
        <is>
          <t>BORÅS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45855</v>
      </c>
      <c r="E338" s="1" t="n">
        <v>46316</v>
      </c>
      <c r="F338" t="inlineStr">
        <is>
          <t>VÄSTRA GÖTALANDS LÄN</t>
        </is>
      </c>
      <c r="G338" t="inlineStr">
        <is>
          <t>BORÅS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46316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21739-2026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46147</v>
      </c>
      <c r="E340" s="1" t="n">
        <v>46316</v>
      </c>
      <c r="F340" t="inlineStr">
        <is>
          <t>VÄSTRA GÖTALANDS LÄN</t>
        </is>
      </c>
      <c r="G340" t="inlineStr">
        <is>
          <t>BORÅS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44644</v>
      </c>
      <c r="E341" s="1" t="n">
        <v>46316</v>
      </c>
      <c r="F341" t="inlineStr">
        <is>
          <t>VÄSTRA GÖTALANDS LÄN</t>
        </is>
      </c>
      <c r="G341" t="inlineStr">
        <is>
          <t>BORÅS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45392</v>
      </c>
      <c r="E342" s="1" t="n">
        <v>46316</v>
      </c>
      <c r="F342" t="inlineStr">
        <is>
          <t>VÄSTRA GÖTALANDS LÄN</t>
        </is>
      </c>
      <c r="G342" t="inlineStr">
        <is>
          <t>BORÅS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46316</v>
      </c>
      <c r="F343" t="inlineStr">
        <is>
          <t>VÄSTRA GÖTALANDS LÄN</t>
        </is>
      </c>
      <c r="G343" t="inlineStr">
        <is>
          <t>BORÅS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14783-2022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44656</v>
      </c>
      <c r="E344" s="1" t="n">
        <v>46316</v>
      </c>
      <c r="F344" t="inlineStr">
        <is>
          <t>VÄSTRA GÖTALANDS LÄN</t>
        </is>
      </c>
      <c r="G344" t="inlineStr">
        <is>
          <t>BORÅS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46316</v>
      </c>
      <c r="F345" t="inlineStr">
        <is>
          <t>VÄSTRA GÖTALANDS LÄN</t>
        </is>
      </c>
      <c r="G345" t="inlineStr">
        <is>
          <t>BORÅS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46316</v>
      </c>
      <c r="F346" t="inlineStr">
        <is>
          <t>VÄSTRA GÖTALANDS LÄN</t>
        </is>
      </c>
      <c r="G346" t="inlineStr">
        <is>
          <t>BORÅS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46316</v>
      </c>
      <c r="F347" t="inlineStr">
        <is>
          <t>VÄSTRA GÖTALANDS LÄN</t>
        </is>
      </c>
      <c r="G347" t="inlineStr">
        <is>
          <t>BORÅS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45593</v>
      </c>
      <c r="E348" s="1" t="n">
        <v>46316</v>
      </c>
      <c r="F348" t="inlineStr">
        <is>
          <t>VÄSTRA GÖTALANDS LÄN</t>
        </is>
      </c>
      <c r="G348" t="inlineStr">
        <is>
          <t>BORÅS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45819</v>
      </c>
      <c r="E349" s="1" t="n">
        <v>46316</v>
      </c>
      <c r="F349" t="inlineStr">
        <is>
          <t>VÄSTRA GÖTALANDS LÄN</t>
        </is>
      </c>
      <c r="G349" t="inlineStr">
        <is>
          <t>BORÅS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46316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46316</v>
      </c>
      <c r="F351" t="inlineStr">
        <is>
          <t>VÄSTRA GÖTALANDS LÄN</t>
        </is>
      </c>
      <c r="G351" t="inlineStr">
        <is>
          <t>BORÅS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45866</v>
      </c>
      <c r="E352" s="1" t="n">
        <v>46316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24183-2024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45456</v>
      </c>
      <c r="E353" s="1" t="n">
        <v>46316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44914</v>
      </c>
      <c r="E354" s="1" t="n">
        <v>46316</v>
      </c>
      <c r="F354" t="inlineStr">
        <is>
          <t>VÄSTRA GÖTALANDS LÄN</t>
        </is>
      </c>
      <c r="G354" t="inlineStr">
        <is>
          <t>BORÅS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46316</v>
      </c>
      <c r="F355" t="inlineStr">
        <is>
          <t>VÄSTRA GÖTALANDS LÄN</t>
        </is>
      </c>
      <c r="G355" t="inlineStr">
        <is>
          <t>BORÅS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44571</v>
      </c>
      <c r="E356" s="1" t="n">
        <v>46316</v>
      </c>
      <c r="F356" t="inlineStr">
        <is>
          <t>VÄSTRA GÖTALANDS LÄN</t>
        </is>
      </c>
      <c r="G356" t="inlineStr">
        <is>
          <t>BORÅS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46316</v>
      </c>
      <c r="F357" t="inlineStr">
        <is>
          <t>VÄSTRA GÖTALANDS LÄN</t>
        </is>
      </c>
      <c r="G357" t="inlineStr">
        <is>
          <t>BORÅS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46316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54361-2022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44882</v>
      </c>
      <c r="E359" s="1" t="n">
        <v>46316</v>
      </c>
      <c r="F359" t="inlineStr">
        <is>
          <t>VÄSTRA GÖTALANDS LÄN</t>
        </is>
      </c>
      <c r="G359" t="inlineStr">
        <is>
          <t>BORÅS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46316</v>
      </c>
      <c r="F360" t="inlineStr">
        <is>
          <t>VÄSTRA GÖTALANDS LÄN</t>
        </is>
      </c>
      <c r="G360" t="inlineStr">
        <is>
          <t>BORÅS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46316</v>
      </c>
      <c r="F361" t="inlineStr">
        <is>
          <t>VÄSTRA GÖTALANDS LÄN</t>
        </is>
      </c>
      <c r="G361" t="inlineStr">
        <is>
          <t>BORÅS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46316</v>
      </c>
      <c r="F362" t="inlineStr">
        <is>
          <t>VÄSTRA GÖTALANDS LÄN</t>
        </is>
      </c>
      <c r="G362" t="inlineStr">
        <is>
          <t>BORÅS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46316</v>
      </c>
      <c r="F363" t="inlineStr">
        <is>
          <t>VÄSTRA GÖTALANDS LÄN</t>
        </is>
      </c>
      <c r="G363" t="inlineStr">
        <is>
          <t>BORÅS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52367-2025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46316</v>
      </c>
      <c r="F364" t="inlineStr">
        <is>
          <t>VÄSTRA GÖTALANDS LÄN</t>
        </is>
      </c>
      <c r="G364" t="inlineStr">
        <is>
          <t>BORÅS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52904-2024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46316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45567</v>
      </c>
      <c r="E366" s="1" t="n">
        <v>46316</v>
      </c>
      <c r="F366" t="inlineStr">
        <is>
          <t>VÄSTRA GÖTALANDS LÄN</t>
        </is>
      </c>
      <c r="G366" t="inlineStr">
        <is>
          <t>BORÅS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45612</v>
      </c>
      <c r="E367" s="1" t="n">
        <v>46316</v>
      </c>
      <c r="F367" t="inlineStr">
        <is>
          <t>VÄSTRA GÖTALANDS LÄN</t>
        </is>
      </c>
      <c r="G367" t="inlineStr">
        <is>
          <t>BORÅS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20653-2026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46141</v>
      </c>
      <c r="E368" s="1" t="n">
        <v>46316</v>
      </c>
      <c r="F368" t="inlineStr">
        <is>
          <t>VÄSTRA GÖTALANDS LÄN</t>
        </is>
      </c>
      <c r="G368" t="inlineStr">
        <is>
          <t>BORÅS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45343</v>
      </c>
      <c r="E369" s="1" t="n">
        <v>46316</v>
      </c>
      <c r="F369" t="inlineStr">
        <is>
          <t>VÄSTRA GÖTALANDS LÄN</t>
        </is>
      </c>
      <c r="G369" t="inlineStr">
        <is>
          <t>BORÅS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45294</v>
      </c>
      <c r="E370" s="1" t="n">
        <v>46316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45547</v>
      </c>
      <c r="E371" s="1" t="n">
        <v>46316</v>
      </c>
      <c r="F371" t="inlineStr">
        <is>
          <t>VÄSTRA GÖTALANDS LÄN</t>
        </is>
      </c>
      <c r="G371" t="inlineStr">
        <is>
          <t>BORÅS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46316</v>
      </c>
      <c r="F372" t="inlineStr">
        <is>
          <t>VÄSTRA GÖTALANDS LÄN</t>
        </is>
      </c>
      <c r="G372" t="inlineStr">
        <is>
          <t>BORÅS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46316</v>
      </c>
      <c r="F373" t="inlineStr">
        <is>
          <t>VÄSTRA GÖTALANDS LÄN</t>
        </is>
      </c>
      <c r="G373" t="inlineStr">
        <is>
          <t>BORÅS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46316</v>
      </c>
      <c r="F374" t="inlineStr">
        <is>
          <t>VÄSTRA GÖTALANDS LÄN</t>
        </is>
      </c>
      <c r="G374" t="inlineStr">
        <is>
          <t>BORÅS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45877</v>
      </c>
      <c r="E375" s="1" t="n">
        <v>46316</v>
      </c>
      <c r="F375" t="inlineStr">
        <is>
          <t>VÄSTRA GÖTALANDS LÄN</t>
        </is>
      </c>
      <c r="G375" t="inlineStr">
        <is>
          <t>BORÅS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48358-2023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45205</v>
      </c>
      <c r="E376" s="1" t="n">
        <v>46316</v>
      </c>
      <c r="F376" t="inlineStr">
        <is>
          <t>VÄSTRA GÖTALANDS LÄN</t>
        </is>
      </c>
      <c r="G376" t="inlineStr">
        <is>
          <t>BORÅS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46316</v>
      </c>
      <c r="F377" t="inlineStr">
        <is>
          <t>VÄSTRA GÖTALANDS LÄN</t>
        </is>
      </c>
      <c r="G377" t="inlineStr">
        <is>
          <t>BORÅS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45870</v>
      </c>
      <c r="E378" s="1" t="n">
        <v>46316</v>
      </c>
      <c r="F378" t="inlineStr">
        <is>
          <t>VÄSTRA GÖTALANDS LÄN</t>
        </is>
      </c>
      <c r="G378" t="inlineStr">
        <is>
          <t>BORÅS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41778-2023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45176</v>
      </c>
      <c r="E379" s="1" t="n">
        <v>46316</v>
      </c>
      <c r="F379" t="inlineStr">
        <is>
          <t>VÄSTRA GÖTALANDS LÄN</t>
        </is>
      </c>
      <c r="G379" t="inlineStr">
        <is>
          <t>BORÅS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46316</v>
      </c>
      <c r="F380" t="inlineStr">
        <is>
          <t>VÄSTRA GÖTALANDS LÄN</t>
        </is>
      </c>
      <c r="G380" t="inlineStr">
        <is>
          <t>BORÅS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45646</v>
      </c>
      <c r="E381" s="1" t="n">
        <v>46316</v>
      </c>
      <c r="F381" t="inlineStr">
        <is>
          <t>VÄSTRA GÖTALANDS LÄN</t>
        </is>
      </c>
      <c r="G381" t="inlineStr">
        <is>
          <t>BORÅS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46316</v>
      </c>
      <c r="F382" t="inlineStr">
        <is>
          <t>VÄSTRA GÖTALANDS LÄN</t>
        </is>
      </c>
      <c r="G382" t="inlineStr">
        <is>
          <t>BORÅS</t>
        </is>
      </c>
      <c r="H382" t="inlineStr">
        <is>
          <t>Kommuner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46316</v>
      </c>
      <c r="F383" t="inlineStr">
        <is>
          <t>VÄSTRA GÖTALANDS LÄN</t>
        </is>
      </c>
      <c r="G383" t="inlineStr">
        <is>
          <t>BORÅS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45685</v>
      </c>
      <c r="E384" s="1" t="n">
        <v>46316</v>
      </c>
      <c r="F384" t="inlineStr">
        <is>
          <t>VÄSTRA GÖTALANDS LÄN</t>
        </is>
      </c>
      <c r="G384" t="inlineStr">
        <is>
          <t>BORÅS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20279-2026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46136</v>
      </c>
      <c r="E385" s="1" t="n">
        <v>46316</v>
      </c>
      <c r="F385" t="inlineStr">
        <is>
          <t>VÄSTRA GÖTALANDS LÄN</t>
        </is>
      </c>
      <c r="G385" t="inlineStr">
        <is>
          <t>BORÅS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45935</v>
      </c>
      <c r="E386" s="1" t="n">
        <v>46316</v>
      </c>
      <c r="F386" t="inlineStr">
        <is>
          <t>VÄSTRA GÖTALANDS LÄN</t>
        </is>
      </c>
      <c r="G386" t="inlineStr">
        <is>
          <t>BORÅS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46316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46316</v>
      </c>
      <c r="F388" t="inlineStr">
        <is>
          <t>VÄSTRA GÖTALANDS LÄN</t>
        </is>
      </c>
      <c r="G388" t="inlineStr">
        <is>
          <t>BORÅS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46316</v>
      </c>
      <c r="F389" t="inlineStr">
        <is>
          <t>VÄSTRA GÖTALANDS LÄN</t>
        </is>
      </c>
      <c r="G389" t="inlineStr">
        <is>
          <t>BORÅS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46316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46316</v>
      </c>
      <c r="F391" t="inlineStr">
        <is>
          <t>VÄSTRA GÖTALANDS LÄN</t>
        </is>
      </c>
      <c r="G391" t="inlineStr">
        <is>
          <t>BORÅS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46316</v>
      </c>
      <c r="F392" t="inlineStr">
        <is>
          <t>VÄSTRA GÖTALANDS LÄN</t>
        </is>
      </c>
      <c r="G392" t="inlineStr">
        <is>
          <t>BORÅS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46316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45053</v>
      </c>
      <c r="E394" s="1" t="n">
        <v>46316</v>
      </c>
      <c r="F394" t="inlineStr">
        <is>
          <t>VÄSTRA GÖTALANDS LÄN</t>
        </is>
      </c>
      <c r="G394" t="inlineStr">
        <is>
          <t>BORÅS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48886-2022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44859</v>
      </c>
      <c r="E395" s="1" t="n">
        <v>46316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46316</v>
      </c>
      <c r="F396" t="inlineStr">
        <is>
          <t>VÄSTRA GÖTALANDS LÄN</t>
        </is>
      </c>
      <c r="G396" t="inlineStr">
        <is>
          <t>BORÅS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46316</v>
      </c>
      <c r="F397" t="inlineStr">
        <is>
          <t>VÄSTRA GÖTALANDS LÄN</t>
        </is>
      </c>
      <c r="G397" t="inlineStr">
        <is>
          <t>BORÅS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46574-2022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44848</v>
      </c>
      <c r="E398" s="1" t="n">
        <v>46316</v>
      </c>
      <c r="F398" t="inlineStr">
        <is>
          <t>VÄSTRA GÖTALANDS LÄN</t>
        </is>
      </c>
      <c r="G398" t="inlineStr">
        <is>
          <t>BORÅS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63169-2023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45273</v>
      </c>
      <c r="E399" s="1" t="n">
        <v>46316</v>
      </c>
      <c r="F399" t="inlineStr">
        <is>
          <t>VÄSTRA GÖTALANDS LÄN</t>
        </is>
      </c>
      <c r="G399" t="inlineStr">
        <is>
          <t>BORÅS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44592</v>
      </c>
      <c r="E400" s="1" t="n">
        <v>46316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45315</v>
      </c>
      <c r="E401" s="1" t="n">
        <v>46316</v>
      </c>
      <c r="F401" t="inlineStr">
        <is>
          <t>VÄSTRA GÖTALANDS LÄN</t>
        </is>
      </c>
      <c r="G401" t="inlineStr">
        <is>
          <t>BORÅS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46316</v>
      </c>
      <c r="F402" t="inlineStr">
        <is>
          <t>VÄSTRA GÖTALANDS LÄN</t>
        </is>
      </c>
      <c r="G402" t="inlineStr">
        <is>
          <t>BORÅS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6203-2024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45337</v>
      </c>
      <c r="E403" s="1" t="n">
        <v>46316</v>
      </c>
      <c r="F403" t="inlineStr">
        <is>
          <t>VÄSTRA GÖTALANDS LÄN</t>
        </is>
      </c>
      <c r="G403" t="inlineStr">
        <is>
          <t>BORÅS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45085</v>
      </c>
      <c r="E404" s="1" t="n">
        <v>46316</v>
      </c>
      <c r="F404" t="inlineStr">
        <is>
          <t>VÄSTRA GÖTALANDS LÄN</t>
        </is>
      </c>
      <c r="G404" t="inlineStr">
        <is>
          <t>BORÅS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41048-2022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44825</v>
      </c>
      <c r="E405" s="1" t="n">
        <v>46316</v>
      </c>
      <c r="F405" t="inlineStr">
        <is>
          <t>VÄSTRA GÖTALANDS LÄN</t>
        </is>
      </c>
      <c r="G405" t="inlineStr">
        <is>
          <t>BORÅS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27334-2024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45472</v>
      </c>
      <c r="E406" s="1" t="n">
        <v>46316</v>
      </c>
      <c r="F406" t="inlineStr">
        <is>
          <t>VÄSTRA GÖTALANDS LÄN</t>
        </is>
      </c>
      <c r="G406" t="inlineStr">
        <is>
          <t>BORÅS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45412</v>
      </c>
      <c r="E407" s="1" t="n">
        <v>46316</v>
      </c>
      <c r="F407" t="inlineStr">
        <is>
          <t>VÄSTRA GÖTALANDS LÄN</t>
        </is>
      </c>
      <c r="G407" t="inlineStr">
        <is>
          <t>BORÅS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9056-2024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45357</v>
      </c>
      <c r="E408" s="1" t="n">
        <v>46316</v>
      </c>
      <c r="F408" t="inlineStr">
        <is>
          <t>VÄSTRA GÖTALANDS LÄN</t>
        </is>
      </c>
      <c r="G408" t="inlineStr">
        <is>
          <t>BORÅS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46316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46316</v>
      </c>
      <c r="F410" t="inlineStr">
        <is>
          <t>VÄSTRA GÖTALANDS LÄN</t>
        </is>
      </c>
      <c r="G410" t="inlineStr">
        <is>
          <t>BORÅS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28581-2023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45103</v>
      </c>
      <c r="E411" s="1" t="n">
        <v>46316</v>
      </c>
      <c r="F411" t="inlineStr">
        <is>
          <t>VÄSTRA GÖTALANDS LÄN</t>
        </is>
      </c>
      <c r="G411" t="inlineStr">
        <is>
          <t>BORÅS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44782-2025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45917</v>
      </c>
      <c r="E412" s="1" t="n">
        <v>46316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52410-2023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45224</v>
      </c>
      <c r="E413" s="1" t="n">
        <v>46316</v>
      </c>
      <c r="F413" t="inlineStr">
        <is>
          <t>VÄSTRA GÖTALANDS LÄN</t>
        </is>
      </c>
      <c r="G413" t="inlineStr">
        <is>
          <t>BORÅS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46316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34195-2025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45845</v>
      </c>
      <c r="E415" s="1" t="n">
        <v>46316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45264</v>
      </c>
      <c r="E416" s="1" t="n">
        <v>46316</v>
      </c>
      <c r="F416" t="inlineStr">
        <is>
          <t>VÄSTRA GÖTALANDS LÄN</t>
        </is>
      </c>
      <c r="G416" t="inlineStr">
        <is>
          <t>BORÅS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46316</v>
      </c>
      <c r="F417" t="inlineStr">
        <is>
          <t>VÄSTRA GÖTALANDS LÄN</t>
        </is>
      </c>
      <c r="G417" t="inlineStr">
        <is>
          <t>BORÅS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46316</v>
      </c>
      <c r="F418" t="inlineStr">
        <is>
          <t>VÄSTRA GÖTALANDS LÄN</t>
        </is>
      </c>
      <c r="G418" t="inlineStr">
        <is>
          <t>BORÅS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46316</v>
      </c>
      <c r="F419" t="inlineStr">
        <is>
          <t>VÄSTRA GÖTALANDS LÄN</t>
        </is>
      </c>
      <c r="G419" t="inlineStr">
        <is>
          <t>BORÅS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46316</v>
      </c>
      <c r="F420" t="inlineStr">
        <is>
          <t>VÄSTRA GÖTALANDS LÄN</t>
        </is>
      </c>
      <c r="G420" t="inlineStr">
        <is>
          <t>BORÅS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25238-2026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46175</v>
      </c>
      <c r="E421" s="1" t="n">
        <v>46316</v>
      </c>
      <c r="F421" t="inlineStr">
        <is>
          <t>VÄSTRA GÖTALANDS LÄN</t>
        </is>
      </c>
      <c r="G421" t="inlineStr">
        <is>
          <t>BORÅS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45119</v>
      </c>
      <c r="E422" s="1" t="n">
        <v>46316</v>
      </c>
      <c r="F422" t="inlineStr">
        <is>
          <t>VÄSTRA GÖTALANDS LÄN</t>
        </is>
      </c>
      <c r="G422" t="inlineStr">
        <is>
          <t>BORÅS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46316</v>
      </c>
      <c r="F423" t="inlineStr">
        <is>
          <t>VÄSTRA GÖTALANDS LÄN</t>
        </is>
      </c>
      <c r="G423" t="inlineStr">
        <is>
          <t>BORÅS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46316</v>
      </c>
      <c r="F424" t="inlineStr">
        <is>
          <t>VÄSTRA GÖTALANDS LÄN</t>
        </is>
      </c>
      <c r="G424" t="inlineStr">
        <is>
          <t>BORÅS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46316</v>
      </c>
      <c r="F425" t="inlineStr">
        <is>
          <t>VÄSTRA GÖTALANDS LÄN</t>
        </is>
      </c>
      <c r="G425" t="inlineStr">
        <is>
          <t>BORÅS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45308</v>
      </c>
      <c r="E426" s="1" t="n">
        <v>46316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Kommuner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46316</v>
      </c>
      <c r="F427" t="inlineStr">
        <is>
          <t>VÄSTRA GÖTALANDS LÄN</t>
        </is>
      </c>
      <c r="G427" t="inlineStr">
        <is>
          <t>BORÅS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46316</v>
      </c>
      <c r="F428" t="inlineStr">
        <is>
          <t>VÄSTRA GÖTALANDS LÄN</t>
        </is>
      </c>
      <c r="G428" t="inlineStr">
        <is>
          <t>BORÅS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46316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Kyrkan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46316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46316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Kyrkan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46183</v>
      </c>
      <c r="E432" s="1" t="n">
        <v>46316</v>
      </c>
      <c r="F432" t="inlineStr">
        <is>
          <t>VÄSTRA GÖTALANDS LÄN</t>
        </is>
      </c>
      <c r="G432" t="inlineStr">
        <is>
          <t>BORÅS</t>
        </is>
      </c>
      <c r="H432" t="inlineStr">
        <is>
          <t>Kyrkan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46316</v>
      </c>
      <c r="F433" t="inlineStr">
        <is>
          <t>VÄSTRA GÖTALANDS LÄN</t>
        </is>
      </c>
      <c r="G433" t="inlineStr">
        <is>
          <t>BORÅS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46316</v>
      </c>
      <c r="F434" t="inlineStr">
        <is>
          <t>VÄSTRA GÖTALANDS LÄN</t>
        </is>
      </c>
      <c r="G434" t="inlineStr">
        <is>
          <t>BORÅS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44941</v>
      </c>
      <c r="E435" s="1" t="n">
        <v>46316</v>
      </c>
      <c r="F435" t="inlineStr">
        <is>
          <t>VÄSTRA GÖTALANDS LÄN</t>
        </is>
      </c>
      <c r="G435" t="inlineStr">
        <is>
          <t>BORÅS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62446-2023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45268</v>
      </c>
      <c r="E436" s="1" t="n">
        <v>46316</v>
      </c>
      <c r="F436" t="inlineStr">
        <is>
          <t>VÄSTRA GÖTALANDS LÄN</t>
        </is>
      </c>
      <c r="G436" t="inlineStr">
        <is>
          <t>BORÅS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46316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46316</v>
      </c>
      <c r="F438" t="inlineStr">
        <is>
          <t>VÄSTRA GÖTALANDS LÄN</t>
        </is>
      </c>
      <c r="G438" t="inlineStr">
        <is>
          <t>BORÅS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46316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57906-2022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46316</v>
      </c>
      <c r="F440" t="inlineStr">
        <is>
          <t>VÄSTRA GÖTALANDS LÄN</t>
        </is>
      </c>
      <c r="G440" t="inlineStr">
        <is>
          <t>BORÅS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46316</v>
      </c>
      <c r="F441" t="inlineStr">
        <is>
          <t>VÄSTRA GÖTALANDS LÄN</t>
        </is>
      </c>
      <c r="G441" t="inlineStr">
        <is>
          <t>BORÅS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46316</v>
      </c>
      <c r="F442" t="inlineStr">
        <is>
          <t>VÄSTRA GÖTALANDS LÄN</t>
        </is>
      </c>
      <c r="G442" t="inlineStr">
        <is>
          <t>BORÅS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46316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46316</v>
      </c>
      <c r="F444" t="inlineStr">
        <is>
          <t>VÄSTRA GÖTALANDS LÄN</t>
        </is>
      </c>
      <c r="G444" t="inlineStr">
        <is>
          <t>BORÅS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45321</v>
      </c>
      <c r="E445" s="1" t="n">
        <v>46316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Kommuner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45321</v>
      </c>
      <c r="E446" s="1" t="n">
        <v>46316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32443-2023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45120</v>
      </c>
      <c r="E447" s="1" t="n">
        <v>46316</v>
      </c>
      <c r="F447" t="inlineStr">
        <is>
          <t>VÄSTRA GÖTALANDS LÄN</t>
        </is>
      </c>
      <c r="G447" t="inlineStr">
        <is>
          <t>BORÅS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46316</v>
      </c>
      <c r="F448" t="inlineStr">
        <is>
          <t>VÄSTRA GÖTALANDS LÄN</t>
        </is>
      </c>
      <c r="G448" t="inlineStr">
        <is>
          <t>BORÅS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21168-2022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44704</v>
      </c>
      <c r="E449" s="1" t="n">
        <v>46316</v>
      </c>
      <c r="F449" t="inlineStr">
        <is>
          <t>VÄSTRA GÖTALANDS LÄN</t>
        </is>
      </c>
      <c r="G449" t="inlineStr">
        <is>
          <t>BORÅS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46316</v>
      </c>
      <c r="F450" t="inlineStr">
        <is>
          <t>VÄSTRA GÖTALANDS LÄN</t>
        </is>
      </c>
      <c r="G450" t="inlineStr">
        <is>
          <t>BORÅS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57782-2022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44897</v>
      </c>
      <c r="E451" s="1" t="n">
        <v>46316</v>
      </c>
      <c r="F451" t="inlineStr">
        <is>
          <t>VÄSTRA GÖTALANDS LÄN</t>
        </is>
      </c>
      <c r="G451" t="inlineStr">
        <is>
          <t>BORÅS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46316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Kyrkan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14309-2022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44652</v>
      </c>
      <c r="E453" s="1" t="n">
        <v>46316</v>
      </c>
      <c r="F453" t="inlineStr">
        <is>
          <t>VÄSTRA GÖTALANDS LÄN</t>
        </is>
      </c>
      <c r="G453" t="inlineStr">
        <is>
          <t>BORÅS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46316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29628-2026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46316</v>
      </c>
      <c r="F455" t="inlineStr">
        <is>
          <t>VÄSTRA GÖTALANDS LÄN</t>
        </is>
      </c>
      <c r="G455" t="inlineStr">
        <is>
          <t>BORÅS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46316</v>
      </c>
      <c r="F456" t="inlineStr">
        <is>
          <t>VÄSTRA GÖTALANDS LÄN</t>
        </is>
      </c>
      <c r="G456" t="inlineStr">
        <is>
          <t>BORÅS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46316</v>
      </c>
      <c r="F457" t="inlineStr">
        <is>
          <t>VÄSTRA GÖTALANDS LÄN</t>
        </is>
      </c>
      <c r="G457" t="inlineStr">
        <is>
          <t>BORÅS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46316</v>
      </c>
      <c r="F458" t="inlineStr">
        <is>
          <t>VÄSTRA GÖTALANDS LÄN</t>
        </is>
      </c>
      <c r="G458" t="inlineStr">
        <is>
          <t>BORÅS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46316</v>
      </c>
      <c r="F459" t="inlineStr">
        <is>
          <t>VÄSTRA GÖTALANDS LÄN</t>
        </is>
      </c>
      <c r="G459" t="inlineStr">
        <is>
          <t>BORÅS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46316</v>
      </c>
      <c r="F460" t="inlineStr">
        <is>
          <t>VÄSTRA GÖTALANDS LÄN</t>
        </is>
      </c>
      <c r="G460" t="inlineStr">
        <is>
          <t>BORÅS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46316</v>
      </c>
      <c r="F461" t="inlineStr">
        <is>
          <t>VÄSTRA GÖTALANDS LÄN</t>
        </is>
      </c>
      <c r="G461" t="inlineStr">
        <is>
          <t>BORÅS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45772</v>
      </c>
      <c r="E462" s="1" t="n">
        <v>46316</v>
      </c>
      <c r="F462" t="inlineStr">
        <is>
          <t>VÄSTRA GÖTALANDS LÄN</t>
        </is>
      </c>
      <c r="G462" t="inlineStr">
        <is>
          <t>BORÅS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19482-2023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45050</v>
      </c>
      <c r="E463" s="1" t="n">
        <v>46316</v>
      </c>
      <c r="F463" t="inlineStr">
        <is>
          <t>VÄSTRA GÖTALANDS LÄN</t>
        </is>
      </c>
      <c r="G463" t="inlineStr">
        <is>
          <t>BORÅS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44839</v>
      </c>
      <c r="E464" s="1" t="n">
        <v>46316</v>
      </c>
      <c r="F464" t="inlineStr">
        <is>
          <t>VÄSTRA GÖTALANDS LÄN</t>
        </is>
      </c>
      <c r="G464" t="inlineStr">
        <is>
          <t>BORÅS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30152-2026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46316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45120</v>
      </c>
      <c r="E466" s="1" t="n">
        <v>46316</v>
      </c>
      <c r="F466" t="inlineStr">
        <is>
          <t>VÄSTRA GÖTALANDS LÄN</t>
        </is>
      </c>
      <c r="G466" t="inlineStr">
        <is>
          <t>BORÅS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44959</v>
      </c>
      <c r="E467" s="1" t="n">
        <v>46316</v>
      </c>
      <c r="F467" t="inlineStr">
        <is>
          <t>VÄSTRA GÖTALANDS LÄN</t>
        </is>
      </c>
      <c r="G467" t="inlineStr">
        <is>
          <t>BORÅS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46316</v>
      </c>
      <c r="F468" t="inlineStr">
        <is>
          <t>VÄSTRA GÖTALANDS LÄN</t>
        </is>
      </c>
      <c r="G468" t="inlineStr">
        <is>
          <t>BORÅS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5964-2023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44964</v>
      </c>
      <c r="E469" s="1" t="n">
        <v>46316</v>
      </c>
      <c r="F469" t="inlineStr">
        <is>
          <t>VÄSTRA GÖTALANDS LÄN</t>
        </is>
      </c>
      <c r="G469" t="inlineStr">
        <is>
          <t>BORÅS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12584-2022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44639</v>
      </c>
      <c r="E470" s="1" t="n">
        <v>46316</v>
      </c>
      <c r="F470" t="inlineStr">
        <is>
          <t>VÄSTRA GÖTALANDS LÄN</t>
        </is>
      </c>
      <c r="G470" t="inlineStr">
        <is>
          <t>BORÅS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46216</v>
      </c>
      <c r="E471" s="1" t="n">
        <v>46316</v>
      </c>
      <c r="F471" t="inlineStr">
        <is>
          <t>VÄSTRA GÖTALANDS LÄN</t>
        </is>
      </c>
      <c r="G471" t="inlineStr">
        <is>
          <t>BORÅS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49729-2023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45212</v>
      </c>
      <c r="E472" s="1" t="n">
        <v>46316</v>
      </c>
      <c r="F472" t="inlineStr">
        <is>
          <t>VÄSTRA GÖTALANDS LÄN</t>
        </is>
      </c>
      <c r="G472" t="inlineStr">
        <is>
          <t>BORÅS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46316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46316</v>
      </c>
      <c r="F474" t="inlineStr">
        <is>
          <t>VÄSTRA GÖTALANDS LÄN</t>
        </is>
      </c>
      <c r="G474" t="inlineStr">
        <is>
          <t>BORÅS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46316</v>
      </c>
      <c r="F475" t="inlineStr">
        <is>
          <t>VÄSTRA GÖTALANDS LÄN</t>
        </is>
      </c>
      <c r="G475" t="inlineStr">
        <is>
          <t>BORÅS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31206-2026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46217</v>
      </c>
      <c r="E476" s="1" t="n">
        <v>46316</v>
      </c>
      <c r="F476" t="inlineStr">
        <is>
          <t>VÄSTRA GÖTALANDS LÄN</t>
        </is>
      </c>
      <c r="G476" t="inlineStr">
        <is>
          <t>BORÅS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46224</v>
      </c>
      <c r="E477" s="1" t="n">
        <v>46316</v>
      </c>
      <c r="F477" t="inlineStr">
        <is>
          <t>VÄSTRA GÖTALANDS LÄN</t>
        </is>
      </c>
      <c r="G477" t="inlineStr">
        <is>
          <t>BORÅS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44958</v>
      </c>
      <c r="E478" s="1" t="n">
        <v>46316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45148</v>
      </c>
      <c r="E479" s="1" t="n">
        <v>46316</v>
      </c>
      <c r="F479" t="inlineStr">
        <is>
          <t>VÄSTRA GÖTALANDS LÄN</t>
        </is>
      </c>
      <c r="G479" t="inlineStr">
        <is>
          <t>BORÅS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46316</v>
      </c>
      <c r="F480" t="inlineStr">
        <is>
          <t>VÄSTRA GÖTALANDS LÄN</t>
        </is>
      </c>
      <c r="G480" t="inlineStr">
        <is>
          <t>BORÅS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72566-2021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44546</v>
      </c>
      <c r="E481" s="1" t="n">
        <v>46316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48150-2023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45205</v>
      </c>
      <c r="E482" s="1" t="n">
        <v>46316</v>
      </c>
      <c r="F482" t="inlineStr">
        <is>
          <t>VÄSTRA GÖTALANDS LÄN</t>
        </is>
      </c>
      <c r="G482" t="inlineStr">
        <is>
          <t>BORÅS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46316</v>
      </c>
      <c r="F483" t="inlineStr">
        <is>
          <t>VÄSTRA GÖTALANDS LÄN</t>
        </is>
      </c>
      <c r="G483" t="inlineStr">
        <is>
          <t>BORÅS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46453-2024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45582</v>
      </c>
      <c r="E484" s="1" t="n">
        <v>46316</v>
      </c>
      <c r="F484" t="inlineStr">
        <is>
          <t>VÄSTRA GÖTALANDS LÄN</t>
        </is>
      </c>
      <c r="G484" t="inlineStr">
        <is>
          <t>BORÅS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45189</v>
      </c>
      <c r="E485" s="1" t="n">
        <v>46316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46280</v>
      </c>
      <c r="E486" s="1" t="n">
        <v>46316</v>
      </c>
      <c r="F486" t="inlineStr">
        <is>
          <t>VÄSTRA GÖTALANDS LÄN</t>
        </is>
      </c>
      <c r="G486" t="inlineStr">
        <is>
          <t>BORÅS</t>
        </is>
      </c>
      <c r="H486" t="inlineStr">
        <is>
          <t>Kommuner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46316</v>
      </c>
      <c r="F487" t="inlineStr">
        <is>
          <t>VÄSTRA GÖTALANDS LÄN</t>
        </is>
      </c>
      <c r="G487" t="inlineStr">
        <is>
          <t>BORÅS</t>
        </is>
      </c>
      <c r="I487" t="n">
        <v>8.6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46316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38970-2024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45548</v>
      </c>
      <c r="E489" s="1" t="n">
        <v>46316</v>
      </c>
      <c r="F489" t="inlineStr">
        <is>
          <t>VÄSTRA GÖTALANDS LÄN</t>
        </is>
      </c>
      <c r="G489" t="inlineStr">
        <is>
          <t>BORÅS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45792</v>
      </c>
      <c r="E490" s="1" t="n">
        <v>46316</v>
      </c>
      <c r="F490" t="inlineStr">
        <is>
          <t>VÄSTRA GÖTALANDS LÄN</t>
        </is>
      </c>
      <c r="G490" t="inlineStr">
        <is>
          <t>BORÅS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40322-2025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45895</v>
      </c>
      <c r="E491" s="1" t="n">
        <v>46316</v>
      </c>
      <c r="F491" t="inlineStr">
        <is>
          <t>VÄSTRA GÖTALANDS LÄN</t>
        </is>
      </c>
      <c r="G491" t="inlineStr">
        <is>
          <t>BORÅS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45756</v>
      </c>
      <c r="E492" s="1" t="n">
        <v>46316</v>
      </c>
      <c r="F492" t="inlineStr">
        <is>
          <t>VÄSTRA GÖTALANDS LÄN</t>
        </is>
      </c>
      <c r="G492" t="inlineStr">
        <is>
          <t>BORÅS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46316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46316</v>
      </c>
      <c r="F494" t="inlineStr">
        <is>
          <t>VÄSTRA GÖTALANDS LÄN</t>
        </is>
      </c>
      <c r="G494" t="inlineStr">
        <is>
          <t>BORÅS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46316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39184-2026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46316</v>
      </c>
      <c r="F496" t="inlineStr">
        <is>
          <t>VÄSTRA GÖTALANDS LÄN</t>
        </is>
      </c>
      <c r="G496" t="inlineStr">
        <is>
          <t>BORÅS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45058</v>
      </c>
      <c r="E497" s="1" t="n">
        <v>46316</v>
      </c>
      <c r="F497" t="inlineStr">
        <is>
          <t>VÄSTRA GÖTALANDS LÄN</t>
        </is>
      </c>
      <c r="G497" t="inlineStr">
        <is>
          <t>BORÅS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46316</v>
      </c>
      <c r="F498" t="inlineStr">
        <is>
          <t>VÄSTRA GÖTALANDS LÄN</t>
        </is>
      </c>
      <c r="G498" t="inlineStr">
        <is>
          <t>BORÅS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50605-2022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44866</v>
      </c>
      <c r="E499" s="1" t="n">
        <v>46316</v>
      </c>
      <c r="F499" t="inlineStr">
        <is>
          <t>VÄSTRA GÖTALANDS LÄN</t>
        </is>
      </c>
      <c r="G499" t="inlineStr">
        <is>
          <t>BORÅS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46316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46316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46316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46316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46316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46316</v>
      </c>
      <c r="F505" t="inlineStr">
        <is>
          <t>VÄSTRA GÖTALANDS LÄN</t>
        </is>
      </c>
      <c r="G505" t="inlineStr">
        <is>
          <t>BORÅS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54116-2025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45964</v>
      </c>
      <c r="E506" s="1" t="n">
        <v>46316</v>
      </c>
      <c r="F506" t="inlineStr">
        <is>
          <t>VÄSTRA GÖTALANDS LÄN</t>
        </is>
      </c>
      <c r="G506" t="inlineStr">
        <is>
          <t>BORÅS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46316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10291-2025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45720</v>
      </c>
      <c r="E508" s="1" t="n">
        <v>46316</v>
      </c>
      <c r="F508" t="inlineStr">
        <is>
          <t>VÄSTRA GÖTALANDS LÄN</t>
        </is>
      </c>
      <c r="G508" t="inlineStr">
        <is>
          <t>BORÅS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46316</v>
      </c>
      <c r="F509" t="inlineStr">
        <is>
          <t>VÄSTRA GÖTALANDS LÄN</t>
        </is>
      </c>
      <c r="G509" t="inlineStr">
        <is>
          <t>BORÅS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46316</v>
      </c>
      <c r="F510" t="inlineStr">
        <is>
          <t>VÄSTRA GÖTALANDS LÄN</t>
        </is>
      </c>
      <c r="G510" t="inlineStr">
        <is>
          <t>BORÅS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45186</v>
      </c>
      <c r="E511" s="1" t="n">
        <v>46316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46316</v>
      </c>
      <c r="F512" t="inlineStr">
        <is>
          <t>VÄSTRA GÖTALANDS LÄN</t>
        </is>
      </c>
      <c r="G512" t="inlineStr">
        <is>
          <t>BORÅS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45477</v>
      </c>
      <c r="E513" s="1" t="n">
        <v>46316</v>
      </c>
      <c r="F513" t="inlineStr">
        <is>
          <t>VÄSTRA GÖTALANDS LÄN</t>
        </is>
      </c>
      <c r="G513" t="inlineStr">
        <is>
          <t>BORÅS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32163-2023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45119</v>
      </c>
      <c r="E514" s="1" t="n">
        <v>46316</v>
      </c>
      <c r="F514" t="inlineStr">
        <is>
          <t>VÄSTRA GÖTALANDS LÄN</t>
        </is>
      </c>
      <c r="G514" t="inlineStr">
        <is>
          <t>BORÅS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44771</v>
      </c>
      <c r="E515" s="1" t="n">
        <v>46316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46251</v>
      </c>
      <c r="E516" s="1" t="n">
        <v>46316</v>
      </c>
      <c r="F516" t="inlineStr">
        <is>
          <t>VÄSTRA GÖTALANDS LÄN</t>
        </is>
      </c>
      <c r="G516" t="inlineStr">
        <is>
          <t>BORÅS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45225</v>
      </c>
      <c r="E517" s="1" t="n">
        <v>46316</v>
      </c>
      <c r="F517" t="inlineStr">
        <is>
          <t>VÄSTRA GÖTALANDS LÄN</t>
        </is>
      </c>
      <c r="G517" t="inlineStr">
        <is>
          <t>BORÅS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46316</v>
      </c>
      <c r="F518" t="inlineStr">
        <is>
          <t>VÄSTRA GÖTALANDS LÄN</t>
        </is>
      </c>
      <c r="G518" t="inlineStr">
        <is>
          <t>BORÅS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52957-2022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44875</v>
      </c>
      <c r="E519" s="1" t="n">
        <v>46316</v>
      </c>
      <c r="F519" t="inlineStr">
        <is>
          <t>VÄSTRA GÖTALANDS LÄN</t>
        </is>
      </c>
      <c r="G519" t="inlineStr">
        <is>
          <t>BORÅS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46316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45631</v>
      </c>
      <c r="E521" s="1" t="n">
        <v>46316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46295</v>
      </c>
      <c r="E522" s="1" t="n">
        <v>46316</v>
      </c>
      <c r="F522" t="inlineStr">
        <is>
          <t>VÄSTRA GÖTALANDS LÄN</t>
        </is>
      </c>
      <c r="G522" t="inlineStr">
        <is>
          <t>BORÅS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46316</v>
      </c>
      <c r="F523" t="inlineStr">
        <is>
          <t>VÄSTRA GÖTALANDS LÄN</t>
        </is>
      </c>
      <c r="G523" t="inlineStr">
        <is>
          <t>BORÅS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46316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Kommuner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32450-2023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45120</v>
      </c>
      <c r="E525" s="1" t="n">
        <v>46316</v>
      </c>
      <c r="F525" t="inlineStr">
        <is>
          <t>VÄSTRA GÖTALANDS LÄN</t>
        </is>
      </c>
      <c r="G525" t="inlineStr">
        <is>
          <t>BORÅS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46316</v>
      </c>
      <c r="F526" t="inlineStr">
        <is>
          <t>VÄSTRA GÖTALANDS LÄN</t>
        </is>
      </c>
      <c r="G526" t="inlineStr">
        <is>
          <t>BORÅS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46316</v>
      </c>
      <c r="F527" t="inlineStr">
        <is>
          <t>VÄSTRA GÖTALANDS LÄN</t>
        </is>
      </c>
      <c r="G527" t="inlineStr">
        <is>
          <t>BORÅS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46316</v>
      </c>
      <c r="F528" t="inlineStr">
        <is>
          <t>VÄSTRA GÖTALANDS LÄN</t>
        </is>
      </c>
      <c r="G528" t="inlineStr">
        <is>
          <t>BORÅS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65200-2023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45289</v>
      </c>
      <c r="E529" s="1" t="n">
        <v>46316</v>
      </c>
      <c r="F529" t="inlineStr">
        <is>
          <t>VÄSTRA GÖTALANDS LÄN</t>
        </is>
      </c>
      <c r="G529" t="inlineStr">
        <is>
          <t>BORÅS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46316</v>
      </c>
      <c r="F530" t="inlineStr">
        <is>
          <t>VÄSTRA GÖTALANDS LÄN</t>
        </is>
      </c>
      <c r="G530" t="inlineStr">
        <is>
          <t>BORÅS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45294</v>
      </c>
      <c r="E531" s="1" t="n">
        <v>46316</v>
      </c>
      <c r="F531" t="inlineStr">
        <is>
          <t>VÄSTRA GÖTALANDS LÄN</t>
        </is>
      </c>
      <c r="G531" t="inlineStr">
        <is>
          <t>BORÅS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49081-2025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46316</v>
      </c>
      <c r="F532" t="inlineStr">
        <is>
          <t>VÄSTRA GÖTALANDS LÄN</t>
        </is>
      </c>
      <c r="G532" t="inlineStr">
        <is>
          <t>BORÅS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46316</v>
      </c>
      <c r="F533" t="inlineStr">
        <is>
          <t>VÄSTRA GÖTALANDS LÄN</t>
        </is>
      </c>
      <c r="G533" t="inlineStr">
        <is>
          <t>BORÅS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45769</v>
      </c>
      <c r="E534" s="1" t="n">
        <v>46316</v>
      </c>
      <c r="F534" t="inlineStr">
        <is>
          <t>VÄSTRA GÖTALANDS LÄN</t>
        </is>
      </c>
      <c r="G534" t="inlineStr">
        <is>
          <t>BORÅS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45618-2024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45579</v>
      </c>
      <c r="E535" s="1" t="n">
        <v>46316</v>
      </c>
      <c r="F535" t="inlineStr">
        <is>
          <t>VÄSTRA GÖTALANDS LÄN</t>
        </is>
      </c>
      <c r="G535" t="inlineStr">
        <is>
          <t>BORÅS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45294</v>
      </c>
      <c r="E536" s="1" t="n">
        <v>46316</v>
      </c>
      <c r="F536" t="inlineStr">
        <is>
          <t>VÄSTRA GÖTALANDS LÄN</t>
        </is>
      </c>
      <c r="G536" t="inlineStr">
        <is>
          <t>BORÅS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45294</v>
      </c>
      <c r="E537" s="1" t="n">
        <v>46316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29854-2023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46316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46316</v>
      </c>
      <c r="F539" t="inlineStr">
        <is>
          <t>VÄSTRA GÖTALANDS LÄN</t>
        </is>
      </c>
      <c r="G539" t="inlineStr">
        <is>
          <t>BORÅS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46301</v>
      </c>
      <c r="E540" s="1" t="n">
        <v>46316</v>
      </c>
      <c r="F540" t="inlineStr">
        <is>
          <t>VÄSTRA GÖTALANDS LÄN</t>
        </is>
      </c>
      <c r="G540" t="inlineStr">
        <is>
          <t>BORÅS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46316</v>
      </c>
      <c r="F541" t="inlineStr">
        <is>
          <t>VÄSTRA GÖTALANDS LÄN</t>
        </is>
      </c>
      <c r="G541" t="inlineStr">
        <is>
          <t>BORÅS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46316</v>
      </c>
      <c r="F542" t="inlineStr">
        <is>
          <t>VÄSTRA GÖTALANDS LÄN</t>
        </is>
      </c>
      <c r="G542" t="inlineStr">
        <is>
          <t>BORÅS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41998-2026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46303</v>
      </c>
      <c r="E543" s="1" t="n">
        <v>46316</v>
      </c>
      <c r="F543" t="inlineStr">
        <is>
          <t>VÄSTRA GÖTALANDS LÄN</t>
        </is>
      </c>
      <c r="G543" t="inlineStr">
        <is>
          <t>BORÅS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46303</v>
      </c>
      <c r="E544" s="1" t="n">
        <v>46316</v>
      </c>
      <c r="F544" t="inlineStr">
        <is>
          <t>VÄSTRA GÖTALANDS LÄN</t>
        </is>
      </c>
      <c r="G544" t="inlineStr">
        <is>
          <t>BORÅS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46260</v>
      </c>
      <c r="E545" s="1" t="n">
        <v>46316</v>
      </c>
      <c r="F545" t="inlineStr">
        <is>
          <t>VÄSTRA GÖTALANDS LÄN</t>
        </is>
      </c>
      <c r="G545" t="inlineStr">
        <is>
          <t>BORÅS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35245-2026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46260</v>
      </c>
      <c r="E546" s="1" t="n">
        <v>46316</v>
      </c>
      <c r="F546" t="inlineStr">
        <is>
          <t>VÄSTRA GÖTALANDS LÄN</t>
        </is>
      </c>
      <c r="G546" t="inlineStr">
        <is>
          <t>BORÅS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46316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44564</v>
      </c>
      <c r="E548" s="1" t="n">
        <v>46316</v>
      </c>
      <c r="F548" t="inlineStr">
        <is>
          <t>VÄSTRA GÖTALANDS LÄN</t>
        </is>
      </c>
      <c r="G548" t="inlineStr">
        <is>
          <t>BORÅS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45062</v>
      </c>
      <c r="E549" s="1" t="n">
        <v>46316</v>
      </c>
      <c r="F549" t="inlineStr">
        <is>
          <t>VÄSTRA GÖTALANDS LÄN</t>
        </is>
      </c>
      <c r="G549" t="inlineStr">
        <is>
          <t>BORÅS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46316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46260</v>
      </c>
      <c r="E551" s="1" t="n">
        <v>46316</v>
      </c>
      <c r="F551" t="inlineStr">
        <is>
          <t>VÄSTRA GÖTALANDS LÄN</t>
        </is>
      </c>
      <c r="G551" t="inlineStr">
        <is>
          <t>BORÅS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53125-2024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46316</v>
      </c>
      <c r="F552" t="inlineStr">
        <is>
          <t>VÄSTRA GÖTALANDS LÄN</t>
        </is>
      </c>
      <c r="G552" t="inlineStr">
        <is>
          <t>BORÅS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35244-2026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46260</v>
      </c>
      <c r="E553" s="1" t="n">
        <v>46316</v>
      </c>
      <c r="F553" t="inlineStr">
        <is>
          <t>VÄSTRA GÖTALANDS LÄN</t>
        </is>
      </c>
      <c r="G553" t="inlineStr">
        <is>
          <t>BORÅS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35130-2026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46260</v>
      </c>
      <c r="E554" s="1" t="n">
        <v>46316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46316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46306</v>
      </c>
      <c r="E556" s="1" t="n">
        <v>46316</v>
      </c>
      <c r="F556" t="inlineStr">
        <is>
          <t>VÄSTRA GÖTALANDS LÄN</t>
        </is>
      </c>
      <c r="G556" t="inlineStr">
        <is>
          <t>BORÅS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45670</v>
      </c>
      <c r="E557" s="1" t="n">
        <v>46316</v>
      </c>
      <c r="F557" t="inlineStr">
        <is>
          <t>VÄSTRA GÖTALANDS LÄN</t>
        </is>
      </c>
      <c r="G557" t="inlineStr">
        <is>
          <t>BORÅS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46306</v>
      </c>
      <c r="E558" s="1" t="n">
        <v>46316</v>
      </c>
      <c r="F558" t="inlineStr">
        <is>
          <t>VÄSTRA GÖTALANDS LÄN</t>
        </is>
      </c>
      <c r="G558" t="inlineStr">
        <is>
          <t>BORÅS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46306</v>
      </c>
      <c r="E559" s="1" t="n">
        <v>46316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46306</v>
      </c>
      <c r="E560" s="1" t="n">
        <v>46316</v>
      </c>
      <c r="F560" t="inlineStr">
        <is>
          <t>VÄSTRA GÖTALANDS LÄN</t>
        </is>
      </c>
      <c r="G560" t="inlineStr">
        <is>
          <t>BORÅS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46306</v>
      </c>
      <c r="E561" s="1" t="n">
        <v>46316</v>
      </c>
      <c r="F561" t="inlineStr">
        <is>
          <t>VÄSTRA GÖTALANDS LÄN</t>
        </is>
      </c>
      <c r="G561" t="inlineStr">
        <is>
          <t>BORÅS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10147-2024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46316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42726-2026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46308</v>
      </c>
      <c r="E563" s="1" t="n">
        <v>46316</v>
      </c>
      <c r="F563" t="inlineStr">
        <is>
          <t>VÄSTRA GÖTALANDS LÄN</t>
        </is>
      </c>
      <c r="G563" t="inlineStr">
        <is>
          <t>BORÅS</t>
        </is>
      </c>
      <c r="H563" t="inlineStr">
        <is>
          <t>Kommuner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45671</v>
      </c>
      <c r="E564" s="1" t="n">
        <v>46316</v>
      </c>
      <c r="F564" t="inlineStr">
        <is>
          <t>VÄSTRA GÖTALANDS LÄN</t>
        </is>
      </c>
      <c r="G564" t="inlineStr">
        <is>
          <t>BORÅS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44577</v>
      </c>
      <c r="E565" s="1" t="n">
        <v>46316</v>
      </c>
      <c r="F565" t="inlineStr">
        <is>
          <t>VÄSTRA GÖTALANDS LÄN</t>
        </is>
      </c>
      <c r="G565" t="inlineStr">
        <is>
          <t>BORÅS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27335-2024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45472</v>
      </c>
      <c r="E566" s="1" t="n">
        <v>46316</v>
      </c>
      <c r="F566" t="inlineStr">
        <is>
          <t>VÄSTRA GÖTALANDS LÄN</t>
        </is>
      </c>
      <c r="G566" t="inlineStr">
        <is>
          <t>BORÅS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46310</v>
      </c>
      <c r="E567" s="1" t="n">
        <v>46316</v>
      </c>
      <c r="F567" t="inlineStr">
        <is>
          <t>VÄSTRA GÖTALANDS LÄN</t>
        </is>
      </c>
      <c r="G567" t="inlineStr">
        <is>
          <t>BORÅS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58895-2024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45636</v>
      </c>
      <c r="E568" s="1" t="n">
        <v>46316</v>
      </c>
      <c r="F568" t="inlineStr">
        <is>
          <t>VÄSTRA GÖTALANDS LÄN</t>
        </is>
      </c>
      <c r="G568" t="inlineStr">
        <is>
          <t>BORÅS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46316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46316</v>
      </c>
      <c r="F570" t="inlineStr">
        <is>
          <t>VÄSTRA GÖTALANDS LÄN</t>
        </is>
      </c>
      <c r="G570" t="inlineStr">
        <is>
          <t>BORÅS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46316</v>
      </c>
      <c r="F571" t="inlineStr">
        <is>
          <t>VÄSTRA GÖTALANDS LÄN</t>
        </is>
      </c>
      <c r="G571" t="inlineStr">
        <is>
          <t>BORÅS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32186-2023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46316</v>
      </c>
      <c r="F572" t="inlineStr">
        <is>
          <t>VÄSTRA GÖTALANDS LÄN</t>
        </is>
      </c>
      <c r="G572" t="inlineStr">
        <is>
          <t>BORÅS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46316</v>
      </c>
      <c r="F573" t="inlineStr">
        <is>
          <t>VÄSTRA GÖTALANDS LÄN</t>
        </is>
      </c>
      <c r="G573" t="inlineStr">
        <is>
          <t>BORÅS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62532-2022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44916</v>
      </c>
      <c r="E574" s="1" t="n">
        <v>46316</v>
      </c>
      <c r="F574" t="inlineStr">
        <is>
          <t>VÄSTRA GÖTALANDS LÄN</t>
        </is>
      </c>
      <c r="G574" t="inlineStr">
        <is>
          <t>BORÅS</t>
        </is>
      </c>
      <c r="I574" t="n">
        <v>9.800000000000001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32452-2023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45120</v>
      </c>
      <c r="E575" s="1" t="n">
        <v>46316</v>
      </c>
      <c r="F575" t="inlineStr">
        <is>
          <t>VÄSTRA GÖTALANDS LÄN</t>
        </is>
      </c>
      <c r="G575" t="inlineStr">
        <is>
          <t>BORÅS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45120</v>
      </c>
      <c r="E576" s="1" t="n">
        <v>46316</v>
      </c>
      <c r="F576" t="inlineStr">
        <is>
          <t>VÄSTRA GÖTALANDS LÄN</t>
        </is>
      </c>
      <c r="G576" t="inlineStr">
        <is>
          <t>BORÅS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58483-2024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46316</v>
      </c>
      <c r="F577" t="inlineStr">
        <is>
          <t>VÄSTRA GÖTALANDS LÄN</t>
        </is>
      </c>
      <c r="G577" t="inlineStr">
        <is>
          <t>BORÅS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46316</v>
      </c>
      <c r="F578" t="inlineStr">
        <is>
          <t>VÄSTRA GÖTALANDS LÄN</t>
        </is>
      </c>
      <c r="G578" t="inlineStr">
        <is>
          <t>BORÅS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46316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44837</v>
      </c>
      <c r="E580" s="1" t="n">
        <v>46316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46316</v>
      </c>
      <c r="F581" t="inlineStr">
        <is>
          <t>VÄSTRA GÖTALANDS LÄN</t>
        </is>
      </c>
      <c r="G581" t="inlineStr">
        <is>
          <t>BORÅS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42851-2026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46310</v>
      </c>
      <c r="E582" s="1" t="n">
        <v>46316</v>
      </c>
      <c r="F582" t="inlineStr">
        <is>
          <t>VÄSTRA GÖTALANDS LÄN</t>
        </is>
      </c>
      <c r="G582" t="inlineStr">
        <is>
          <t>BORÅS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45048</v>
      </c>
      <c r="E583" s="1" t="n">
        <v>46316</v>
      </c>
      <c r="F583" t="inlineStr">
        <is>
          <t>VÄSTRA GÖTALANDS LÄN</t>
        </is>
      </c>
      <c r="G583" t="inlineStr">
        <is>
          <t>BORÅS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28171-2022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44746</v>
      </c>
      <c r="E584" s="1" t="n">
        <v>46316</v>
      </c>
      <c r="F584" t="inlineStr">
        <is>
          <t>VÄSTRA GÖTALANDS LÄN</t>
        </is>
      </c>
      <c r="G584" t="inlineStr">
        <is>
          <t>BORÅS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46316</v>
      </c>
      <c r="F585" t="inlineStr">
        <is>
          <t>VÄSTRA GÖTALANDS LÄN</t>
        </is>
      </c>
      <c r="G585" t="inlineStr">
        <is>
          <t>BORÅS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36866-2026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46272</v>
      </c>
      <c r="E586" s="1" t="n">
        <v>46316</v>
      </c>
      <c r="F586" t="inlineStr">
        <is>
          <t>VÄSTRA GÖTALANDS LÄN</t>
        </is>
      </c>
      <c r="G586" t="inlineStr">
        <is>
          <t>BORÅS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32742-2024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45516</v>
      </c>
      <c r="E587" s="1" t="n">
        <v>46316</v>
      </c>
      <c r="F587" t="inlineStr">
        <is>
          <t>VÄSTRA GÖTALANDS LÄN</t>
        </is>
      </c>
      <c r="G587" t="inlineStr">
        <is>
          <t>BORÅS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50282-2023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45216</v>
      </c>
      <c r="E588" s="1" t="n">
        <v>46316</v>
      </c>
      <c r="F588" t="inlineStr">
        <is>
          <t>VÄSTRA GÖTALANDS LÄN</t>
        </is>
      </c>
      <c r="G588" t="inlineStr">
        <is>
          <t>BORÅS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46316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63178-2023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45273</v>
      </c>
      <c r="E590" s="1" t="n">
        <v>46316</v>
      </c>
      <c r="F590" t="inlineStr">
        <is>
          <t>VÄSTRA GÖTALANDS LÄN</t>
        </is>
      </c>
      <c r="G590" t="inlineStr">
        <is>
          <t>BORÅS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46316</v>
      </c>
      <c r="F591" t="inlineStr">
        <is>
          <t>VÄSTRA GÖTALANDS LÄN</t>
        </is>
      </c>
      <c r="G591" t="inlineStr">
        <is>
          <t>BORÅS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18248-2024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45421</v>
      </c>
      <c r="E592" s="1" t="n">
        <v>46316</v>
      </c>
      <c r="F592" t="inlineStr">
        <is>
          <t>VÄSTRA GÖTALANDS LÄN</t>
        </is>
      </c>
      <c r="G592" t="inlineStr">
        <is>
          <t>BORÅS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45486-2023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45194</v>
      </c>
      <c r="E593" s="1" t="n">
        <v>46316</v>
      </c>
      <c r="F593" t="inlineStr">
        <is>
          <t>VÄSTRA GÖTALANDS LÄN</t>
        </is>
      </c>
      <c r="G593" t="inlineStr">
        <is>
          <t>BORÅS</t>
        </is>
      </c>
      <c r="I593" t="n">
        <v>11.7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45119</v>
      </c>
      <c r="E594" s="1" t="n">
        <v>46316</v>
      </c>
      <c r="F594" t="inlineStr">
        <is>
          <t>VÄSTRA GÖTALANDS LÄN</t>
        </is>
      </c>
      <c r="G594" t="inlineStr">
        <is>
          <t>BORÅS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44748</v>
      </c>
      <c r="E595" s="1" t="n">
        <v>46316</v>
      </c>
      <c r="F595" t="inlineStr">
        <is>
          <t>VÄSTRA GÖTALANDS LÄN</t>
        </is>
      </c>
      <c r="G595" t="inlineStr">
        <is>
          <t>BORÅS</t>
        </is>
      </c>
      <c r="H595" t="inlineStr">
        <is>
          <t>Kommuner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45302</v>
      </c>
      <c r="E596" s="1" t="n">
        <v>46316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Sveaskog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45432</v>
      </c>
      <c r="E597" s="1" t="n">
        <v>46316</v>
      </c>
      <c r="F597" t="inlineStr">
        <is>
          <t>VÄSTRA GÖTALANDS LÄN</t>
        </is>
      </c>
      <c r="G597" t="inlineStr">
        <is>
          <t>BORÅS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50359-2023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45216</v>
      </c>
      <c r="E598" s="1" t="n">
        <v>46316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45321</v>
      </c>
      <c r="E599" s="1" t="n">
        <v>46316</v>
      </c>
      <c r="F599" t="inlineStr">
        <is>
          <t>VÄSTRA GÖTALANDS LÄN</t>
        </is>
      </c>
      <c r="G599" t="inlineStr">
        <is>
          <t>BORÅS</t>
        </is>
      </c>
      <c r="H599" t="inlineStr">
        <is>
          <t>Kommuner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60931-2022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44914</v>
      </c>
      <c r="E600" s="1" t="n">
        <v>46316</v>
      </c>
      <c r="F600" t="inlineStr">
        <is>
          <t>VÄSTRA GÖTALANDS LÄN</t>
        </is>
      </c>
      <c r="G600" t="inlineStr">
        <is>
          <t>BORÅS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45168</v>
      </c>
      <c r="E601" s="1" t="n">
        <v>46316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46316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45741</v>
      </c>
      <c r="E603" s="1" t="n">
        <v>46316</v>
      </c>
      <c r="F603" t="inlineStr">
        <is>
          <t>VÄSTRA GÖTALANDS LÄN</t>
        </is>
      </c>
      <c r="G603" t="inlineStr">
        <is>
          <t>BORÅS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48508-2024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46316</v>
      </c>
      <c r="F604" t="inlineStr">
        <is>
          <t>VÄSTRA GÖTALANDS LÄN</t>
        </is>
      </c>
      <c r="G604" t="inlineStr">
        <is>
          <t>BORÅS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46439-2024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45582</v>
      </c>
      <c r="E605" s="1" t="n">
        <v>46316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46316</v>
      </c>
      <c r="F606" t="inlineStr">
        <is>
          <t>VÄSTRA GÖTALANDS LÄN</t>
        </is>
      </c>
      <c r="G606" t="inlineStr">
        <is>
          <t>BORÅS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46316</v>
      </c>
      <c r="F607" t="inlineStr">
        <is>
          <t>VÄSTRA GÖTALANDS LÄN</t>
        </is>
      </c>
      <c r="G607" t="inlineStr">
        <is>
          <t>BORÅS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21388-2025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45782</v>
      </c>
      <c r="E608" s="1" t="n">
        <v>46316</v>
      </c>
      <c r="F608" t="inlineStr">
        <is>
          <t>VÄSTRA GÖTALANDS LÄN</t>
        </is>
      </c>
      <c r="G608" t="inlineStr">
        <is>
          <t>BORÅS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45783</v>
      </c>
      <c r="E609" s="1" t="n">
        <v>46316</v>
      </c>
      <c r="F609" t="inlineStr">
        <is>
          <t>VÄSTRA GÖTALANDS LÄN</t>
        </is>
      </c>
      <c r="G609" t="inlineStr">
        <is>
          <t>BORÅS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27752-2024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45475</v>
      </c>
      <c r="E610" s="1" t="n">
        <v>46316</v>
      </c>
      <c r="F610" t="inlineStr">
        <is>
          <t>VÄSTRA GÖTALANDS LÄN</t>
        </is>
      </c>
      <c r="G610" t="inlineStr">
        <is>
          <t>BORÅS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47358-2024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45587</v>
      </c>
      <c r="E611" s="1" t="n">
        <v>46316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49004-2023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45209</v>
      </c>
      <c r="E612" s="1" t="n">
        <v>46316</v>
      </c>
      <c r="F612" t="inlineStr">
        <is>
          <t>VÄSTRA GÖTALANDS LÄN</t>
        </is>
      </c>
      <c r="G612" t="inlineStr">
        <is>
          <t>BORÅS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10681-2025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45721</v>
      </c>
      <c r="E613" s="1" t="n">
        <v>46316</v>
      </c>
      <c r="F613" t="inlineStr">
        <is>
          <t>VÄSTRA GÖTALANDS LÄN</t>
        </is>
      </c>
      <c r="G613" t="inlineStr">
        <is>
          <t>BORÅS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46316</v>
      </c>
      <c r="F614" t="inlineStr">
        <is>
          <t>VÄSTRA GÖTALANDS LÄN</t>
        </is>
      </c>
      <c r="G614" t="inlineStr">
        <is>
          <t>BORÅS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49584-2024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45596</v>
      </c>
      <c r="E615" s="1" t="n">
        <v>46316</v>
      </c>
      <c r="F615" t="inlineStr">
        <is>
          <t>VÄSTRA GÖTALANDS LÄN</t>
        </is>
      </c>
      <c r="G615" t="inlineStr">
        <is>
          <t>BORÅS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46316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22736-2025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46316</v>
      </c>
      <c r="F617" t="inlineStr">
        <is>
          <t>VÄSTRA GÖTALANDS LÄN</t>
        </is>
      </c>
      <c r="G617" t="inlineStr">
        <is>
          <t>BORÅS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46316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46316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46316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46316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46316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46316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46316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46316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1559-2022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44642</v>
      </c>
      <c r="E626" s="1" t="n">
        <v>46316</v>
      </c>
      <c r="F626" t="inlineStr">
        <is>
          <t>VÄSTRA GÖTALANDS LÄN</t>
        </is>
      </c>
      <c r="G626" t="inlineStr">
        <is>
          <t>BORÅS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46316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3027-2024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45513</v>
      </c>
      <c r="E628" s="1" t="n">
        <v>46316</v>
      </c>
      <c r="F628" t="inlineStr">
        <is>
          <t>VÄSTRA GÖTALANDS LÄN</t>
        </is>
      </c>
      <c r="G628" t="inlineStr">
        <is>
          <t>BORÅS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2814-2022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44706</v>
      </c>
      <c r="E629" s="1" t="n">
        <v>46316</v>
      </c>
      <c r="F629" t="inlineStr">
        <is>
          <t>VÄSTRA GÖTALANDS LÄN</t>
        </is>
      </c>
      <c r="G629" t="inlineStr">
        <is>
          <t>BORÅS</t>
        </is>
      </c>
      <c r="H629" t="inlineStr">
        <is>
          <t>Kyrkan</t>
        </is>
      </c>
      <c r="I629" t="n">
        <v>39.7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46316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46316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46316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1800-2025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46316</v>
      </c>
      <c r="F633" t="inlineStr">
        <is>
          <t>VÄSTRA GÖTALANDS LÄN</t>
        </is>
      </c>
      <c r="G633" t="inlineStr">
        <is>
          <t>BORÅS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1640-2024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45429</v>
      </c>
      <c r="E634" s="1" t="n">
        <v>46316</v>
      </c>
      <c r="F634" t="inlineStr">
        <is>
          <t>VÄSTRA GÖTALANDS LÄN</t>
        </is>
      </c>
      <c r="G634" t="inlineStr">
        <is>
          <t>BORÅS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1979-2025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45831</v>
      </c>
      <c r="E635" s="1" t="n">
        <v>46316</v>
      </c>
      <c r="F635" t="inlineStr">
        <is>
          <t>VÄSTRA GÖTALANDS LÄN</t>
        </is>
      </c>
      <c r="G635" t="inlineStr">
        <is>
          <t>BORÅS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2374-2025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45890</v>
      </c>
      <c r="E636" s="1" t="n">
        <v>46316</v>
      </c>
      <c r="F636" t="inlineStr">
        <is>
          <t>VÄSTRA GÖTALANDS LÄN</t>
        </is>
      </c>
      <c r="G636" t="inlineStr">
        <is>
          <t>BORÅS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3201-2025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45979</v>
      </c>
      <c r="E637" s="1" t="n">
        <v>46316</v>
      </c>
      <c r="F637" t="inlineStr">
        <is>
          <t>VÄSTRA GÖTALANDS LÄN</t>
        </is>
      </c>
      <c r="G637" t="inlineStr">
        <is>
          <t>BORÅS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944-2025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46316</v>
      </c>
      <c r="F638" t="inlineStr">
        <is>
          <t>VÄSTRA GÖTALANDS LÄN</t>
        </is>
      </c>
      <c r="G638" t="inlineStr">
        <is>
          <t>BORÅS</t>
        </is>
      </c>
      <c r="I638" t="n">
        <v>7.5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943-2025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46316</v>
      </c>
      <c r="F639" t="inlineStr">
        <is>
          <t>VÄSTRA GÖTALANDS LÄN</t>
        </is>
      </c>
      <c r="G639" t="inlineStr">
        <is>
          <t>BORÅS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2453-2023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45127</v>
      </c>
      <c r="E640" s="1" t="n">
        <v>46316</v>
      </c>
      <c r="F640" t="inlineStr">
        <is>
          <t>VÄSTRA GÖTALANDS LÄN</t>
        </is>
      </c>
      <c r="G640" t="inlineStr">
        <is>
          <t>BORÅS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471-2026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46073</v>
      </c>
      <c r="E641" s="1" t="n">
        <v>46316</v>
      </c>
      <c r="F641" t="inlineStr">
        <is>
          <t>VÄSTRA GÖTALANDS LÄN</t>
        </is>
      </c>
      <c r="G641" t="inlineStr">
        <is>
          <t>BORÅS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560-2026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46083</v>
      </c>
      <c r="E642" s="1" t="n">
        <v>46316</v>
      </c>
      <c r="F642" t="inlineStr">
        <is>
          <t>VÄSTRA GÖTALANDS LÄN</t>
        </is>
      </c>
      <c r="G642" t="inlineStr">
        <is>
          <t>BORÅS</t>
        </is>
      </c>
      <c r="I642" t="n">
        <v>17.6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2026-10-21T02:05:56Z</dcterms:created>
  <dcterms:modified xmlns:dcterms="http://purl.org/dc/terms/" xmlns:xsi="http://www.w3.org/2001/XMLSchema-instance" xsi:type="dcterms:W3CDTF">2026-10-21T02:05:57Z</dcterms:modified>
</cp:coreProperties>
</file>