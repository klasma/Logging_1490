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46239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46239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46239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46239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46239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46239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46239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46239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46239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46239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57442-2024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46239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11</v>
      </c>
      <c r="U21" t="n">
        <v>1</v>
      </c>
      <c r="V21" s="2" t="inlineStr">
        <is>
          <t>Talltita
Spillkråka
Revlummer</t>
        </is>
      </c>
      <c r="W21">
        <f>HYPERLINK("https://klasma.github.io/Logging_1490/artfynd/A 57442-2024 artfynd.xlsx", "A 57442-2024")</f>
        <v/>
      </c>
      <c r="X21">
        <f>HYPERLINK("https://klasma.github.io/Logging_1490/kartor/A 57442-2024 karta.png", "A 57442-2024")</f>
        <v/>
      </c>
      <c r="Y21">
        <f>HYPERLINK("https://klasma.github.io/Logging_1490/kartor_geotiff/A 57442-2024 georefererad karta.tif", "A 57442-2024")</f>
        <v/>
      </c>
      <c r="AA21">
        <f>HYPERLINK("https://klasma.github.io/Logging_1490/klagomål/A 57442-2024 FSC-klagomål.docx", "A 57442-2024")</f>
        <v/>
      </c>
      <c r="AB21">
        <f>HYPERLINK("https://klasma.github.io/Logging_1490/klagomålsmail/A 57442-2024 FSC-klagomål mail.docx", "A 57442-2024")</f>
        <v/>
      </c>
      <c r="AC21">
        <f>HYPERLINK("https://klasma.github.io/Logging_1490/tillsyn/A 57442-2024 tillsynsbegäran.docx", "A 57442-2024")</f>
        <v/>
      </c>
      <c r="AD21">
        <f>HYPERLINK("https://klasma.github.io/Logging_1490/tillsynsmail/A 57442-2024 tillsynsbegäran mail.docx", "A 57442-2024")</f>
        <v/>
      </c>
      <c r="AE21">
        <f>HYPERLINK("https://klasma.github.io/Logging_1490/fåglar/A 57442-2024 prioriterade fågelarter.docx", "A 57442-2024")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46239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46239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46239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46239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46239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46239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46239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46239</v>
      </c>
      <c r="F29" t="inlineStr">
        <is>
          <t>VÄSTRA GÖTALANDS LÄN</t>
        </is>
      </c>
      <c r="G29" t="inlineStr">
        <is>
          <t>BORÅS</t>
        </is>
      </c>
      <c r="I29" t="n">
        <v>4.2</v>
      </c>
      <c r="J29" t="n">
        <v>0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Grynig filtlav
Skinnlav</t>
        </is>
      </c>
      <c r="W29">
        <f>HYPERLINK("https://klasma.github.io/Logging_1490/artfynd/A 8097-2024 artfynd.xlsx", "A 8097-2024")</f>
        <v/>
      </c>
      <c r="X29">
        <f>HYPERLINK("https://klasma.github.io/Logging_1490/kartor/A 8097-2024 karta.png", "A 8097-2024")</f>
        <v/>
      </c>
      <c r="Y29">
        <f>HYPERLINK("https://klasma.github.io/Logging_1490/kartor_geotiff/A 8097-2024 georefererad karta.tif", "A 8097-2024")</f>
        <v/>
      </c>
      <c r="AA29">
        <f>HYPERLINK("https://klasma.github.io/Logging_1490/klagomål/A 8097-2024 FSC-klagomål.docx", "A 8097-2024")</f>
        <v/>
      </c>
      <c r="AB29">
        <f>HYPERLINK("https://klasma.github.io/Logging_1490/klagomålsmail/A 8097-2024 FSC-klagomål mail.docx", "A 8097-2024")</f>
        <v/>
      </c>
      <c r="AC29">
        <f>HYPERLINK("https://klasma.github.io/Logging_1490/tillsyn/A 8097-2024 tillsynsbegäran.docx", "A 8097-2024")</f>
        <v/>
      </c>
      <c r="AD29">
        <f>HYPERLINK("https://klasma.github.io/Logging_1490/tillsynsmail/A 8097-2024 tillsynsbegäran mail.docx", "A 8097-2024")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46239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64578-2023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46239</v>
      </c>
      <c r="F33" t="inlineStr">
        <is>
          <t>VÄSTRA GÖTALANDS LÄN</t>
        </is>
      </c>
      <c r="G33" t="inlineStr">
        <is>
          <t>BORÅS</t>
        </is>
      </c>
      <c r="I33" t="n">
        <v>3.9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Skuggmossa
Blåsippa</t>
        </is>
      </c>
      <c r="W33">
        <f>HYPERLINK("https://klasma.github.io/Logging_1490/artfynd/A 64578-2023 artfynd.xlsx", "A 64578-2023")</f>
        <v/>
      </c>
      <c r="X33">
        <f>HYPERLINK("https://klasma.github.io/Logging_1490/kartor/A 64578-2023 karta.png", "A 64578-2023")</f>
        <v/>
      </c>
      <c r="Y33">
        <f>HYPERLINK("https://klasma.github.io/Logging_1490/kartor_geotiff/A 64578-2023 georefererad karta.tif", "A 64578-2023")</f>
        <v/>
      </c>
      <c r="AA33">
        <f>HYPERLINK("https://klasma.github.io/Logging_1490/klagomål/A 64578-2023 FSC-klagomål.docx", "A 64578-2023")</f>
        <v/>
      </c>
      <c r="AB33">
        <f>HYPERLINK("https://klasma.github.io/Logging_1490/klagomålsmail/A 64578-2023 FSC-klagomål mail.docx", "A 64578-2023")</f>
        <v/>
      </c>
      <c r="AC33">
        <f>HYPERLINK("https://klasma.github.io/Logging_1490/tillsyn/A 64578-2023 tillsynsbegäran.docx", "A 64578-2023")</f>
        <v/>
      </c>
      <c r="AD33">
        <f>HYPERLINK("https://klasma.github.io/Logging_1490/tillsynsmail/A 64578-2023 tillsynsbegäran mail.docx", "A 64578-2023")</f>
        <v/>
      </c>
    </row>
    <row r="34" ht="15" customHeight="1">
      <c r="A34" t="inlineStr">
        <is>
          <t>A 13913-2023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46239</v>
      </c>
      <c r="F34" t="inlineStr">
        <is>
          <t>VÄSTRA GÖTALANDS LÄN</t>
        </is>
      </c>
      <c r="G34" t="inlineStr">
        <is>
          <t>BORÅS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Gulnål
Vågbandad barkbock</t>
        </is>
      </c>
      <c r="W34">
        <f>HYPERLINK("https://klasma.github.io/Logging_1490/artfynd/A 13913-2023 artfynd.xlsx", "A 13913-2023")</f>
        <v/>
      </c>
      <c r="X34">
        <f>HYPERLINK("https://klasma.github.io/Logging_1490/kartor/A 13913-2023 karta.png", "A 13913-2023")</f>
        <v/>
      </c>
      <c r="Y34">
        <f>HYPERLINK("https://klasma.github.io/Logging_1490/kartor_geotiff/A 13913-2023 georefererad karta.tif", "A 13913-2023")</f>
        <v/>
      </c>
      <c r="AA34">
        <f>HYPERLINK("https://klasma.github.io/Logging_1490/klagomål/A 13913-2023 FSC-klagomål.docx", "A 13913-2023")</f>
        <v/>
      </c>
      <c r="AB34">
        <f>HYPERLINK("https://klasma.github.io/Logging_1490/klagomålsmail/A 13913-2023 FSC-klagomål mail.docx", "A 13913-2023")</f>
        <v/>
      </c>
      <c r="AC34">
        <f>HYPERLINK("https://klasma.github.io/Logging_1490/tillsyn/A 13913-2023 tillsynsbegäran.docx", "A 13913-2023")</f>
        <v/>
      </c>
      <c r="AD34">
        <f>HYPERLINK("https://klasma.github.io/Logging_1490/tillsynsmail/A 13913-2023 tillsynsbegäran mail.docx", "A 13913-2023")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46239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46239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55712-2021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44476</v>
      </c>
      <c r="E37" s="1" t="n">
        <v>46239</v>
      </c>
      <c r="F37" t="inlineStr">
        <is>
          <t>VÄSTRA GÖTALANDS LÄN</t>
        </is>
      </c>
      <c r="G37" t="inlineStr">
        <is>
          <t>BORÅS</t>
        </is>
      </c>
      <c r="H37" t="inlineStr">
        <is>
          <t>Kommuner</t>
        </is>
      </c>
      <c r="I37" t="n">
        <v>3.6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1</v>
      </c>
      <c r="V37" s="2" t="inlineStr">
        <is>
          <t>Skogsalm
Knärot</t>
        </is>
      </c>
      <c r="W37">
        <f>HYPERLINK("https://klasma.github.io/Logging_1490/artfynd/A 55712-2021 artfynd.xlsx", "A 55712-2021")</f>
        <v/>
      </c>
      <c r="X37">
        <f>HYPERLINK("https://klasma.github.io/Logging_1490/kartor/A 55712-2021 karta.png", "A 55712-2021")</f>
        <v/>
      </c>
      <c r="Y37">
        <f>HYPERLINK("https://klasma.github.io/Logging_1490/kartor_geotiff/A 55712-2021 georefererad karta.tif", "A 55712-2021")</f>
        <v/>
      </c>
      <c r="Z37">
        <f>HYPERLINK("https://klasma.github.io/Logging_1490/knärot/A 55712-2021 karta knärot.png", "A 55712-2021")</f>
        <v/>
      </c>
      <c r="AA37">
        <f>HYPERLINK("https://klasma.github.io/Logging_1490/klagomål/A 55712-2021 FSC-klagomål.docx", "A 55712-2021")</f>
        <v/>
      </c>
      <c r="AB37">
        <f>HYPERLINK("https://klasma.github.io/Logging_1490/klagomålsmail/A 55712-2021 FSC-klagomål mail.docx", "A 55712-2021")</f>
        <v/>
      </c>
      <c r="AC37">
        <f>HYPERLINK("https://klasma.github.io/Logging_1490/tillsyn/A 55712-2021 tillsynsbegäran.docx", "A 55712-2021")</f>
        <v/>
      </c>
      <c r="AD37">
        <f>HYPERLINK("https://klasma.github.io/Logging_1490/tillsynsmail/A 55712-2021 tillsynsbegäran mail.docx", "A 55712-2021")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46239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11373-2022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46239</v>
      </c>
      <c r="F39" t="inlineStr">
        <is>
          <t>VÄSTRA GÖTALANDS LÄN</t>
        </is>
      </c>
      <c r="G39" t="inlineStr">
        <is>
          <t>BORÅS</t>
        </is>
      </c>
      <c r="I39" t="n">
        <v>7.8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Åkergroda</t>
        </is>
      </c>
      <c r="W39">
        <f>HYPERLINK("https://klasma.github.io/Logging_1490/artfynd/A 11373-2022 artfynd.xlsx", "A 11373-2022")</f>
        <v/>
      </c>
      <c r="X39">
        <f>HYPERLINK("https://klasma.github.io/Logging_1490/kartor/A 11373-2022 karta.png", "A 11373-2022")</f>
        <v/>
      </c>
      <c r="Y39">
        <f>HYPERLINK("https://klasma.github.io/Logging_1490/kartor_geotiff/A 11373-2022 georefererad karta.tif", "A 11373-2022")</f>
        <v/>
      </c>
      <c r="AA39">
        <f>HYPERLINK("https://klasma.github.io/Logging_1490/klagomål/A 11373-2022 FSC-klagomål.docx", "A 11373-2022")</f>
        <v/>
      </c>
      <c r="AB39">
        <f>HYPERLINK("https://klasma.github.io/Logging_1490/klagomålsmail/A 11373-2022 FSC-klagomål mail.docx", "A 11373-2022")</f>
        <v/>
      </c>
      <c r="AC39">
        <f>HYPERLINK("https://klasma.github.io/Logging_1490/tillsyn/A 11373-2022 tillsynsbegäran.docx", "A 11373-2022")</f>
        <v/>
      </c>
      <c r="AD39">
        <f>HYPERLINK("https://klasma.github.io/Logging_1490/tillsynsmail/A 11373-2022 tillsynsbegäran mail.docx", "A 11373-2022")</f>
        <v/>
      </c>
      <c r="AE39">
        <f>HYPERLINK("https://klasma.github.io/Logging_1490/fåglar/A 11373-2022 prioriterade fågelarter.docx", "A 11373-2022")</f>
        <v/>
      </c>
    </row>
    <row r="40" ht="15" customHeight="1">
      <c r="A40" t="inlineStr">
        <is>
          <t>A 3469-2023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44949</v>
      </c>
      <c r="E40" s="1" t="n">
        <v>46239</v>
      </c>
      <c r="F40" t="inlineStr">
        <is>
          <t>VÄSTRA GÖTALANDS LÄN</t>
        </is>
      </c>
      <c r="G40" t="inlineStr">
        <is>
          <t>BORÅS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Fällmossa</t>
        </is>
      </c>
      <c r="W40">
        <f>HYPERLINK("https://klasma.github.io/Logging_1490/artfynd/A 3469-2023 artfynd.xlsx", "A 3469-2023")</f>
        <v/>
      </c>
      <c r="X40">
        <f>HYPERLINK("https://klasma.github.io/Logging_1490/kartor/A 3469-2023 karta.png", "A 3469-2023")</f>
        <v/>
      </c>
      <c r="Y40">
        <f>HYPERLINK("https://klasma.github.io/Logging_1490/kartor_geotiff/A 3469-2023 georefererad karta.tif", "A 3469-2023")</f>
        <v/>
      </c>
      <c r="AA40">
        <f>HYPERLINK("https://klasma.github.io/Logging_1490/klagomål/A 3469-2023 FSC-klagomål.docx", "A 3469-2023")</f>
        <v/>
      </c>
      <c r="AB40">
        <f>HYPERLINK("https://klasma.github.io/Logging_1490/klagomålsmail/A 3469-2023 FSC-klagomål mail.docx", "A 3469-2023")</f>
        <v/>
      </c>
      <c r="AC40">
        <f>HYPERLINK("https://klasma.github.io/Logging_1490/tillsyn/A 3469-2023 tillsynsbegäran.docx", "A 3469-2023")</f>
        <v/>
      </c>
      <c r="AD40">
        <f>HYPERLINK("https://klasma.github.io/Logging_1490/tillsynsmail/A 3469-2023 tillsynsbegäran mail.docx", "A 3469-2023")</f>
        <v/>
      </c>
    </row>
    <row r="41" ht="15" customHeight="1">
      <c r="A41" t="inlineStr">
        <is>
          <t>A 34610-2023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45140</v>
      </c>
      <c r="E41" s="1" t="n">
        <v>46239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34610-2023 artfynd.xlsx", "A 34610-2023")</f>
        <v/>
      </c>
      <c r="X41">
        <f>HYPERLINK("https://klasma.github.io/Logging_1490/kartor/A 34610-2023 karta.png", "A 34610-2023")</f>
        <v/>
      </c>
      <c r="Y41">
        <f>HYPERLINK("https://klasma.github.io/Logging_1490/kartor_geotiff/A 34610-2023 georefererad karta.tif", "A 34610-2023")</f>
        <v/>
      </c>
      <c r="AA41">
        <f>HYPERLINK("https://klasma.github.io/Logging_1490/klagomål/A 34610-2023 FSC-klagomål.docx", "A 34610-2023")</f>
        <v/>
      </c>
      <c r="AB41">
        <f>HYPERLINK("https://klasma.github.io/Logging_1490/klagomålsmail/A 34610-2023 FSC-klagomål mail.docx", "A 34610-2023")</f>
        <v/>
      </c>
      <c r="AC41">
        <f>HYPERLINK("https://klasma.github.io/Logging_1490/tillsyn/A 34610-2023 tillsynsbegäran.docx", "A 34610-2023")</f>
        <v/>
      </c>
      <c r="AD41">
        <f>HYPERLINK("https://klasma.github.io/Logging_1490/tillsynsmail/A 34610-2023 tillsynsbegäran mail.docx", "A 34610-2023")</f>
        <v/>
      </c>
      <c r="AE41">
        <f>HYPERLINK("https://klasma.github.io/Logging_1490/fåglar/A 34610-2023 prioriterade fågelarter.docx", "A 34610-2023")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46239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26833-2023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45093</v>
      </c>
      <c r="E43" s="1" t="n">
        <v>46239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6.9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HYPERLINK("https://klasma.github.io/Logging_1490/artfynd/A 26833-2023 artfynd.xlsx", "A 26833-2023")</f>
        <v/>
      </c>
      <c r="X43">
        <f>HYPERLINK("https://klasma.github.io/Logging_1490/kartor/A 26833-2023 karta.png", "A 26833-2023")</f>
        <v/>
      </c>
      <c r="Y43">
        <f>HYPERLINK("https://klasma.github.io/Logging_1490/kartor_geotiff/A 26833-2023 georefererad karta.tif", "A 26833-2023")</f>
        <v/>
      </c>
      <c r="AA43">
        <f>HYPERLINK("https://klasma.github.io/Logging_1490/klagomål/A 26833-2023 FSC-klagomål.docx", "A 26833-2023")</f>
        <v/>
      </c>
      <c r="AB43">
        <f>HYPERLINK("https://klasma.github.io/Logging_1490/klagomålsmail/A 26833-2023 FSC-klagomål mail.docx", "A 26833-2023")</f>
        <v/>
      </c>
      <c r="AC43">
        <f>HYPERLINK("https://klasma.github.io/Logging_1490/tillsyn/A 26833-2023 tillsynsbegäran.docx", "A 26833-2023")</f>
        <v/>
      </c>
      <c r="AD43">
        <f>HYPERLINK("https://klasma.github.io/Logging_1490/tillsynsmail/A 26833-2023 tillsynsbegäran mail.docx", "A 26833-2023")</f>
        <v/>
      </c>
    </row>
    <row r="44" ht="15" customHeight="1">
      <c r="A44" t="inlineStr">
        <is>
          <t>A 6659-2025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45700</v>
      </c>
      <c r="E44" s="1" t="n">
        <v>46239</v>
      </c>
      <c r="F44" t="inlineStr">
        <is>
          <t>VÄSTRA GÖTALANDS LÄN</t>
        </is>
      </c>
      <c r="G44" t="inlineStr">
        <is>
          <t>BORÅS</t>
        </is>
      </c>
      <c r="I44" t="n">
        <v>1.6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Järnsparv
Spillkråka</t>
        </is>
      </c>
      <c r="W44">
        <f>HYPERLINK("https://klasma.github.io/Logging_1490/artfynd/A 6659-2025 artfynd.xlsx", "A 6659-2025")</f>
        <v/>
      </c>
      <c r="X44">
        <f>HYPERLINK("https://klasma.github.io/Logging_1490/kartor/A 6659-2025 karta.png", "A 6659-2025")</f>
        <v/>
      </c>
      <c r="Y44">
        <f>HYPERLINK("https://klasma.github.io/Logging_1490/kartor_geotiff/A 6659-2025 georefererad karta.tif", "A 6659-2025")</f>
        <v/>
      </c>
      <c r="AA44">
        <f>HYPERLINK("https://klasma.github.io/Logging_1490/klagomål/A 6659-2025 FSC-klagomål.docx", "A 6659-2025")</f>
        <v/>
      </c>
      <c r="AB44">
        <f>HYPERLINK("https://klasma.github.io/Logging_1490/klagomålsmail/A 6659-2025 FSC-klagomål mail.docx", "A 6659-2025")</f>
        <v/>
      </c>
      <c r="AC44">
        <f>HYPERLINK("https://klasma.github.io/Logging_1490/tillsyn/A 6659-2025 tillsynsbegäran.docx", "A 6659-2025")</f>
        <v/>
      </c>
      <c r="AD44">
        <f>HYPERLINK("https://klasma.github.io/Logging_1490/tillsynsmail/A 6659-2025 tillsynsbegäran mail.docx", "A 6659-2025")</f>
        <v/>
      </c>
      <c r="AE44">
        <f>HYPERLINK("https://klasma.github.io/Logging_1490/fåglar/A 6659-2025 prioriterade fågelarter.docx", "A 6659-2025")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46239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46239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Kattfotslav
Revlummer</t>
        </is>
      </c>
      <c r="W46">
        <f>HYPERLINK("https://klasma.github.io/Logging_1490/artfynd/A 36545-2023 artfynd.xlsx", "A 36545-2023")</f>
        <v/>
      </c>
      <c r="X46">
        <f>HYPERLINK("https://klasma.github.io/Logging_1490/kartor/A 36545-2023 karta.png", "A 36545-2023")</f>
        <v/>
      </c>
      <c r="Y46">
        <f>HYPERLINK("https://klasma.github.io/Logging_1490/kartor_geotiff/A 36545-2023 georefererad karta.tif", "A 36545-2023")</f>
        <v/>
      </c>
      <c r="AA46">
        <f>HYPERLINK("https://klasma.github.io/Logging_1490/klagomål/A 36545-2023 FSC-klagomål.docx", "A 36545-2023")</f>
        <v/>
      </c>
      <c r="AB46">
        <f>HYPERLINK("https://klasma.github.io/Logging_1490/klagomålsmail/A 36545-2023 FSC-klagomål mail.docx", "A 36545-2023")</f>
        <v/>
      </c>
      <c r="AC46">
        <f>HYPERLINK("https://klasma.github.io/Logging_1490/tillsyn/A 36545-2023 tillsynsbegäran.docx", "A 36545-2023")</f>
        <v/>
      </c>
      <c r="AD46">
        <f>HYPERLINK("https://klasma.github.io/Logging_1490/tillsynsmail/A 36545-2023 tillsynsbegäran mail.docx", "A 36545-2023")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46239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46239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46239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46239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46239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46239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46239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57175-2023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45240</v>
      </c>
      <c r="E54" s="1" t="n">
        <v>46239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Läderlappslav</t>
        </is>
      </c>
      <c r="W54">
        <f>HYPERLINK("https://klasma.github.io/Logging_1490/artfynd/A 57175-2023 artfynd.xlsx", "A 57175-2023")</f>
        <v/>
      </c>
      <c r="X54">
        <f>HYPERLINK("https://klasma.github.io/Logging_1490/kartor/A 57175-2023 karta.png", "A 57175-2023")</f>
        <v/>
      </c>
      <c r="Y54">
        <f>HYPERLINK("https://klasma.github.io/Logging_1490/kartor_geotiff/A 57175-2023 georefererad karta.tif", "A 57175-2023")</f>
        <v/>
      </c>
      <c r="AA54">
        <f>HYPERLINK("https://klasma.github.io/Logging_1490/klagomål/A 57175-2023 FSC-klagomål.docx", "A 57175-2023")</f>
        <v/>
      </c>
      <c r="AB54">
        <f>HYPERLINK("https://klasma.github.io/Logging_1490/klagomålsmail/A 57175-2023 FSC-klagomål mail.docx", "A 57175-2023")</f>
        <v/>
      </c>
      <c r="AC54">
        <f>HYPERLINK("https://klasma.github.io/Logging_1490/tillsyn/A 57175-2023 tillsynsbegäran.docx", "A 57175-2023")</f>
        <v/>
      </c>
      <c r="AD54">
        <f>HYPERLINK("https://klasma.github.io/Logging_1490/tillsynsmail/A 57175-2023 tillsynsbegäran mail.docx", "A 57175-2023")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46239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53533-2022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46239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HYPERLINK("https://klasma.github.io/Logging_1490/artfynd/A 53533-2022 artfynd.xlsx", "A 53533-2022")</f>
        <v/>
      </c>
      <c r="X56">
        <f>HYPERLINK("https://klasma.github.io/Logging_1490/kartor/A 53533-2022 karta.png", "A 53533-2022")</f>
        <v/>
      </c>
      <c r="Y56">
        <f>HYPERLINK("https://klasma.github.io/Logging_1490/kartor_geotiff/A 53533-2022 georefererad karta.tif", "A 53533-2022")</f>
        <v/>
      </c>
      <c r="AA56">
        <f>HYPERLINK("https://klasma.github.io/Logging_1490/klagomål/A 53533-2022 FSC-klagomål.docx", "A 53533-2022")</f>
        <v/>
      </c>
      <c r="AB56">
        <f>HYPERLINK("https://klasma.github.io/Logging_1490/klagomålsmail/A 53533-2022 FSC-klagomål mail.docx", "A 53533-2022")</f>
        <v/>
      </c>
      <c r="AC56">
        <f>HYPERLINK("https://klasma.github.io/Logging_1490/tillsyn/A 53533-2022 tillsynsbegäran.docx", "A 53533-2022")</f>
        <v/>
      </c>
      <c r="AD56">
        <f>HYPERLINK("https://klasma.github.io/Logging_1490/tillsynsmail/A 53533-2022 tillsynsbegäran mail.docx", "A 53533-2022")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46239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46239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4933-2023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46239</v>
      </c>
      <c r="F59" t="inlineStr">
        <is>
          <t>VÄSTRA GÖTALANDS LÄN</t>
        </is>
      </c>
      <c r="G59" t="inlineStr">
        <is>
          <t>BORÅS</t>
        </is>
      </c>
      <c r="I59" t="n">
        <v>3.4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HYPERLINK("https://klasma.github.io/Logging_1490/artfynd/A 4933-2023 artfynd.xlsx", "A 4933-2023")</f>
        <v/>
      </c>
      <c r="X59">
        <f>HYPERLINK("https://klasma.github.io/Logging_1490/kartor/A 4933-2023 karta.png", "A 4933-2023")</f>
        <v/>
      </c>
      <c r="Y59">
        <f>HYPERLINK("https://klasma.github.io/Logging_1490/kartor_geotiff/A 4933-2023 georefererad karta.tif", "A 4933-2023")</f>
        <v/>
      </c>
      <c r="AA59">
        <f>HYPERLINK("https://klasma.github.io/Logging_1490/klagomål/A 4933-2023 FSC-klagomål.docx", "A 4933-2023")</f>
        <v/>
      </c>
      <c r="AB59">
        <f>HYPERLINK("https://klasma.github.io/Logging_1490/klagomålsmail/A 4933-2023 FSC-klagomål mail.docx", "A 4933-2023")</f>
        <v/>
      </c>
      <c r="AC59">
        <f>HYPERLINK("https://klasma.github.io/Logging_1490/tillsyn/A 4933-2023 tillsynsbegäran.docx", "A 4933-2023")</f>
        <v/>
      </c>
      <c r="AD59">
        <f>HYPERLINK("https://klasma.github.io/Logging_1490/tillsynsmail/A 4933-2023 tillsynsbegäran mail.docx", "A 4933-2023")</f>
        <v/>
      </c>
    </row>
    <row r="60" ht="15" customHeight="1">
      <c r="A60" t="inlineStr">
        <is>
          <t>A 60816-2023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45260</v>
      </c>
      <c r="E60" s="1" t="n">
        <v>46239</v>
      </c>
      <c r="F60" t="inlineStr">
        <is>
          <t>VÄSTRA GÖTALANDS LÄN</t>
        </is>
      </c>
      <c r="G60" t="inlineStr">
        <is>
          <t>BORÅS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Springkorn</t>
        </is>
      </c>
      <c r="W60">
        <f>HYPERLINK("https://klasma.github.io/Logging_1490/artfynd/A 60816-2023 artfynd.xlsx", "A 60816-2023")</f>
        <v/>
      </c>
      <c r="X60">
        <f>HYPERLINK("https://klasma.github.io/Logging_1490/kartor/A 60816-2023 karta.png", "A 60816-2023")</f>
        <v/>
      </c>
      <c r="Y60">
        <f>HYPERLINK("https://klasma.github.io/Logging_1490/kartor_geotiff/A 60816-2023 georefererad karta.tif", "A 60816-2023")</f>
        <v/>
      </c>
      <c r="AA60">
        <f>HYPERLINK("https://klasma.github.io/Logging_1490/klagomål/A 60816-2023 FSC-klagomål.docx", "A 60816-2023")</f>
        <v/>
      </c>
      <c r="AB60">
        <f>HYPERLINK("https://klasma.github.io/Logging_1490/klagomålsmail/A 60816-2023 FSC-klagomål mail.docx", "A 60816-2023")</f>
        <v/>
      </c>
      <c r="AC60">
        <f>HYPERLINK("https://klasma.github.io/Logging_1490/tillsyn/A 60816-2023 tillsynsbegäran.docx", "A 60816-2023")</f>
        <v/>
      </c>
      <c r="AD60">
        <f>HYPERLINK("https://klasma.github.io/Logging_1490/tillsynsmail/A 60816-2023 tillsynsbegäran mail.docx", "A 60816-2023")</f>
        <v/>
      </c>
    </row>
    <row r="61" ht="15" customHeight="1">
      <c r="A61" t="inlineStr">
        <is>
          <t>A 31980-2024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46239</v>
      </c>
      <c r="F61" t="inlineStr">
        <is>
          <t>VÄSTRA GÖTALANDS LÄN</t>
        </is>
      </c>
      <c r="G61" t="inlineStr">
        <is>
          <t>BORÅS</t>
        </is>
      </c>
      <c r="I61" t="n">
        <v>2.8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HYPERLINK("https://klasma.github.io/Logging_1490/artfynd/A 31980-2024 artfynd.xlsx", "A 31980-2024")</f>
        <v/>
      </c>
      <c r="X61">
        <f>HYPERLINK("https://klasma.github.io/Logging_1490/kartor/A 31980-2024 karta.png", "A 31980-2024")</f>
        <v/>
      </c>
      <c r="Y61">
        <f>HYPERLINK("https://klasma.github.io/Logging_1490/kartor_geotiff/A 31980-2024 georefererad karta.tif", "A 31980-2024")</f>
        <v/>
      </c>
      <c r="AA61">
        <f>HYPERLINK("https://klasma.github.io/Logging_1490/klagomål/A 31980-2024 FSC-klagomål.docx", "A 31980-2024")</f>
        <v/>
      </c>
      <c r="AB61">
        <f>HYPERLINK("https://klasma.github.io/Logging_1490/klagomålsmail/A 31980-2024 FSC-klagomål mail.docx", "A 31980-2024")</f>
        <v/>
      </c>
      <c r="AC61">
        <f>HYPERLINK("https://klasma.github.io/Logging_1490/tillsyn/A 31980-2024 tillsynsbegäran.docx", "A 31980-2024")</f>
        <v/>
      </c>
      <c r="AD61">
        <f>HYPERLINK("https://klasma.github.io/Logging_1490/tillsynsmail/A 31980-2024 tillsynsbegäran mail.docx", "A 31980-2024")</f>
        <v/>
      </c>
    </row>
    <row r="62" ht="15" customHeight="1">
      <c r="A62" t="inlineStr">
        <is>
          <t>A 62162-2023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46239</v>
      </c>
      <c r="F62" t="inlineStr">
        <is>
          <t>VÄSTRA GÖTALANDS LÄN</t>
        </is>
      </c>
      <c r="G62" t="inlineStr">
        <is>
          <t>BORÅS</t>
        </is>
      </c>
      <c r="I62" t="n">
        <v>2.2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Gulsparv</t>
        </is>
      </c>
      <c r="W62">
        <f>HYPERLINK("https://klasma.github.io/Logging_1490/artfynd/A 62162-2023 artfynd.xlsx", "A 62162-2023")</f>
        <v/>
      </c>
      <c r="X62">
        <f>HYPERLINK("https://klasma.github.io/Logging_1490/kartor/A 62162-2023 karta.png", "A 62162-2023")</f>
        <v/>
      </c>
      <c r="Y62">
        <f>HYPERLINK("https://klasma.github.io/Logging_1490/kartor_geotiff/A 62162-2023 georefererad karta.tif", "A 62162-2023")</f>
        <v/>
      </c>
      <c r="AA62">
        <f>HYPERLINK("https://klasma.github.io/Logging_1490/klagomål/A 62162-2023 FSC-klagomål.docx", "A 62162-2023")</f>
        <v/>
      </c>
      <c r="AB62">
        <f>HYPERLINK("https://klasma.github.io/Logging_1490/klagomålsmail/A 62162-2023 FSC-klagomål mail.docx", "A 62162-2023")</f>
        <v/>
      </c>
      <c r="AC62">
        <f>HYPERLINK("https://klasma.github.io/Logging_1490/tillsyn/A 62162-2023 tillsynsbegäran.docx", "A 62162-2023")</f>
        <v/>
      </c>
      <c r="AD62">
        <f>HYPERLINK("https://klasma.github.io/Logging_1490/tillsynsmail/A 62162-2023 tillsynsbegäran mail.docx", "A 62162-2023")</f>
        <v/>
      </c>
      <c r="AE62">
        <f>HYPERLINK("https://klasma.github.io/Logging_1490/fåglar/A 62162-2023 prioriterade fågelarter.docx", "A 62162-2023")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46239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19911-2023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46239</v>
      </c>
      <c r="F64" t="inlineStr">
        <is>
          <t>VÄSTRA GÖTALANDS LÄN</t>
        </is>
      </c>
      <c r="G64" t="inlineStr">
        <is>
          <t>BORÅS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Vanlig padda</t>
        </is>
      </c>
      <c r="W64">
        <f>HYPERLINK("https://klasma.github.io/Logging_1490/artfynd/A 19911-2023 artfynd.xlsx", "A 19911-2023")</f>
        <v/>
      </c>
      <c r="X64">
        <f>HYPERLINK("https://klasma.github.io/Logging_1490/kartor/A 19911-2023 karta.png", "A 19911-2023")</f>
        <v/>
      </c>
      <c r="Y64">
        <f>HYPERLINK("https://klasma.github.io/Logging_1490/kartor_geotiff/A 19911-2023 georefererad karta.tif", "A 19911-2023")</f>
        <v/>
      </c>
      <c r="AA64">
        <f>HYPERLINK("https://klasma.github.io/Logging_1490/klagomål/A 19911-2023 FSC-klagomål.docx", "A 19911-2023")</f>
        <v/>
      </c>
      <c r="AB64">
        <f>HYPERLINK("https://klasma.github.io/Logging_1490/klagomålsmail/A 19911-2023 FSC-klagomål mail.docx", "A 19911-2023")</f>
        <v/>
      </c>
      <c r="AC64">
        <f>HYPERLINK("https://klasma.github.io/Logging_1490/tillsyn/A 19911-2023 tillsynsbegäran.docx", "A 19911-2023")</f>
        <v/>
      </c>
      <c r="AD64">
        <f>HYPERLINK("https://klasma.github.io/Logging_1490/tillsynsmail/A 19911-2023 tillsynsbegäran mail.docx", "A 19911-2023")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46239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4358-2025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45686</v>
      </c>
      <c r="E66" s="1" t="n">
        <v>46239</v>
      </c>
      <c r="F66" t="inlineStr">
        <is>
          <t>VÄSTRA GÖTALANDS LÄN</t>
        </is>
      </c>
      <c r="G66" t="inlineStr">
        <is>
          <t>BORÅS</t>
        </is>
      </c>
      <c r="H66" t="inlineStr">
        <is>
          <t>Sveaskog</t>
        </is>
      </c>
      <c r="I66" t="n">
        <v>4.7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HYPERLINK("https://klasma.github.io/Logging_1490/artfynd/A 4358-2025 artfynd.xlsx", "A 4358-2025")</f>
        <v/>
      </c>
      <c r="X66">
        <f>HYPERLINK("https://klasma.github.io/Logging_1490/kartor/A 4358-2025 karta.png", "A 4358-2025")</f>
        <v/>
      </c>
      <c r="Y66">
        <f>HYPERLINK("https://klasma.github.io/Logging_1490/kartor_geotiff/A 4358-2025 georefererad karta.tif", "A 4358-2025")</f>
        <v/>
      </c>
      <c r="AA66">
        <f>HYPERLINK("https://klasma.github.io/Logging_1490/klagomål/A 4358-2025 FSC-klagomål.docx", "A 4358-2025")</f>
        <v/>
      </c>
      <c r="AB66">
        <f>HYPERLINK("https://klasma.github.io/Logging_1490/klagomålsmail/A 4358-2025 FSC-klagomål mail.docx", "A 4358-2025")</f>
        <v/>
      </c>
      <c r="AC66">
        <f>HYPERLINK("https://klasma.github.io/Logging_1490/tillsyn/A 4358-2025 tillsynsbegäran.docx", "A 4358-2025")</f>
        <v/>
      </c>
      <c r="AD66">
        <f>HYPERLINK("https://klasma.github.io/Logging_1490/tillsynsmail/A 4358-2025 tillsynsbegäran mail.docx", "A 4358-2025")</f>
        <v/>
      </c>
      <c r="AE66">
        <f>HYPERLINK("https://klasma.github.io/Logging_1490/fåglar/A 4358-2025 prioriterade fågelarter.docx", "A 4358-2025")</f>
        <v/>
      </c>
    </row>
    <row r="67" ht="15" customHeight="1">
      <c r="A67" t="inlineStr">
        <is>
          <t>A 57439-2024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46239</v>
      </c>
      <c r="F67" t="inlineStr">
        <is>
          <t>VÄSTRA GÖTALANDS LÄN</t>
        </is>
      </c>
      <c r="G67" t="inlineStr">
        <is>
          <t>BORÅS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Tofsmes</t>
        </is>
      </c>
      <c r="W67">
        <f>HYPERLINK("https://klasma.github.io/Logging_1490/artfynd/A 57439-2024 artfynd.xlsx", "A 57439-2024")</f>
        <v/>
      </c>
      <c r="X67">
        <f>HYPERLINK("https://klasma.github.io/Logging_1490/kartor/A 57439-2024 karta.png", "A 57439-2024")</f>
        <v/>
      </c>
      <c r="Y67">
        <f>HYPERLINK("https://klasma.github.io/Logging_1490/kartor_geotiff/A 57439-2024 georefererad karta.tif", "A 57439-2024")</f>
        <v/>
      </c>
      <c r="AA67">
        <f>HYPERLINK("https://klasma.github.io/Logging_1490/klagomål/A 57439-2024 FSC-klagomål.docx", "A 57439-2024")</f>
        <v/>
      </c>
      <c r="AB67">
        <f>HYPERLINK("https://klasma.github.io/Logging_1490/klagomålsmail/A 57439-2024 FSC-klagomål mail.docx", "A 57439-2024")</f>
        <v/>
      </c>
      <c r="AC67">
        <f>HYPERLINK("https://klasma.github.io/Logging_1490/tillsyn/A 57439-2024 tillsynsbegäran.docx", "A 57439-2024")</f>
        <v/>
      </c>
      <c r="AD67">
        <f>HYPERLINK("https://klasma.github.io/Logging_1490/tillsynsmail/A 57439-2024 tillsynsbegäran mail.docx", "A 57439-2024")</f>
        <v/>
      </c>
    </row>
    <row r="68" ht="15" customHeight="1">
      <c r="A68" t="inlineStr">
        <is>
          <t>A 50068-2025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46239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HYPERLINK("https://klasma.github.io/Logging_1490/artfynd/A 50068-2025 artfynd.xlsx", "A 50068-2025")</f>
        <v/>
      </c>
      <c r="X68">
        <f>HYPERLINK("https://klasma.github.io/Logging_1490/kartor/A 50068-2025 karta.png", "A 50068-2025")</f>
        <v/>
      </c>
      <c r="Y68">
        <f>HYPERLINK("https://klasma.github.io/Logging_1490/kartor_geotiff/A 50068-2025 georefererad karta.tif", "A 50068-2025")</f>
        <v/>
      </c>
      <c r="AA68">
        <f>HYPERLINK("https://klasma.github.io/Logging_1490/klagomål/A 50068-2025 FSC-klagomål.docx", "A 50068-2025")</f>
        <v/>
      </c>
      <c r="AB68">
        <f>HYPERLINK("https://klasma.github.io/Logging_1490/klagomålsmail/A 50068-2025 FSC-klagomål mail.docx", "A 50068-2025")</f>
        <v/>
      </c>
      <c r="AC68">
        <f>HYPERLINK("https://klasma.github.io/Logging_1490/tillsyn/A 50068-2025 tillsynsbegäran.docx", "A 50068-2025")</f>
        <v/>
      </c>
      <c r="AD68">
        <f>HYPERLINK("https://klasma.github.io/Logging_1490/tillsynsmail/A 50068-2025 tillsynsbegäran mail.docx", "A 50068-2025")</f>
        <v/>
      </c>
    </row>
    <row r="69" ht="15" customHeight="1">
      <c r="A69" t="inlineStr">
        <is>
          <t>A 23756-2025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45793</v>
      </c>
      <c r="E69" s="1" t="n">
        <v>46239</v>
      </c>
      <c r="F69" t="inlineStr">
        <is>
          <t>VÄSTRA GÖTALANDS LÄN</t>
        </is>
      </c>
      <c r="G69" t="inlineStr">
        <is>
          <t>BORÅS</t>
        </is>
      </c>
      <c r="I69" t="n">
        <v>1.9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Gulsparv</t>
        </is>
      </c>
      <c r="W69">
        <f>HYPERLINK("https://klasma.github.io/Logging_1490/artfynd/A 23756-2025 artfynd.xlsx", "A 23756-2025")</f>
        <v/>
      </c>
      <c r="X69">
        <f>HYPERLINK("https://klasma.github.io/Logging_1490/kartor/A 23756-2025 karta.png", "A 23756-2025")</f>
        <v/>
      </c>
      <c r="Y69">
        <f>HYPERLINK("https://klasma.github.io/Logging_1490/kartor_geotiff/A 23756-2025 georefererad karta.tif", "A 23756-2025")</f>
        <v/>
      </c>
      <c r="AA69">
        <f>HYPERLINK("https://klasma.github.io/Logging_1490/klagomål/A 23756-2025 FSC-klagomål.docx", "A 23756-2025")</f>
        <v/>
      </c>
      <c r="AB69">
        <f>HYPERLINK("https://klasma.github.io/Logging_1490/klagomålsmail/A 23756-2025 FSC-klagomål mail.docx", "A 23756-2025")</f>
        <v/>
      </c>
      <c r="AC69">
        <f>HYPERLINK("https://klasma.github.io/Logging_1490/tillsyn/A 23756-2025 tillsynsbegäran.docx", "A 23756-2025")</f>
        <v/>
      </c>
      <c r="AD69">
        <f>HYPERLINK("https://klasma.github.io/Logging_1490/tillsynsmail/A 23756-2025 tillsynsbegäran mail.docx", "A 23756-2025")</f>
        <v/>
      </c>
      <c r="AE69">
        <f>HYPERLINK("https://klasma.github.io/Logging_1490/fåglar/A 23756-2025 prioriterade fågelarter.docx", "A 23756-2025")</f>
        <v/>
      </c>
    </row>
    <row r="70" ht="15" customHeight="1">
      <c r="A70" t="inlineStr">
        <is>
          <t>A 23755-2025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46239</v>
      </c>
      <c r="F70" t="inlineStr">
        <is>
          <t>VÄSTRA GÖTALANDS LÄN</t>
        </is>
      </c>
      <c r="G70" t="inlineStr">
        <is>
          <t>BORÅS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groda</t>
        </is>
      </c>
      <c r="W70">
        <f>HYPERLINK("https://klasma.github.io/Logging_1490/artfynd/A 23755-2025 artfynd.xlsx", "A 23755-2025")</f>
        <v/>
      </c>
      <c r="X70">
        <f>HYPERLINK("https://klasma.github.io/Logging_1490/kartor/A 23755-2025 karta.png", "A 23755-2025")</f>
        <v/>
      </c>
      <c r="Y70">
        <f>HYPERLINK("https://klasma.github.io/Logging_1490/kartor_geotiff/A 23755-2025 georefererad karta.tif", "A 23755-2025")</f>
        <v/>
      </c>
      <c r="AA70">
        <f>HYPERLINK("https://klasma.github.io/Logging_1490/klagomål/A 23755-2025 FSC-klagomål.docx", "A 23755-2025")</f>
        <v/>
      </c>
      <c r="AB70">
        <f>HYPERLINK("https://klasma.github.io/Logging_1490/klagomålsmail/A 23755-2025 FSC-klagomål mail.docx", "A 23755-2025")</f>
        <v/>
      </c>
      <c r="AC70">
        <f>HYPERLINK("https://klasma.github.io/Logging_1490/tillsyn/A 23755-2025 tillsynsbegäran.docx", "A 23755-2025")</f>
        <v/>
      </c>
      <c r="AD70">
        <f>HYPERLINK("https://klasma.github.io/Logging_1490/tillsynsmail/A 23755-2025 tillsynsbegäran mail.docx", "A 23755-2025")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46239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62645-2025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46239</v>
      </c>
      <c r="F72" t="inlineStr">
        <is>
          <t>VÄSTRA GÖTALANDS LÄN</t>
        </is>
      </c>
      <c r="G72" t="inlineStr">
        <is>
          <t>BORÅS</t>
        </is>
      </c>
      <c r="I72" t="n">
        <v>0.5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HYPERLINK("https://klasma.github.io/Logging_1490/artfynd/A 62645-2025 artfynd.xlsx", "A 62645-2025")</f>
        <v/>
      </c>
      <c r="X72">
        <f>HYPERLINK("https://klasma.github.io/Logging_1490/kartor/A 62645-2025 karta.png", "A 62645-2025")</f>
        <v/>
      </c>
      <c r="Y72">
        <f>HYPERLINK("https://klasma.github.io/Logging_1490/kartor_geotiff/A 62645-2025 georefererad karta.tif", "A 62645-2025")</f>
        <v/>
      </c>
      <c r="AA72">
        <f>HYPERLINK("https://klasma.github.io/Logging_1490/klagomål/A 62645-2025 FSC-klagomål.docx", "A 62645-2025")</f>
        <v/>
      </c>
      <c r="AB72">
        <f>HYPERLINK("https://klasma.github.io/Logging_1490/klagomålsmail/A 62645-2025 FSC-klagomål mail.docx", "A 62645-2025")</f>
        <v/>
      </c>
      <c r="AC72">
        <f>HYPERLINK("https://klasma.github.io/Logging_1490/tillsyn/A 62645-2025 tillsynsbegäran.docx", "A 62645-2025")</f>
        <v/>
      </c>
      <c r="AD72">
        <f>HYPERLINK("https://klasma.github.io/Logging_1490/tillsynsmail/A 62645-2025 tillsynsbegäran mail.docx", "A 62645-2025")</f>
        <v/>
      </c>
      <c r="AE72">
        <f>HYPERLINK("https://klasma.github.io/Logging_1490/fåglar/A 62645-2025 prioriterade fågelarter.docx", "A 62645-2025")</f>
        <v/>
      </c>
    </row>
    <row r="73" ht="15" customHeight="1">
      <c r="A73" t="inlineStr">
        <is>
          <t>A 3719-2024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46239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Hasselmus</t>
        </is>
      </c>
      <c r="W73">
        <f>HYPERLINK("https://klasma.github.io/Logging_1490/artfynd/A 3719-2024 artfynd.xlsx", "A 3719-2024")</f>
        <v/>
      </c>
      <c r="X73">
        <f>HYPERLINK("https://klasma.github.io/Logging_1490/kartor/A 3719-2024 karta.png", "A 3719-2024")</f>
        <v/>
      </c>
      <c r="Y73">
        <f>HYPERLINK("https://klasma.github.io/Logging_1490/kartor_geotiff/A 3719-2024 georefererad karta.tif", "A 3719-2024")</f>
        <v/>
      </c>
      <c r="AA73">
        <f>HYPERLINK("https://klasma.github.io/Logging_1490/klagomål/A 3719-2024 FSC-klagomål.docx", "A 3719-2024")</f>
        <v/>
      </c>
      <c r="AB73">
        <f>HYPERLINK("https://klasma.github.io/Logging_1490/klagomålsmail/A 3719-2024 FSC-klagomål mail.docx", "A 3719-2024")</f>
        <v/>
      </c>
      <c r="AC73">
        <f>HYPERLINK("https://klasma.github.io/Logging_1490/tillsyn/A 3719-2024 tillsynsbegäran.docx", "A 3719-2024")</f>
        <v/>
      </c>
      <c r="AD73">
        <f>HYPERLINK("https://klasma.github.io/Logging_1490/tillsynsmail/A 3719-2024 tillsynsbegäran mail.docx", "A 3719-2024")</f>
        <v/>
      </c>
    </row>
    <row r="74" ht="15" customHeight="1">
      <c r="A74" t="inlineStr">
        <is>
          <t>A 33140-2023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45126</v>
      </c>
      <c r="E74" s="1" t="n">
        <v>46239</v>
      </c>
      <c r="F74" t="inlineStr">
        <is>
          <t>VÄSTRA GÖTALANDS LÄN</t>
        </is>
      </c>
      <c r="G74" t="inlineStr">
        <is>
          <t>BORÅS</t>
        </is>
      </c>
      <c r="I74" t="n">
        <v>5.1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HYPERLINK("https://klasma.github.io/Logging_1490/artfynd/A 33140-2023 artfynd.xlsx", "A 33140-2023")</f>
        <v/>
      </c>
      <c r="X74">
        <f>HYPERLINK("https://klasma.github.io/Logging_1490/kartor/A 33140-2023 karta.png", "A 33140-2023")</f>
        <v/>
      </c>
      <c r="Y74">
        <f>HYPERLINK("https://klasma.github.io/Logging_1490/kartor_geotiff/A 33140-2023 georefererad karta.tif", "A 33140-2023")</f>
        <v/>
      </c>
      <c r="AA74">
        <f>HYPERLINK("https://klasma.github.io/Logging_1490/klagomål/A 33140-2023 FSC-klagomål.docx", "A 33140-2023")</f>
        <v/>
      </c>
      <c r="AB74">
        <f>HYPERLINK("https://klasma.github.io/Logging_1490/klagomålsmail/A 33140-2023 FSC-klagomål mail.docx", "A 33140-2023")</f>
        <v/>
      </c>
      <c r="AC74">
        <f>HYPERLINK("https://klasma.github.io/Logging_1490/tillsyn/A 33140-2023 tillsynsbegäran.docx", "A 33140-2023")</f>
        <v/>
      </c>
      <c r="AD74">
        <f>HYPERLINK("https://klasma.github.io/Logging_1490/tillsynsmail/A 33140-2023 tillsynsbegäran mail.docx", "A 33140-2023")</f>
        <v/>
      </c>
    </row>
    <row r="75" ht="15" customHeight="1">
      <c r="A75" t="inlineStr">
        <is>
          <t>A 3772-2024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46239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4.1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HYPERLINK("https://klasma.github.io/Logging_1490/artfynd/A 3772-2024 artfynd.xlsx", "A 3772-2024")</f>
        <v/>
      </c>
      <c r="X75">
        <f>HYPERLINK("https://klasma.github.io/Logging_1490/kartor/A 3772-2024 karta.png", "A 3772-2024")</f>
        <v/>
      </c>
      <c r="Y75">
        <f>HYPERLINK("https://klasma.github.io/Logging_1490/kartor_geotiff/A 3772-2024 georefererad karta.tif", "A 3772-2024")</f>
        <v/>
      </c>
      <c r="AA75">
        <f>HYPERLINK("https://klasma.github.io/Logging_1490/klagomål/A 3772-2024 FSC-klagomål.docx", "A 3772-2024")</f>
        <v/>
      </c>
      <c r="AB75">
        <f>HYPERLINK("https://klasma.github.io/Logging_1490/klagomålsmail/A 3772-2024 FSC-klagomål mail.docx", "A 3772-2024")</f>
        <v/>
      </c>
      <c r="AC75">
        <f>HYPERLINK("https://klasma.github.io/Logging_1490/tillsyn/A 3772-2024 tillsynsbegäran.docx", "A 3772-2024")</f>
        <v/>
      </c>
      <c r="AD75">
        <f>HYPERLINK("https://klasma.github.io/Logging_1490/tillsynsmail/A 3772-2024 tillsynsbegäran mail.docx", "A 3772-2024")</f>
        <v/>
      </c>
    </row>
    <row r="76" ht="15" customHeight="1">
      <c r="A76" t="inlineStr">
        <is>
          <t>A 1922-2025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45671</v>
      </c>
      <c r="E76" s="1" t="n">
        <v>46239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Kyrkan</t>
        </is>
      </c>
      <c r="I76" t="n">
        <v>5.9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HYPERLINK("https://klasma.github.io/Logging_1490/artfynd/A 1922-2025 artfynd.xlsx", "A 1922-2025")</f>
        <v/>
      </c>
      <c r="X76">
        <f>HYPERLINK("https://klasma.github.io/Logging_1490/kartor/A 1922-2025 karta.png", "A 1922-2025")</f>
        <v/>
      </c>
      <c r="Y76">
        <f>HYPERLINK("https://klasma.github.io/Logging_1490/kartor_geotiff/A 1922-2025 georefererad karta.tif", "A 1922-2025")</f>
        <v/>
      </c>
      <c r="AA76">
        <f>HYPERLINK("https://klasma.github.io/Logging_1490/klagomål/A 1922-2025 FSC-klagomål.docx", "A 1922-2025")</f>
        <v/>
      </c>
      <c r="AB76">
        <f>HYPERLINK("https://klasma.github.io/Logging_1490/klagomålsmail/A 1922-2025 FSC-klagomål mail.docx", "A 1922-2025")</f>
        <v/>
      </c>
      <c r="AC76">
        <f>HYPERLINK("https://klasma.github.io/Logging_1490/tillsyn/A 1922-2025 tillsynsbegäran.docx", "A 1922-2025")</f>
        <v/>
      </c>
      <c r="AD76">
        <f>HYPERLINK("https://klasma.github.io/Logging_1490/tillsynsmail/A 1922-2025 tillsynsbegäran mail.docx", "A 1922-2025")</f>
        <v/>
      </c>
    </row>
    <row r="77" ht="15" customHeight="1">
      <c r="A77" t="inlineStr">
        <is>
          <t>A 3760-2024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46239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6.8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Kråka</t>
        </is>
      </c>
      <c r="W77">
        <f>HYPERLINK("https://klasma.github.io/Logging_1490/artfynd/A 3760-2024 artfynd.xlsx", "A 3760-2024")</f>
        <v/>
      </c>
      <c r="X77">
        <f>HYPERLINK("https://klasma.github.io/Logging_1490/kartor/A 3760-2024 karta.png", "A 3760-2024")</f>
        <v/>
      </c>
      <c r="Y77">
        <f>HYPERLINK("https://klasma.github.io/Logging_1490/kartor_geotiff/A 3760-2024 georefererad karta.tif", "A 3760-2024")</f>
        <v/>
      </c>
      <c r="AA77">
        <f>HYPERLINK("https://klasma.github.io/Logging_1490/klagomål/A 3760-2024 FSC-klagomål.docx", "A 3760-2024")</f>
        <v/>
      </c>
      <c r="AB77">
        <f>HYPERLINK("https://klasma.github.io/Logging_1490/klagomålsmail/A 3760-2024 FSC-klagomål mail.docx", "A 3760-2024")</f>
        <v/>
      </c>
      <c r="AC77">
        <f>HYPERLINK("https://klasma.github.io/Logging_1490/tillsyn/A 3760-2024 tillsynsbegäran.docx", "A 3760-2024")</f>
        <v/>
      </c>
      <c r="AD77">
        <f>HYPERLINK("https://klasma.github.io/Logging_1490/tillsynsmail/A 3760-2024 tillsynsbegäran mail.docx", "A 3760-2024")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46239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46239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46239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46239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46239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46239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46239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46239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46239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46239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46239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46239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46239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46239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46239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46239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46239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46239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46239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46239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46239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46239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46239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46239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46239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46239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46239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46239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46239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46239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46239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46239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44565</v>
      </c>
      <c r="E116" s="1" t="n">
        <v>46239</v>
      </c>
      <c r="F116" t="inlineStr">
        <is>
          <t>VÄSTRA GÖTALANDS LÄN</t>
        </is>
      </c>
      <c r="G116" t="inlineStr">
        <is>
          <t>BORÅS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46239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46239</v>
      </c>
      <c r="F118" t="inlineStr">
        <is>
          <t>VÄSTRA GÖTALANDS LÄN</t>
        </is>
      </c>
      <c r="G118" t="inlineStr">
        <is>
          <t>BORÅS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46239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44605</v>
      </c>
      <c r="E120" s="1" t="n">
        <v>46239</v>
      </c>
      <c r="F120" t="inlineStr">
        <is>
          <t>VÄSTRA GÖTALANDS LÄN</t>
        </is>
      </c>
      <c r="G120" t="inlineStr">
        <is>
          <t>BORÅS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46239</v>
      </c>
      <c r="F121" t="inlineStr">
        <is>
          <t>VÄSTRA GÖTALANDS LÄN</t>
        </is>
      </c>
      <c r="G121" t="inlineStr">
        <is>
          <t>BORÅS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46239</v>
      </c>
      <c r="F122" t="inlineStr">
        <is>
          <t>VÄSTRA GÖTALANDS LÄN</t>
        </is>
      </c>
      <c r="G122" t="inlineStr">
        <is>
          <t>BORÅS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44845</v>
      </c>
      <c r="E123" s="1" t="n">
        <v>46239</v>
      </c>
      <c r="F123" t="inlineStr">
        <is>
          <t>VÄSTRA GÖTALANDS LÄN</t>
        </is>
      </c>
      <c r="G123" t="inlineStr">
        <is>
          <t>BORÅS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44845</v>
      </c>
      <c r="E124" s="1" t="n">
        <v>46239</v>
      </c>
      <c r="F124" t="inlineStr">
        <is>
          <t>VÄSTRA GÖTALANDS LÄN</t>
        </is>
      </c>
      <c r="G124" t="inlineStr">
        <is>
          <t>BORÅS</t>
        </is>
      </c>
      <c r="I124" t="n">
        <v>11.3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46239</v>
      </c>
      <c r="F125" t="inlineStr">
        <is>
          <t>VÄSTRA GÖTALANDS LÄN</t>
        </is>
      </c>
      <c r="G125" t="inlineStr">
        <is>
          <t>BORÅS</t>
        </is>
      </c>
      <c r="H125" t="inlineStr">
        <is>
          <t>Kyrkan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44882</v>
      </c>
      <c r="E126" s="1" t="n">
        <v>46239</v>
      </c>
      <c r="F126" t="inlineStr">
        <is>
          <t>VÄSTRA GÖTALANDS LÄN</t>
        </is>
      </c>
      <c r="G126" t="inlineStr">
        <is>
          <t>BORÅS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46239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46239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46239</v>
      </c>
      <c r="F129" t="inlineStr">
        <is>
          <t>VÄSTRA GÖTALANDS LÄN</t>
        </is>
      </c>
      <c r="G129" t="inlineStr">
        <is>
          <t>BORÅS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46239</v>
      </c>
      <c r="F130" t="inlineStr">
        <is>
          <t>VÄSTRA GÖTALANDS LÄN</t>
        </is>
      </c>
      <c r="G130" t="inlineStr">
        <is>
          <t>BORÅS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52307-2022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44873</v>
      </c>
      <c r="E131" s="1" t="n">
        <v>46239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44740</v>
      </c>
      <c r="E132" s="1" t="n">
        <v>46239</v>
      </c>
      <c r="F132" t="inlineStr">
        <is>
          <t>VÄSTRA GÖTALANDS LÄN</t>
        </is>
      </c>
      <c r="G132" t="inlineStr">
        <is>
          <t>BORÅS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45321</v>
      </c>
      <c r="E133" s="1" t="n">
        <v>46239</v>
      </c>
      <c r="F133" t="inlineStr">
        <is>
          <t>VÄSTRA GÖTALANDS LÄN</t>
        </is>
      </c>
      <c r="G133" t="inlineStr">
        <is>
          <t>BORÅS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44839</v>
      </c>
      <c r="E134" s="1" t="n">
        <v>46239</v>
      </c>
      <c r="F134" t="inlineStr">
        <is>
          <t>VÄSTRA GÖTALANDS LÄN</t>
        </is>
      </c>
      <c r="G134" t="inlineStr">
        <is>
          <t>BORÅS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52975-2021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46239</v>
      </c>
      <c r="F135" t="inlineStr">
        <is>
          <t>VÄSTRA GÖTALANDS LÄN</t>
        </is>
      </c>
      <c r="G135" t="inlineStr">
        <is>
          <t>BORÅS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51980-2021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44463</v>
      </c>
      <c r="E136" s="1" t="n">
        <v>46239</v>
      </c>
      <c r="F136" t="inlineStr">
        <is>
          <t>VÄSTRA GÖTALANDS LÄN</t>
        </is>
      </c>
      <c r="G136" t="inlineStr">
        <is>
          <t>BORÅS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46239</v>
      </c>
      <c r="F137" t="inlineStr">
        <is>
          <t>VÄSTRA GÖTALANDS LÄN</t>
        </is>
      </c>
      <c r="G137" t="inlineStr">
        <is>
          <t>BORÅS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46239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46239</v>
      </c>
      <c r="F139" t="inlineStr">
        <is>
          <t>VÄSTRA GÖTALANDS LÄN</t>
        </is>
      </c>
      <c r="G139" t="inlineStr">
        <is>
          <t>BORÅS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46239</v>
      </c>
      <c r="F140" t="inlineStr">
        <is>
          <t>VÄSTRA GÖTALANDS LÄN</t>
        </is>
      </c>
      <c r="G140" t="inlineStr">
        <is>
          <t>BORÅS</t>
        </is>
      </c>
      <c r="H140" t="inlineStr">
        <is>
          <t>Kommuner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45316</v>
      </c>
      <c r="E141" s="1" t="n">
        <v>46239</v>
      </c>
      <c r="F141" t="inlineStr">
        <is>
          <t>VÄSTRA GÖTALANDS LÄN</t>
        </is>
      </c>
      <c r="G141" t="inlineStr">
        <is>
          <t>BORÅS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46239</v>
      </c>
      <c r="F142" t="inlineStr">
        <is>
          <t>VÄSTRA GÖTALANDS LÄN</t>
        </is>
      </c>
      <c r="G142" t="inlineStr">
        <is>
          <t>BORÅS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46239</v>
      </c>
      <c r="F143" t="inlineStr">
        <is>
          <t>VÄSTRA GÖTALANDS LÄN</t>
        </is>
      </c>
      <c r="G143" t="inlineStr">
        <is>
          <t>BORÅS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44916</v>
      </c>
      <c r="E144" s="1" t="n">
        <v>46239</v>
      </c>
      <c r="F144" t="inlineStr">
        <is>
          <t>VÄSTRA GÖTALANDS LÄN</t>
        </is>
      </c>
      <c r="G144" t="inlineStr">
        <is>
          <t>BORÅS</t>
        </is>
      </c>
      <c r="I144" t="n">
        <v>9.800000000000001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46239</v>
      </c>
      <c r="F145" t="inlineStr">
        <is>
          <t>VÄSTRA GÖTALANDS LÄN</t>
        </is>
      </c>
      <c r="G145" t="inlineStr">
        <is>
          <t>BORÅS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46239</v>
      </c>
      <c r="F146" t="inlineStr">
        <is>
          <t>VÄSTRA GÖTALANDS LÄN</t>
        </is>
      </c>
      <c r="G146" t="inlineStr">
        <is>
          <t>BORÅS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46239</v>
      </c>
      <c r="F147" t="inlineStr">
        <is>
          <t>VÄSTRA GÖTALANDS LÄN</t>
        </is>
      </c>
      <c r="G147" t="inlineStr">
        <is>
          <t>BORÅS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46239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57782-2022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46239</v>
      </c>
      <c r="F149" t="inlineStr">
        <is>
          <t>VÄSTRA GÖTALANDS LÄN</t>
        </is>
      </c>
      <c r="G149" t="inlineStr">
        <is>
          <t>BORÅS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46239</v>
      </c>
      <c r="F150" t="inlineStr">
        <is>
          <t>VÄSTRA GÖTALANDS LÄN</t>
        </is>
      </c>
      <c r="G150" t="inlineStr">
        <is>
          <t>BORÅS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46239</v>
      </c>
      <c r="F151" t="inlineStr">
        <is>
          <t>VÄSTRA GÖTALANDS LÄN</t>
        </is>
      </c>
      <c r="G151" t="inlineStr">
        <is>
          <t>BORÅS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46239</v>
      </c>
      <c r="F152" t="inlineStr">
        <is>
          <t>VÄSTRA GÖTALANDS LÄN</t>
        </is>
      </c>
      <c r="G152" t="inlineStr">
        <is>
          <t>BORÅS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44656</v>
      </c>
      <c r="E153" s="1" t="n">
        <v>46239</v>
      </c>
      <c r="F153" t="inlineStr">
        <is>
          <t>VÄSTRA GÖTALANDS LÄN</t>
        </is>
      </c>
      <c r="G153" t="inlineStr">
        <is>
          <t>BORÅS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46239</v>
      </c>
      <c r="F154" t="inlineStr">
        <is>
          <t>VÄSTRA GÖTALANDS LÄN</t>
        </is>
      </c>
      <c r="G154" t="inlineStr">
        <is>
          <t>BORÅS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27370-2025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45812</v>
      </c>
      <c r="E155" s="1" t="n">
        <v>46239</v>
      </c>
      <c r="F155" t="inlineStr">
        <is>
          <t>VÄSTRA GÖTALANDS LÄN</t>
        </is>
      </c>
      <c r="G155" t="inlineStr">
        <is>
          <t>BORÅS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46239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45189</v>
      </c>
      <c r="E157" s="1" t="n">
        <v>46239</v>
      </c>
      <c r="F157" t="inlineStr">
        <is>
          <t>VÄSTRA GÖTALANDS LÄN</t>
        </is>
      </c>
      <c r="G157" t="inlineStr">
        <is>
          <t>BORÅS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46239</v>
      </c>
      <c r="F158" t="inlineStr">
        <is>
          <t>VÄSTRA GÖTALANDS LÄN</t>
        </is>
      </c>
      <c r="G158" t="inlineStr">
        <is>
          <t>BORÅS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46239</v>
      </c>
      <c r="F159" t="inlineStr">
        <is>
          <t>VÄSTRA GÖTALANDS LÄN</t>
        </is>
      </c>
      <c r="G159" t="inlineStr">
        <is>
          <t>BORÅS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38970-2024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45548</v>
      </c>
      <c r="E160" s="1" t="n">
        <v>46239</v>
      </c>
      <c r="F160" t="inlineStr">
        <is>
          <t>VÄSTRA GÖTALANDS LÄN</t>
        </is>
      </c>
      <c r="G160" t="inlineStr">
        <is>
          <t>BORÅS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46239</v>
      </c>
      <c r="F161" t="inlineStr">
        <is>
          <t>VÄSTRA GÖTALANDS LÄN</t>
        </is>
      </c>
      <c r="G161" t="inlineStr">
        <is>
          <t>BORÅS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46239</v>
      </c>
      <c r="F162" t="inlineStr">
        <is>
          <t>VÄSTRA GÖTALANDS LÄN</t>
        </is>
      </c>
      <c r="G162" t="inlineStr">
        <is>
          <t>BORÅS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46239</v>
      </c>
      <c r="F163" t="inlineStr">
        <is>
          <t>VÄSTRA GÖTALANDS LÄN</t>
        </is>
      </c>
      <c r="G163" t="inlineStr">
        <is>
          <t>BORÅS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13436-2025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45735</v>
      </c>
      <c r="E164" s="1" t="n">
        <v>46239</v>
      </c>
      <c r="F164" t="inlineStr">
        <is>
          <t>VÄSTRA GÖTALANDS LÄN</t>
        </is>
      </c>
      <c r="G164" t="inlineStr">
        <is>
          <t>BORÅS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45197</v>
      </c>
      <c r="E165" s="1" t="n">
        <v>46239</v>
      </c>
      <c r="F165" t="inlineStr">
        <is>
          <t>VÄSTRA GÖTALANDS LÄN</t>
        </is>
      </c>
      <c r="G165" t="inlineStr">
        <is>
          <t>BORÅS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52410-2023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45224</v>
      </c>
      <c r="E166" s="1" t="n">
        <v>46239</v>
      </c>
      <c r="F166" t="inlineStr">
        <is>
          <t>VÄSTRA GÖTALANDS LÄN</t>
        </is>
      </c>
      <c r="G166" t="inlineStr">
        <is>
          <t>BORÅS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46239</v>
      </c>
      <c r="F167" t="inlineStr">
        <is>
          <t>VÄSTRA GÖTALANDS LÄN</t>
        </is>
      </c>
      <c r="G167" t="inlineStr">
        <is>
          <t>BORÅS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46239</v>
      </c>
      <c r="F168" t="inlineStr">
        <is>
          <t>VÄSTRA GÖTALANDS LÄN</t>
        </is>
      </c>
      <c r="G168" t="inlineStr">
        <is>
          <t>BORÅS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45472</v>
      </c>
      <c r="E169" s="1" t="n">
        <v>46239</v>
      </c>
      <c r="F169" t="inlineStr">
        <is>
          <t>VÄSTRA GÖTALANDS LÄN</t>
        </is>
      </c>
      <c r="G169" t="inlineStr">
        <is>
          <t>BORÅS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46239</v>
      </c>
      <c r="F170" t="inlineStr">
        <is>
          <t>VÄSTRA GÖTALANDS LÄN</t>
        </is>
      </c>
      <c r="G170" t="inlineStr">
        <is>
          <t>BORÅS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45823</v>
      </c>
      <c r="E171" s="1" t="n">
        <v>46239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46239</v>
      </c>
      <c r="F172" t="inlineStr">
        <is>
          <t>VÄSTRA GÖTALANDS LÄN</t>
        </is>
      </c>
      <c r="G172" t="inlineStr">
        <is>
          <t>BORÅS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46239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44964</v>
      </c>
      <c r="E174" s="1" t="n">
        <v>46239</v>
      </c>
      <c r="F174" t="inlineStr">
        <is>
          <t>VÄSTRA GÖTALANDS LÄN</t>
        </is>
      </c>
      <c r="G174" t="inlineStr">
        <is>
          <t>BORÅS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46239</v>
      </c>
      <c r="F175" t="inlineStr">
        <is>
          <t>VÄSTRA GÖTALANDS LÄN</t>
        </is>
      </c>
      <c r="G175" t="inlineStr">
        <is>
          <t>BORÅS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46239</v>
      </c>
      <c r="F176" t="inlineStr">
        <is>
          <t>VÄSTRA GÖTALANDS LÄN</t>
        </is>
      </c>
      <c r="G176" t="inlineStr">
        <is>
          <t>BORÅS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45720</v>
      </c>
      <c r="E177" s="1" t="n">
        <v>46239</v>
      </c>
      <c r="F177" t="inlineStr">
        <is>
          <t>VÄSTRA GÖTALANDS LÄN</t>
        </is>
      </c>
      <c r="G177" t="inlineStr">
        <is>
          <t>BORÅS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46239</v>
      </c>
      <c r="F178" t="inlineStr">
        <is>
          <t>VÄSTRA GÖTALANDS LÄN</t>
        </is>
      </c>
      <c r="G178" t="inlineStr">
        <is>
          <t>BORÅS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46239</v>
      </c>
      <c r="F179" t="inlineStr">
        <is>
          <t>VÄSTRA GÖTALANDS LÄN</t>
        </is>
      </c>
      <c r="G179" t="inlineStr">
        <is>
          <t>BORÅS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46239</v>
      </c>
      <c r="F180" t="inlineStr">
        <is>
          <t>VÄSTRA GÖTALANDS LÄN</t>
        </is>
      </c>
      <c r="G180" t="inlineStr">
        <is>
          <t>BORÅS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46239</v>
      </c>
      <c r="F181" t="inlineStr">
        <is>
          <t>VÄSTRA GÖTALANDS LÄN</t>
        </is>
      </c>
      <c r="G181" t="inlineStr">
        <is>
          <t>BORÅS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46239</v>
      </c>
      <c r="F182" t="inlineStr">
        <is>
          <t>VÄSTRA GÖTALANDS LÄN</t>
        </is>
      </c>
      <c r="G182" t="inlineStr">
        <is>
          <t>BORÅS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46239</v>
      </c>
      <c r="F183" t="inlineStr">
        <is>
          <t>VÄSTRA GÖTALANDS LÄN</t>
        </is>
      </c>
      <c r="G183" t="inlineStr">
        <is>
          <t>BORÅS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30312-2025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45827</v>
      </c>
      <c r="E184" s="1" t="n">
        <v>46239</v>
      </c>
      <c r="F184" t="inlineStr">
        <is>
          <t>VÄSTRA GÖTALANDS LÄN</t>
        </is>
      </c>
      <c r="G184" t="inlineStr">
        <is>
          <t>BORÅS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45727</v>
      </c>
      <c r="E185" s="1" t="n">
        <v>46239</v>
      </c>
      <c r="F185" t="inlineStr">
        <is>
          <t>VÄSTRA GÖTALANDS LÄN</t>
        </is>
      </c>
      <c r="G185" t="inlineStr">
        <is>
          <t>BORÅS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45462</v>
      </c>
      <c r="E186" s="1" t="n">
        <v>46239</v>
      </c>
      <c r="F186" t="inlineStr">
        <is>
          <t>VÄSTRA GÖTALANDS LÄN</t>
        </is>
      </c>
      <c r="G186" t="inlineStr">
        <is>
          <t>BORÅS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46239</v>
      </c>
      <c r="F187" t="inlineStr">
        <is>
          <t>VÄSTRA GÖTALANDS LÄN</t>
        </is>
      </c>
      <c r="G187" t="inlineStr">
        <is>
          <t>BORÅS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46239</v>
      </c>
      <c r="F188" t="inlineStr">
        <is>
          <t>VÄSTRA GÖTALANDS LÄN</t>
        </is>
      </c>
      <c r="G188" t="inlineStr">
        <is>
          <t>BORÅS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46239</v>
      </c>
      <c r="F189" t="inlineStr">
        <is>
          <t>VÄSTRA GÖTALANDS LÄN</t>
        </is>
      </c>
      <c r="G189" t="inlineStr">
        <is>
          <t>BORÅS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46239</v>
      </c>
      <c r="F190" t="inlineStr">
        <is>
          <t>VÄSTRA GÖTALANDS LÄN</t>
        </is>
      </c>
      <c r="G190" t="inlineStr">
        <is>
          <t>BORÅS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46239</v>
      </c>
      <c r="F191" t="inlineStr">
        <is>
          <t>VÄSTRA GÖTALANDS LÄN</t>
        </is>
      </c>
      <c r="G191" t="inlineStr">
        <is>
          <t>BORÅS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45836</v>
      </c>
      <c r="E192" s="1" t="n">
        <v>46239</v>
      </c>
      <c r="F192" t="inlineStr">
        <is>
          <t>VÄSTRA GÖTALANDS LÄN</t>
        </is>
      </c>
      <c r="G192" t="inlineStr">
        <is>
          <t>BORÅS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58734-2021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46239</v>
      </c>
      <c r="F193" t="inlineStr">
        <is>
          <t>VÄSTRA GÖTALANDS LÄN</t>
        </is>
      </c>
      <c r="G193" t="inlineStr">
        <is>
          <t>BORÅS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46239</v>
      </c>
      <c r="F194" t="inlineStr">
        <is>
          <t>VÄSTRA GÖTALANDS LÄN</t>
        </is>
      </c>
      <c r="G194" t="inlineStr">
        <is>
          <t>BORÅS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45836</v>
      </c>
      <c r="E195" s="1" t="n">
        <v>46239</v>
      </c>
      <c r="F195" t="inlineStr">
        <is>
          <t>VÄSTRA GÖTALANDS LÄN</t>
        </is>
      </c>
      <c r="G195" t="inlineStr">
        <is>
          <t>BORÅS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44995</v>
      </c>
      <c r="E196" s="1" t="n">
        <v>46239</v>
      </c>
      <c r="F196" t="inlineStr">
        <is>
          <t>VÄSTRA GÖTALANDS LÄN</t>
        </is>
      </c>
      <c r="G196" t="inlineStr">
        <is>
          <t>BORÅS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46239</v>
      </c>
      <c r="F197" t="inlineStr">
        <is>
          <t>VÄSTRA GÖTALANDS LÄN</t>
        </is>
      </c>
      <c r="G197" t="inlineStr">
        <is>
          <t>BORÅS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46239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40611-2021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44420</v>
      </c>
      <c r="E199" s="1" t="n">
        <v>46239</v>
      </c>
      <c r="F199" t="inlineStr">
        <is>
          <t>VÄSTRA GÖTALANDS LÄN</t>
        </is>
      </c>
      <c r="G199" t="inlineStr">
        <is>
          <t>BORÅS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46239</v>
      </c>
      <c r="F200" t="inlineStr">
        <is>
          <t>VÄSTRA GÖTALANDS LÄN</t>
        </is>
      </c>
      <c r="G200" t="inlineStr">
        <is>
          <t>BORÅS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46239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44916</v>
      </c>
      <c r="E202" s="1" t="n">
        <v>46239</v>
      </c>
      <c r="F202" t="inlineStr">
        <is>
          <t>VÄSTRA GÖTALANDS LÄN</t>
        </is>
      </c>
      <c r="G202" t="inlineStr">
        <is>
          <t>BORÅS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46239</v>
      </c>
      <c r="F203" t="inlineStr">
        <is>
          <t>VÄSTRA GÖTALANDS LÄN</t>
        </is>
      </c>
      <c r="G203" t="inlineStr">
        <is>
          <t>BORÅS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46239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46239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44958</v>
      </c>
      <c r="E206" s="1" t="n">
        <v>46239</v>
      </c>
      <c r="F206" t="inlineStr">
        <is>
          <t>VÄSTRA GÖTALANDS LÄN</t>
        </is>
      </c>
      <c r="G206" t="inlineStr">
        <is>
          <t>BORÅS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45048</v>
      </c>
      <c r="E207" s="1" t="n">
        <v>46239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45538</v>
      </c>
      <c r="E208" s="1" t="n">
        <v>46239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46239</v>
      </c>
      <c r="F209" t="inlineStr">
        <is>
          <t>VÄSTRA GÖTALANDS LÄN</t>
        </is>
      </c>
      <c r="G209" t="inlineStr">
        <is>
          <t>BORÅS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46239</v>
      </c>
      <c r="F210" t="inlineStr">
        <is>
          <t>VÄSTRA GÖTALANDS LÄN</t>
        </is>
      </c>
      <c r="G210" t="inlineStr">
        <is>
          <t>BORÅS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44771</v>
      </c>
      <c r="E211" s="1" t="n">
        <v>46239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46239</v>
      </c>
      <c r="F212" t="inlineStr">
        <is>
          <t>VÄSTRA GÖTALANDS LÄN</t>
        </is>
      </c>
      <c r="G212" t="inlineStr">
        <is>
          <t>BORÅS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46239</v>
      </c>
      <c r="F213" t="inlineStr">
        <is>
          <t>VÄSTRA GÖTALANDS LÄN</t>
        </is>
      </c>
      <c r="G213" t="inlineStr">
        <is>
          <t>BORÅS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46538-2021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44445</v>
      </c>
      <c r="E214" s="1" t="n">
        <v>46239</v>
      </c>
      <c r="F214" t="inlineStr">
        <is>
          <t>VÄSTRA GÖTALANDS LÄN</t>
        </is>
      </c>
      <c r="G214" t="inlineStr">
        <is>
          <t>BORÅS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45392</v>
      </c>
      <c r="E215" s="1" t="n">
        <v>46239</v>
      </c>
      <c r="F215" t="inlineStr">
        <is>
          <t>VÄSTRA GÖTALANDS LÄN</t>
        </is>
      </c>
      <c r="G215" t="inlineStr">
        <is>
          <t>BORÅS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45308</v>
      </c>
      <c r="E216" s="1" t="n">
        <v>46239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45379</v>
      </c>
      <c r="E217" s="1" t="n">
        <v>46239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46239</v>
      </c>
      <c r="F218" t="inlineStr">
        <is>
          <t>VÄSTRA GÖTALANDS LÄN</t>
        </is>
      </c>
      <c r="G218" t="inlineStr">
        <is>
          <t>BORÅS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46239</v>
      </c>
      <c r="F219" t="inlineStr">
        <is>
          <t>VÄSTRA GÖTALANDS LÄN</t>
        </is>
      </c>
      <c r="G219" t="inlineStr">
        <is>
          <t>BORÅS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46239</v>
      </c>
      <c r="F220" t="inlineStr">
        <is>
          <t>VÄSTRA GÖTALANDS LÄN</t>
        </is>
      </c>
      <c r="G220" t="inlineStr">
        <is>
          <t>BORÅS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46239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46239</v>
      </c>
      <c r="F222" t="inlineStr">
        <is>
          <t>VÄSTRA GÖTALANDS LÄN</t>
        </is>
      </c>
      <c r="G222" t="inlineStr">
        <is>
          <t>BORÅS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46239</v>
      </c>
      <c r="F223" t="inlineStr">
        <is>
          <t>VÄSTRA GÖTALANDS LÄN</t>
        </is>
      </c>
      <c r="G223" t="inlineStr">
        <is>
          <t>BORÅS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46239</v>
      </c>
      <c r="F224" t="inlineStr">
        <is>
          <t>VÄSTRA GÖTALANDS LÄN</t>
        </is>
      </c>
      <c r="G224" t="inlineStr">
        <is>
          <t>BORÅS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46239</v>
      </c>
      <c r="F225" t="inlineStr">
        <is>
          <t>VÄSTRA GÖTALANDS LÄN</t>
        </is>
      </c>
      <c r="G225" t="inlineStr">
        <is>
          <t>BORÅS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45612</v>
      </c>
      <c r="E226" s="1" t="n">
        <v>46239</v>
      </c>
      <c r="F226" t="inlineStr">
        <is>
          <t>VÄSTRA GÖTALANDS LÄN</t>
        </is>
      </c>
      <c r="G226" t="inlineStr">
        <is>
          <t>BORÅS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46239</v>
      </c>
      <c r="F227" t="inlineStr">
        <is>
          <t>VÄSTRA GÖTALANDS LÄN</t>
        </is>
      </c>
      <c r="G227" t="inlineStr">
        <is>
          <t>BORÅS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46239</v>
      </c>
      <c r="F228" t="inlineStr">
        <is>
          <t>VÄSTRA GÖTALANDS LÄN</t>
        </is>
      </c>
      <c r="G228" t="inlineStr">
        <is>
          <t>BORÅS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44837</v>
      </c>
      <c r="E229" s="1" t="n">
        <v>46239</v>
      </c>
      <c r="F229" t="inlineStr">
        <is>
          <t>VÄSTRA GÖTALANDS LÄN</t>
        </is>
      </c>
      <c r="G229" t="inlineStr">
        <is>
          <t>BORÅS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45456</v>
      </c>
      <c r="E230" s="1" t="n">
        <v>46239</v>
      </c>
      <c r="F230" t="inlineStr">
        <is>
          <t>VÄSTRA GÖTALANDS LÄN</t>
        </is>
      </c>
      <c r="G230" t="inlineStr">
        <is>
          <t>BORÅS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46239</v>
      </c>
      <c r="F231" t="inlineStr">
        <is>
          <t>VÄSTRA GÖTALANDS LÄN</t>
        </is>
      </c>
      <c r="G231" t="inlineStr">
        <is>
          <t>BORÅS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63178-2023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46239</v>
      </c>
      <c r="F232" t="inlineStr">
        <is>
          <t>VÄSTRA GÖTALANDS LÄN</t>
        </is>
      </c>
      <c r="G232" t="inlineStr">
        <is>
          <t>BORÅS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31940-2024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45510</v>
      </c>
      <c r="E233" s="1" t="n">
        <v>46239</v>
      </c>
      <c r="F233" t="inlineStr">
        <is>
          <t>VÄSTRA GÖTALANDS LÄN</t>
        </is>
      </c>
      <c r="G233" t="inlineStr">
        <is>
          <t>BORÅS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44958</v>
      </c>
      <c r="E234" s="1" t="n">
        <v>46239</v>
      </c>
      <c r="F234" t="inlineStr">
        <is>
          <t>VÄSTRA GÖTALANDS LÄN</t>
        </is>
      </c>
      <c r="G234" t="inlineStr">
        <is>
          <t>BORÅS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44652</v>
      </c>
      <c r="E235" s="1" t="n">
        <v>46239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46239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44577</v>
      </c>
      <c r="E237" s="1" t="n">
        <v>46239</v>
      </c>
      <c r="F237" t="inlineStr">
        <is>
          <t>VÄSTRA GÖTALANDS LÄN</t>
        </is>
      </c>
      <c r="G237" t="inlineStr">
        <is>
          <t>BORÅS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45546</v>
      </c>
      <c r="E238" s="1" t="n">
        <v>46239</v>
      </c>
      <c r="F238" t="inlineStr">
        <is>
          <t>VÄSTRA GÖTALANDS LÄN</t>
        </is>
      </c>
      <c r="G238" t="inlineStr">
        <is>
          <t>BORÅS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49191-2021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46239</v>
      </c>
      <c r="F239" t="inlineStr">
        <is>
          <t>VÄSTRA GÖTALANDS LÄN</t>
        </is>
      </c>
      <c r="G239" t="inlineStr">
        <is>
          <t>BORÅS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28171-2022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44746</v>
      </c>
      <c r="E240" s="1" t="n">
        <v>46239</v>
      </c>
      <c r="F240" t="inlineStr">
        <is>
          <t>VÄSTRA GÖTALANDS LÄN</t>
        </is>
      </c>
      <c r="G240" t="inlineStr">
        <is>
          <t>BORÅS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46239</v>
      </c>
      <c r="F241" t="inlineStr">
        <is>
          <t>VÄSTRA GÖTALANDS LÄN</t>
        </is>
      </c>
      <c r="G241" t="inlineStr">
        <is>
          <t>BORÅS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46239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46239</v>
      </c>
      <c r="F243" t="inlineStr">
        <is>
          <t>VÄSTRA GÖTALANDS LÄN</t>
        </is>
      </c>
      <c r="G243" t="inlineStr">
        <is>
          <t>BORÅS</t>
        </is>
      </c>
      <c r="H243" t="inlineStr">
        <is>
          <t>Kyrkan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45356</v>
      </c>
      <c r="E244" s="1" t="n">
        <v>46239</v>
      </c>
      <c r="F244" t="inlineStr">
        <is>
          <t>VÄSTRA GÖTALANDS LÄN</t>
        </is>
      </c>
      <c r="G244" t="inlineStr">
        <is>
          <t>BORÅS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46239</v>
      </c>
      <c r="F245" t="inlineStr">
        <is>
          <t>VÄSTRA GÖTALANDS LÄN</t>
        </is>
      </c>
      <c r="G245" t="inlineStr">
        <is>
          <t>BORÅS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46239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46239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46239</v>
      </c>
      <c r="F248" t="inlineStr">
        <is>
          <t>VÄSTRA GÖTALANDS LÄN</t>
        </is>
      </c>
      <c r="G248" t="inlineStr">
        <is>
          <t>BORÅS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46574-2022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44848</v>
      </c>
      <c r="E249" s="1" t="n">
        <v>46239</v>
      </c>
      <c r="F249" t="inlineStr">
        <is>
          <t>VÄSTRA GÖTALANDS LÄN</t>
        </is>
      </c>
      <c r="G249" t="inlineStr">
        <is>
          <t>BORÅS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27334-2024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45472</v>
      </c>
      <c r="E250" s="1" t="n">
        <v>46239</v>
      </c>
      <c r="F250" t="inlineStr">
        <is>
          <t>VÄSTRA GÖTALANDS LÄN</t>
        </is>
      </c>
      <c r="G250" t="inlineStr">
        <is>
          <t>BORÅS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46239</v>
      </c>
      <c r="F251" t="inlineStr">
        <is>
          <t>VÄSTRA GÖTALANDS LÄN</t>
        </is>
      </c>
      <c r="G251" t="inlineStr">
        <is>
          <t>BORÅS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46239</v>
      </c>
      <c r="F252" t="inlineStr">
        <is>
          <t>VÄSTRA GÖTALANDS LÄN</t>
        </is>
      </c>
      <c r="G252" t="inlineStr">
        <is>
          <t>BORÅS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46239</v>
      </c>
      <c r="F253" t="inlineStr">
        <is>
          <t>VÄSTRA GÖTALANDS LÄN</t>
        </is>
      </c>
      <c r="G253" t="inlineStr">
        <is>
          <t>BORÅS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45050</v>
      </c>
      <c r="E254" s="1" t="n">
        <v>46239</v>
      </c>
      <c r="F254" t="inlineStr">
        <is>
          <t>VÄSTRA GÖTALANDS LÄN</t>
        </is>
      </c>
      <c r="G254" t="inlineStr">
        <is>
          <t>BORÅS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45050</v>
      </c>
      <c r="E255" s="1" t="n">
        <v>46239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46239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44859</v>
      </c>
      <c r="E257" s="1" t="n">
        <v>46239</v>
      </c>
      <c r="F257" t="inlineStr">
        <is>
          <t>VÄSTRA GÖTALANDS LÄN</t>
        </is>
      </c>
      <c r="G257" t="inlineStr">
        <is>
          <t>BORÅS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44844</v>
      </c>
      <c r="E258" s="1" t="n">
        <v>46239</v>
      </c>
      <c r="F258" t="inlineStr">
        <is>
          <t>VÄSTRA GÖTALANDS LÄN</t>
        </is>
      </c>
      <c r="G258" t="inlineStr">
        <is>
          <t>BORÅS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44959</v>
      </c>
      <c r="E259" s="1" t="n">
        <v>46239</v>
      </c>
      <c r="F259" t="inlineStr">
        <is>
          <t>VÄSTRA GÖTALANDS LÄN</t>
        </is>
      </c>
      <c r="G259" t="inlineStr">
        <is>
          <t>BORÅS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49112-2023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46239</v>
      </c>
      <c r="F260" t="inlineStr">
        <is>
          <t>VÄSTRA GÖTALANDS LÄN</t>
        </is>
      </c>
      <c r="G260" t="inlineStr">
        <is>
          <t>BORÅS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46239</v>
      </c>
      <c r="F261" t="inlineStr">
        <is>
          <t>VÄSTRA GÖTALANDS LÄN</t>
        </is>
      </c>
      <c r="G261" t="inlineStr">
        <is>
          <t>BORÅS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46239</v>
      </c>
      <c r="F262" t="inlineStr">
        <is>
          <t>VÄSTRA GÖTALANDS LÄN</t>
        </is>
      </c>
      <c r="G262" t="inlineStr">
        <is>
          <t>BORÅS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46239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46239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61863-2024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45650</v>
      </c>
      <c r="E265" s="1" t="n">
        <v>46239</v>
      </c>
      <c r="F265" t="inlineStr">
        <is>
          <t>VÄSTRA GÖTALANDS LÄN</t>
        </is>
      </c>
      <c r="G265" t="inlineStr">
        <is>
          <t>BORÅS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11362-2022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44630</v>
      </c>
      <c r="E266" s="1" t="n">
        <v>46239</v>
      </c>
      <c r="F266" t="inlineStr">
        <is>
          <t>VÄSTRA GÖTALANDS LÄN</t>
        </is>
      </c>
      <c r="G266" t="inlineStr">
        <is>
          <t>BORÅS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45321</v>
      </c>
      <c r="E267" s="1" t="n">
        <v>46239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46239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46239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46239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32163-2023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46239</v>
      </c>
      <c r="F271" t="inlineStr">
        <is>
          <t>VÄSTRA GÖTALANDS LÄN</t>
        </is>
      </c>
      <c r="G271" t="inlineStr">
        <is>
          <t>BORÅS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46239</v>
      </c>
      <c r="F272" t="inlineStr">
        <is>
          <t>VÄSTRA GÖTALANDS LÄN</t>
        </is>
      </c>
      <c r="G272" t="inlineStr">
        <is>
          <t>BORÅS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46239</v>
      </c>
      <c r="F273" t="inlineStr">
        <is>
          <t>VÄSTRA GÖTALANDS LÄN</t>
        </is>
      </c>
      <c r="G273" t="inlineStr">
        <is>
          <t>BORÅS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46239</v>
      </c>
      <c r="F274" t="inlineStr">
        <is>
          <t>VÄSTRA GÖTALANDS LÄN</t>
        </is>
      </c>
      <c r="G274" t="inlineStr">
        <is>
          <t>BORÅS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46239</v>
      </c>
      <c r="F275" t="inlineStr">
        <is>
          <t>VÄSTRA GÖTALANDS LÄN</t>
        </is>
      </c>
      <c r="G275" t="inlineStr">
        <is>
          <t>BORÅS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46239</v>
      </c>
      <c r="F276" t="inlineStr">
        <is>
          <t>VÄSTRA GÖTALANDS LÄN</t>
        </is>
      </c>
      <c r="G276" t="inlineStr">
        <is>
          <t>BORÅS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46239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46239</v>
      </c>
      <c r="F278" t="inlineStr">
        <is>
          <t>VÄSTRA GÖTALANDS LÄN</t>
        </is>
      </c>
      <c r="G278" t="inlineStr">
        <is>
          <t>BORÅS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46239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56684-2022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44888</v>
      </c>
      <c r="E280" s="1" t="n">
        <v>46239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Kyrkan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46239</v>
      </c>
      <c r="F281" t="inlineStr">
        <is>
          <t>VÄSTRA GÖTALANDS LÄN</t>
        </is>
      </c>
      <c r="G281" t="inlineStr">
        <is>
          <t>BORÅS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46239</v>
      </c>
      <c r="F282" t="inlineStr">
        <is>
          <t>VÄSTRA GÖTALANDS LÄN</t>
        </is>
      </c>
      <c r="G282" t="inlineStr">
        <is>
          <t>BORÅS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46239</v>
      </c>
      <c r="F283" t="inlineStr">
        <is>
          <t>VÄSTRA GÖTALANDS LÄN</t>
        </is>
      </c>
      <c r="G283" t="inlineStr">
        <is>
          <t>BORÅS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45666</v>
      </c>
      <c r="E284" s="1" t="n">
        <v>46239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Sveaskog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45421</v>
      </c>
      <c r="E285" s="1" t="n">
        <v>46239</v>
      </c>
      <c r="F285" t="inlineStr">
        <is>
          <t>VÄSTRA GÖTALANDS LÄN</t>
        </is>
      </c>
      <c r="G285" t="inlineStr">
        <is>
          <t>BORÅS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45216</v>
      </c>
      <c r="E286" s="1" t="n">
        <v>46239</v>
      </c>
      <c r="F286" t="inlineStr">
        <is>
          <t>VÄSTRA GÖTALANDS LÄN</t>
        </is>
      </c>
      <c r="G286" t="inlineStr">
        <is>
          <t>BORÅS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24860-2022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44728</v>
      </c>
      <c r="E287" s="1" t="n">
        <v>46239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44639</v>
      </c>
      <c r="E288" s="1" t="n">
        <v>46239</v>
      </c>
      <c r="F288" t="inlineStr">
        <is>
          <t>VÄSTRA GÖTALANDS LÄN</t>
        </is>
      </c>
      <c r="G288" t="inlineStr">
        <is>
          <t>BORÅS</t>
        </is>
      </c>
      <c r="I288" t="n">
        <v>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46239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46239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73822-2021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44552</v>
      </c>
      <c r="E291" s="1" t="n">
        <v>46239</v>
      </c>
      <c r="F291" t="inlineStr">
        <is>
          <t>VÄSTRA GÖTALANDS LÄN</t>
        </is>
      </c>
      <c r="G291" t="inlineStr">
        <is>
          <t>BORÅS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46239</v>
      </c>
      <c r="F292" t="inlineStr">
        <is>
          <t>VÄSTRA GÖTALANDS LÄN</t>
        </is>
      </c>
      <c r="G292" t="inlineStr">
        <is>
          <t>BORÅS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46239</v>
      </c>
      <c r="F293" t="inlineStr">
        <is>
          <t>VÄSTRA GÖTALANDS LÄN</t>
        </is>
      </c>
      <c r="G293" t="inlineStr">
        <is>
          <t>BORÅS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46239</v>
      </c>
      <c r="F294" t="inlineStr">
        <is>
          <t>VÄSTRA GÖTALANDS LÄN</t>
        </is>
      </c>
      <c r="G294" t="inlineStr">
        <is>
          <t>BORÅS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46239</v>
      </c>
      <c r="F295" t="inlineStr">
        <is>
          <t>VÄSTRA GÖTALANDS LÄN</t>
        </is>
      </c>
      <c r="G295" t="inlineStr">
        <is>
          <t>BORÅS</t>
        </is>
      </c>
      <c r="I295" t="n">
        <v>11.7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46239</v>
      </c>
      <c r="F296" t="inlineStr">
        <is>
          <t>VÄSTRA GÖTALANDS LÄN</t>
        </is>
      </c>
      <c r="G296" t="inlineStr">
        <is>
          <t>BORÅS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46239</v>
      </c>
      <c r="F297" t="inlineStr">
        <is>
          <t>VÄSTRA GÖTALANDS LÄN</t>
        </is>
      </c>
      <c r="G297" t="inlineStr">
        <is>
          <t>BORÅS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46239</v>
      </c>
      <c r="F298" t="inlineStr">
        <is>
          <t>VÄSTRA GÖTALANDS LÄN</t>
        </is>
      </c>
      <c r="G298" t="inlineStr">
        <is>
          <t>BORÅS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46239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46239</v>
      </c>
      <c r="F300" t="inlineStr">
        <is>
          <t>VÄSTRA GÖTALANDS LÄN</t>
        </is>
      </c>
      <c r="G300" t="inlineStr">
        <is>
          <t>BORÅS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46239</v>
      </c>
      <c r="F301" t="inlineStr">
        <is>
          <t>VÄSTRA GÖTALANDS LÄN</t>
        </is>
      </c>
      <c r="G301" t="inlineStr">
        <is>
          <t>BORÅS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50605-2022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44866</v>
      </c>
      <c r="E302" s="1" t="n">
        <v>46239</v>
      </c>
      <c r="F302" t="inlineStr">
        <is>
          <t>VÄSTRA GÖTALANDS LÄN</t>
        </is>
      </c>
      <c r="G302" t="inlineStr">
        <is>
          <t>BORÅS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46239</v>
      </c>
      <c r="F303" t="inlineStr">
        <is>
          <t>VÄSTRA GÖTALANDS LÄN</t>
        </is>
      </c>
      <c r="G303" t="inlineStr">
        <is>
          <t>BORÅS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46239</v>
      </c>
      <c r="F304" t="inlineStr">
        <is>
          <t>VÄSTRA GÖTALANDS LÄN</t>
        </is>
      </c>
      <c r="G304" t="inlineStr">
        <is>
          <t>BORÅS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46239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46239</v>
      </c>
      <c r="F306" t="inlineStr">
        <is>
          <t>VÄSTRA GÖTALANDS LÄN</t>
        </is>
      </c>
      <c r="G306" t="inlineStr">
        <is>
          <t>BORÅS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46239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Sveaskog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45212</v>
      </c>
      <c r="E308" s="1" t="n">
        <v>46239</v>
      </c>
      <c r="F308" t="inlineStr">
        <is>
          <t>VÄSTRA GÖTALANDS LÄN</t>
        </is>
      </c>
      <c r="G308" t="inlineStr">
        <is>
          <t>BORÅS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60383-2022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44910</v>
      </c>
      <c r="E309" s="1" t="n">
        <v>46239</v>
      </c>
      <c r="F309" t="inlineStr">
        <is>
          <t>VÄSTRA GÖTALANDS LÄN</t>
        </is>
      </c>
      <c r="G309" t="inlineStr">
        <is>
          <t>BORÅS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46239</v>
      </c>
      <c r="F310" t="inlineStr">
        <is>
          <t>VÄSTRA GÖTALANDS LÄN</t>
        </is>
      </c>
      <c r="G310" t="inlineStr">
        <is>
          <t>BORÅS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46239</v>
      </c>
      <c r="F311" t="inlineStr">
        <is>
          <t>VÄSTRA GÖTALANDS LÄN</t>
        </is>
      </c>
      <c r="G311" t="inlineStr">
        <is>
          <t>BORÅS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46239</v>
      </c>
      <c r="F312" t="inlineStr">
        <is>
          <t>VÄSTRA GÖTALANDS LÄN</t>
        </is>
      </c>
      <c r="G312" t="inlineStr">
        <is>
          <t>BORÅS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48358-2023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45205</v>
      </c>
      <c r="E313" s="1" t="n">
        <v>46239</v>
      </c>
      <c r="F313" t="inlineStr">
        <is>
          <t>VÄSTRA GÖTALANDS LÄN</t>
        </is>
      </c>
      <c r="G313" t="inlineStr">
        <is>
          <t>BORÅS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46239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56002-2023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46239</v>
      </c>
      <c r="F315" t="inlineStr">
        <is>
          <t>VÄSTRA GÖTALANDS LÄN</t>
        </is>
      </c>
      <c r="G315" t="inlineStr">
        <is>
          <t>BORÅS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44941</v>
      </c>
      <c r="E316" s="1" t="n">
        <v>46239</v>
      </c>
      <c r="F316" t="inlineStr">
        <is>
          <t>VÄSTRA GÖTALANDS LÄN</t>
        </is>
      </c>
      <c r="G316" t="inlineStr">
        <is>
          <t>BORÅS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46239</v>
      </c>
      <c r="F317" t="inlineStr">
        <is>
          <t>VÄSTRA GÖTALANDS LÄN</t>
        </is>
      </c>
      <c r="G317" t="inlineStr">
        <is>
          <t>BORÅS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45629</v>
      </c>
      <c r="E318" s="1" t="n">
        <v>46239</v>
      </c>
      <c r="F318" t="inlineStr">
        <is>
          <t>VÄSTRA GÖTALANDS LÄN</t>
        </is>
      </c>
      <c r="G318" t="inlineStr">
        <is>
          <t>BORÅS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46239</v>
      </c>
      <c r="F319" t="inlineStr">
        <is>
          <t>VÄSTRA GÖTALANDS LÄN</t>
        </is>
      </c>
      <c r="G319" t="inlineStr">
        <is>
          <t>BORÅS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45609-2024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45579</v>
      </c>
      <c r="E320" s="1" t="n">
        <v>46239</v>
      </c>
      <c r="F320" t="inlineStr">
        <is>
          <t>VÄSTRA GÖTALANDS LÄN</t>
        </is>
      </c>
      <c r="G320" t="inlineStr">
        <is>
          <t>BORÅS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44777-2025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46239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46239</v>
      </c>
      <c r="F322" t="inlineStr">
        <is>
          <t>VÄSTRA GÖTALANDS LÄN</t>
        </is>
      </c>
      <c r="G322" t="inlineStr">
        <is>
          <t>BORÅS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46239</v>
      </c>
      <c r="F323" t="inlineStr">
        <is>
          <t>VÄSTRA GÖTALANDS LÄN</t>
        </is>
      </c>
      <c r="G323" t="inlineStr">
        <is>
          <t>BORÅS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45582</v>
      </c>
      <c r="E324" s="1" t="n">
        <v>46239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45922</v>
      </c>
      <c r="E325" s="1" t="n">
        <v>46239</v>
      </c>
      <c r="F325" t="inlineStr">
        <is>
          <t>VÄSTRA GÖTALANDS LÄN</t>
        </is>
      </c>
      <c r="G325" t="inlineStr">
        <is>
          <t>BORÅS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46239</v>
      </c>
      <c r="F326" t="inlineStr">
        <is>
          <t>VÄSTRA GÖTALANDS LÄN</t>
        </is>
      </c>
      <c r="G326" t="inlineStr">
        <is>
          <t>BORÅS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46239</v>
      </c>
      <c r="F327" t="inlineStr">
        <is>
          <t>VÄSTRA GÖTALANDS LÄN</t>
        </is>
      </c>
      <c r="G327" t="inlineStr">
        <is>
          <t>BORÅS</t>
        </is>
      </c>
      <c r="H327" t="inlineStr">
        <is>
          <t>Kommuner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46239</v>
      </c>
      <c r="F328" t="inlineStr">
        <is>
          <t>VÄSTRA GÖTALANDS LÄN</t>
        </is>
      </c>
      <c r="G328" t="inlineStr">
        <is>
          <t>BORÅS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45204</v>
      </c>
      <c r="E329" s="1" t="n">
        <v>46239</v>
      </c>
      <c r="F329" t="inlineStr">
        <is>
          <t>VÄSTRA GÖTALANDS LÄN</t>
        </is>
      </c>
      <c r="G329" t="inlineStr">
        <is>
          <t>BORÅS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45034</v>
      </c>
      <c r="E330" s="1" t="n">
        <v>46239</v>
      </c>
      <c r="F330" t="inlineStr">
        <is>
          <t>VÄSTRA GÖTALANDS LÄN</t>
        </is>
      </c>
      <c r="G330" t="inlineStr">
        <is>
          <t>BORÅS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46239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46239</v>
      </c>
      <c r="F332" t="inlineStr">
        <is>
          <t>VÄSTRA GÖTALANDS LÄN</t>
        </is>
      </c>
      <c r="G332" t="inlineStr">
        <is>
          <t>BORÅS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45582</v>
      </c>
      <c r="E333" s="1" t="n">
        <v>46239</v>
      </c>
      <c r="F333" t="inlineStr">
        <is>
          <t>VÄSTRA GÖTALANDS LÄN</t>
        </is>
      </c>
      <c r="G333" t="inlineStr">
        <is>
          <t>BORÅS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46239</v>
      </c>
      <c r="F334" t="inlineStr">
        <is>
          <t>VÄSTRA GÖTALANDS LÄN</t>
        </is>
      </c>
      <c r="G334" t="inlineStr">
        <is>
          <t>BORÅS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46239</v>
      </c>
      <c r="F335" t="inlineStr">
        <is>
          <t>VÄSTRA GÖTALANDS LÄN</t>
        </is>
      </c>
      <c r="G335" t="inlineStr">
        <is>
          <t>BORÅS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45120</v>
      </c>
      <c r="E336" s="1" t="n">
        <v>46239</v>
      </c>
      <c r="F336" t="inlineStr">
        <is>
          <t>VÄSTRA GÖTALANDS LÄN</t>
        </is>
      </c>
      <c r="G336" t="inlineStr">
        <is>
          <t>BORÅS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44914</v>
      </c>
      <c r="E337" s="1" t="n">
        <v>46239</v>
      </c>
      <c r="F337" t="inlineStr">
        <is>
          <t>VÄSTRA GÖTALANDS LÄN</t>
        </is>
      </c>
      <c r="G337" t="inlineStr">
        <is>
          <t>BORÅS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45268</v>
      </c>
      <c r="E338" s="1" t="n">
        <v>46239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46239</v>
      </c>
      <c r="F339" t="inlineStr">
        <is>
          <t>VÄSTRA GÖTALANDS LÄN</t>
        </is>
      </c>
      <c r="G339" t="inlineStr">
        <is>
          <t>BORÅS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46239</v>
      </c>
      <c r="F340" t="inlineStr">
        <is>
          <t>VÄSTRA GÖTALANDS LÄN</t>
        </is>
      </c>
      <c r="G340" t="inlineStr">
        <is>
          <t>BORÅS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46239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45321</v>
      </c>
      <c r="E342" s="1" t="n">
        <v>46239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45208</v>
      </c>
      <c r="E343" s="1" t="n">
        <v>46239</v>
      </c>
      <c r="F343" t="inlineStr">
        <is>
          <t>VÄSTRA GÖTALANDS LÄN</t>
        </is>
      </c>
      <c r="G343" t="inlineStr">
        <is>
          <t>BORÅS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45225</v>
      </c>
      <c r="E344" s="1" t="n">
        <v>46239</v>
      </c>
      <c r="F344" t="inlineStr">
        <is>
          <t>VÄSTRA GÖTALANDS LÄN</t>
        </is>
      </c>
      <c r="G344" t="inlineStr">
        <is>
          <t>BORÅS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46239</v>
      </c>
      <c r="F345" t="inlineStr">
        <is>
          <t>VÄSTRA GÖTALANDS LÄN</t>
        </is>
      </c>
      <c r="G345" t="inlineStr">
        <is>
          <t>BORÅS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46239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Kommuner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46239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Kommuner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44748</v>
      </c>
      <c r="E348" s="1" t="n">
        <v>46239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45762</v>
      </c>
      <c r="E349" s="1" t="n">
        <v>46239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Kommuner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45935</v>
      </c>
      <c r="E350" s="1" t="n">
        <v>46239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45935</v>
      </c>
      <c r="E351" s="1" t="n">
        <v>46239</v>
      </c>
      <c r="F351" t="inlineStr">
        <is>
          <t>VÄSTRA GÖTALANDS LÄN</t>
        </is>
      </c>
      <c r="G351" t="inlineStr">
        <is>
          <t>BORÅS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46239</v>
      </c>
      <c r="F352" t="inlineStr">
        <is>
          <t>VÄSTRA GÖTALANDS LÄN</t>
        </is>
      </c>
      <c r="G352" t="inlineStr">
        <is>
          <t>BORÅS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46239</v>
      </c>
      <c r="F353" t="inlineStr">
        <is>
          <t>VÄSTRA GÖTALANDS LÄN</t>
        </is>
      </c>
      <c r="G353" t="inlineStr">
        <is>
          <t>BORÅS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46239</v>
      </c>
      <c r="F354" t="inlineStr">
        <is>
          <t>VÄSTRA GÖTALANDS LÄN</t>
        </is>
      </c>
      <c r="G354" t="inlineStr">
        <is>
          <t>BORÅS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45477</v>
      </c>
      <c r="E355" s="1" t="n">
        <v>46239</v>
      </c>
      <c r="F355" t="inlineStr">
        <is>
          <t>VÄSTRA GÖTALANDS LÄN</t>
        </is>
      </c>
      <c r="G355" t="inlineStr">
        <is>
          <t>BORÅS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45935</v>
      </c>
      <c r="E356" s="1" t="n">
        <v>46239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52486-2023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45225</v>
      </c>
      <c r="E357" s="1" t="n">
        <v>46239</v>
      </c>
      <c r="F357" t="inlineStr">
        <is>
          <t>VÄSTRA GÖTALANDS LÄN</t>
        </is>
      </c>
      <c r="G357" t="inlineStr">
        <is>
          <t>BORÅS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46239</v>
      </c>
      <c r="F358" t="inlineStr">
        <is>
          <t>VÄSTRA GÖTALANDS LÄN</t>
        </is>
      </c>
      <c r="G358" t="inlineStr">
        <is>
          <t>BORÅS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46239</v>
      </c>
      <c r="F359" t="inlineStr">
        <is>
          <t>VÄSTRA GÖTALANDS LÄN</t>
        </is>
      </c>
      <c r="G359" t="inlineStr">
        <is>
          <t>BORÅS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46239</v>
      </c>
      <c r="F360" t="inlineStr">
        <is>
          <t>VÄSTRA GÖTALANDS LÄN</t>
        </is>
      </c>
      <c r="G360" t="inlineStr">
        <is>
          <t>BORÅS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46239</v>
      </c>
      <c r="F361" t="inlineStr">
        <is>
          <t>VÄSTRA GÖTALANDS LÄN</t>
        </is>
      </c>
      <c r="G361" t="inlineStr">
        <is>
          <t>BORÅS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46239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Kommuner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45937</v>
      </c>
      <c r="E363" s="1" t="n">
        <v>46239</v>
      </c>
      <c r="F363" t="inlineStr">
        <is>
          <t>VÄSTRA GÖTALANDS LÄN</t>
        </is>
      </c>
      <c r="G363" t="inlineStr">
        <is>
          <t>BORÅS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45776</v>
      </c>
      <c r="E364" s="1" t="n">
        <v>46239</v>
      </c>
      <c r="F364" t="inlineStr">
        <is>
          <t>VÄSTRA GÖTALANDS LÄN</t>
        </is>
      </c>
      <c r="G364" t="inlineStr">
        <is>
          <t>BORÅS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46239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46239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22090-2026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46239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21388-2025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45782</v>
      </c>
      <c r="E368" s="1" t="n">
        <v>46239</v>
      </c>
      <c r="F368" t="inlineStr">
        <is>
          <t>VÄSTRA GÖTALANDS LÄN</t>
        </is>
      </c>
      <c r="G368" t="inlineStr">
        <is>
          <t>BORÅS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46239</v>
      </c>
      <c r="F369" t="inlineStr">
        <is>
          <t>VÄSTRA GÖTALANDS LÄN</t>
        </is>
      </c>
      <c r="G369" t="inlineStr">
        <is>
          <t>BORÅS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27752-2024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45475</v>
      </c>
      <c r="E370" s="1" t="n">
        <v>46239</v>
      </c>
      <c r="F370" t="inlineStr">
        <is>
          <t>VÄSTRA GÖTALANDS LÄN</t>
        </is>
      </c>
      <c r="G370" t="inlineStr">
        <is>
          <t>BORÅS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45947</v>
      </c>
      <c r="E371" s="1" t="n">
        <v>46239</v>
      </c>
      <c r="F371" t="inlineStr">
        <is>
          <t>VÄSTRA GÖTALANDS LÄN</t>
        </is>
      </c>
      <c r="G371" t="inlineStr">
        <is>
          <t>BORÅS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45947</v>
      </c>
      <c r="E372" s="1" t="n">
        <v>46239</v>
      </c>
      <c r="F372" t="inlineStr">
        <is>
          <t>VÄSTRA GÖTALANDS LÄN</t>
        </is>
      </c>
      <c r="G372" t="inlineStr">
        <is>
          <t>BORÅS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46239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46239</v>
      </c>
      <c r="F374" t="inlineStr">
        <is>
          <t>VÄSTRA GÖTALANDS LÄN</t>
        </is>
      </c>
      <c r="G374" t="inlineStr">
        <is>
          <t>BORÅS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45587</v>
      </c>
      <c r="E375" s="1" t="n">
        <v>46239</v>
      </c>
      <c r="F375" t="inlineStr">
        <is>
          <t>VÄSTRA GÖTALANDS LÄN</t>
        </is>
      </c>
      <c r="G375" t="inlineStr">
        <is>
          <t>BORÅS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45784</v>
      </c>
      <c r="E376" s="1" t="n">
        <v>46239</v>
      </c>
      <c r="F376" t="inlineStr">
        <is>
          <t>VÄSTRA GÖTALANDS LÄN</t>
        </is>
      </c>
      <c r="G376" t="inlineStr">
        <is>
          <t>BORÅS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46239</v>
      </c>
      <c r="F377" t="inlineStr">
        <is>
          <t>VÄSTRA GÖTALANDS LÄN</t>
        </is>
      </c>
      <c r="G377" t="inlineStr">
        <is>
          <t>BORÅS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45783</v>
      </c>
      <c r="E378" s="1" t="n">
        <v>46239</v>
      </c>
      <c r="F378" t="inlineStr">
        <is>
          <t>VÄSTRA GÖTALANDS LÄN</t>
        </is>
      </c>
      <c r="G378" t="inlineStr">
        <is>
          <t>BORÅS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46239</v>
      </c>
      <c r="F379" t="inlineStr">
        <is>
          <t>VÄSTRA GÖTALANDS LÄN</t>
        </is>
      </c>
      <c r="G379" t="inlineStr">
        <is>
          <t>BORÅS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46239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45596</v>
      </c>
      <c r="E381" s="1" t="n">
        <v>46239</v>
      </c>
      <c r="F381" t="inlineStr">
        <is>
          <t>VÄSTRA GÖTALANDS LÄN</t>
        </is>
      </c>
      <c r="G381" t="inlineStr">
        <is>
          <t>BORÅS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16949-2026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46239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45721</v>
      </c>
      <c r="E383" s="1" t="n">
        <v>46239</v>
      </c>
      <c r="F383" t="inlineStr">
        <is>
          <t>VÄSTRA GÖTALANDS LÄN</t>
        </is>
      </c>
      <c r="G383" t="inlineStr">
        <is>
          <t>BORÅS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46239</v>
      </c>
      <c r="F384" t="inlineStr">
        <is>
          <t>VÄSTRA GÖTALANDS LÄN</t>
        </is>
      </c>
      <c r="G384" t="inlineStr">
        <is>
          <t>BORÅS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45953</v>
      </c>
      <c r="E385" s="1" t="n">
        <v>46239</v>
      </c>
      <c r="F385" t="inlineStr">
        <is>
          <t>VÄSTRA GÖTALANDS LÄN</t>
        </is>
      </c>
      <c r="G385" t="inlineStr">
        <is>
          <t>BORÅS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46239</v>
      </c>
      <c r="F386" t="inlineStr">
        <is>
          <t>VÄSTRA GÖTALANDS LÄN</t>
        </is>
      </c>
      <c r="G386" t="inlineStr">
        <is>
          <t>BORÅS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45959</v>
      </c>
      <c r="E387" s="1" t="n">
        <v>46239</v>
      </c>
      <c r="F387" t="inlineStr">
        <is>
          <t>VÄSTRA GÖTALANDS LÄN</t>
        </is>
      </c>
      <c r="G387" t="inlineStr">
        <is>
          <t>BORÅS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45951</v>
      </c>
      <c r="E388" s="1" t="n">
        <v>46239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45961</v>
      </c>
      <c r="E389" s="1" t="n">
        <v>46239</v>
      </c>
      <c r="F389" t="inlineStr">
        <is>
          <t>VÄSTRA GÖTALANDS LÄN</t>
        </is>
      </c>
      <c r="G389" t="inlineStr">
        <is>
          <t>BORÅS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45964</v>
      </c>
      <c r="E390" s="1" t="n">
        <v>46239</v>
      </c>
      <c r="F390" t="inlineStr">
        <is>
          <t>VÄSTRA GÖTALANDS LÄN</t>
        </is>
      </c>
      <c r="G390" t="inlineStr">
        <is>
          <t>BORÅS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53942-2025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45961</v>
      </c>
      <c r="E391" s="1" t="n">
        <v>46239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45789</v>
      </c>
      <c r="E392" s="1" t="n">
        <v>46239</v>
      </c>
      <c r="F392" t="inlineStr">
        <is>
          <t>VÄSTRA GÖTALANDS LÄN</t>
        </is>
      </c>
      <c r="G392" t="inlineStr">
        <is>
          <t>BORÅS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45789</v>
      </c>
      <c r="E393" s="1" t="n">
        <v>46239</v>
      </c>
      <c r="F393" t="inlineStr">
        <is>
          <t>VÄSTRA GÖTALANDS LÄN</t>
        </is>
      </c>
      <c r="G393" t="inlineStr">
        <is>
          <t>BORÅS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46202</v>
      </c>
      <c r="E394" s="1" t="n">
        <v>46239</v>
      </c>
      <c r="F394" t="inlineStr">
        <is>
          <t>VÄSTRA GÖTALANDS LÄN</t>
        </is>
      </c>
      <c r="G394" t="inlineStr">
        <is>
          <t>BORÅS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45792</v>
      </c>
      <c r="E395" s="1" t="n">
        <v>46239</v>
      </c>
      <c r="F395" t="inlineStr">
        <is>
          <t>VÄSTRA GÖTALANDS LÄN</t>
        </is>
      </c>
      <c r="G395" t="inlineStr">
        <is>
          <t>BORÅS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46239</v>
      </c>
      <c r="F396" t="inlineStr">
        <is>
          <t>VÄSTRA GÖTALANDS LÄN</t>
        </is>
      </c>
      <c r="G396" t="inlineStr">
        <is>
          <t>BORÅS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6203-2024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45337</v>
      </c>
      <c r="E397" s="1" t="n">
        <v>46239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46239</v>
      </c>
      <c r="F398" t="inlineStr">
        <is>
          <t>VÄSTRA GÖTALANDS LÄN</t>
        </is>
      </c>
      <c r="G398" t="inlineStr">
        <is>
          <t>BORÅS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46239</v>
      </c>
      <c r="F399" t="inlineStr">
        <is>
          <t>VÄSTRA GÖTALANDS LÄN</t>
        </is>
      </c>
      <c r="G399" t="inlineStr">
        <is>
          <t>BORÅS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46239</v>
      </c>
      <c r="F400" t="inlineStr">
        <is>
          <t>VÄSTRA GÖTALANDS LÄN</t>
        </is>
      </c>
      <c r="G400" t="inlineStr">
        <is>
          <t>BORÅS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56376-2025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45974</v>
      </c>
      <c r="E401" s="1" t="n">
        <v>46239</v>
      </c>
      <c r="F401" t="inlineStr">
        <is>
          <t>VÄSTRA GÖTALANDS LÄN</t>
        </is>
      </c>
      <c r="G401" t="inlineStr">
        <is>
          <t>BORÅS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46239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46239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44825</v>
      </c>
      <c r="E404" s="1" t="n">
        <v>46239</v>
      </c>
      <c r="F404" t="inlineStr">
        <is>
          <t>VÄSTRA GÖTALANDS LÄN</t>
        </is>
      </c>
      <c r="G404" t="inlineStr">
        <is>
          <t>BORÅS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46239</v>
      </c>
      <c r="F405" t="inlineStr">
        <is>
          <t>VÄSTRA GÖTALANDS LÄN</t>
        </is>
      </c>
      <c r="G405" t="inlineStr">
        <is>
          <t>BORÅS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46239</v>
      </c>
      <c r="F406" t="inlineStr">
        <is>
          <t>VÄSTRA GÖTALANDS LÄN</t>
        </is>
      </c>
      <c r="G406" t="inlineStr">
        <is>
          <t>BORÅS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46239</v>
      </c>
      <c r="F407" t="inlineStr">
        <is>
          <t>VÄSTRA GÖTALANDS LÄN</t>
        </is>
      </c>
      <c r="G407" t="inlineStr">
        <is>
          <t>BORÅS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46239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46239</v>
      </c>
      <c r="F409" t="inlineStr">
        <is>
          <t>VÄSTRA GÖTALANDS LÄN</t>
        </is>
      </c>
      <c r="G409" t="inlineStr">
        <is>
          <t>BORÅS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46239</v>
      </c>
      <c r="F410" t="inlineStr">
        <is>
          <t>VÄSTRA GÖTALANDS LÄN</t>
        </is>
      </c>
      <c r="G410" t="inlineStr">
        <is>
          <t>BORÅS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45982</v>
      </c>
      <c r="E411" s="1" t="n">
        <v>46239</v>
      </c>
      <c r="F411" t="inlineStr">
        <is>
          <t>VÄSTRA GÖTALANDS LÄN</t>
        </is>
      </c>
      <c r="G411" t="inlineStr">
        <is>
          <t>BORÅS</t>
        </is>
      </c>
      <c r="H411" t="inlineStr">
        <is>
          <t>Kommuner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45510</v>
      </c>
      <c r="E412" s="1" t="n">
        <v>46239</v>
      </c>
      <c r="F412" t="inlineStr">
        <is>
          <t>VÄSTRA GÖTALANDS LÄN</t>
        </is>
      </c>
      <c r="G412" t="inlineStr">
        <is>
          <t>BORÅS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58304-2025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45982</v>
      </c>
      <c r="E413" s="1" t="n">
        <v>46239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  <c r="X413">
        <f>HYPERLINK("https://klasma.github.io/Logging_1490/kartor/A 58304-2025 karta.png", "A 58304-2025")</f>
        <v/>
      </c>
      <c r="Y413">
        <f>HYPERLINK("https://klasma.github.io/Logging_1490/kartor_geotiff/A 58304-2025 georefererad karta.tif", "A 58304-2025")</f>
        <v/>
      </c>
      <c r="AA413">
        <f>HYPERLINK("https://klasma.github.io/Logging_1490/klagomål/A 58304-2025 FSC-klagomål.docx", "A 58304-2025")</f>
        <v/>
      </c>
      <c r="AB413">
        <f>HYPERLINK("https://klasma.github.io/Logging_1490/klagomålsmail/A 58304-2025 FSC-klagomål mail.docx", "A 58304-2025")</f>
        <v/>
      </c>
      <c r="AC413">
        <f>HYPERLINK("https://klasma.github.io/Logging_1490/tillsyn/A 58304-2025 tillsynsbegäran.docx", "A 58304-2025")</f>
        <v/>
      </c>
      <c r="AD413">
        <f>HYPERLINK("https://klasma.github.io/Logging_1490/tillsynsmail/A 58304-2025 tillsynsbegäran mail.docx", "A 58304-2025")</f>
        <v/>
      </c>
    </row>
    <row r="414" ht="15" customHeight="1">
      <c r="A414" t="inlineStr">
        <is>
          <t>A 58303-2025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45982</v>
      </c>
      <c r="E414" s="1" t="n">
        <v>46239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46239</v>
      </c>
      <c r="F415" t="inlineStr">
        <is>
          <t>VÄSTRA GÖTALANDS LÄN</t>
        </is>
      </c>
      <c r="G415" t="inlineStr">
        <is>
          <t>BORÅS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46239</v>
      </c>
      <c r="F416" t="inlineStr">
        <is>
          <t>VÄSTRA GÖTALANDS LÄN</t>
        </is>
      </c>
      <c r="G416" t="inlineStr">
        <is>
          <t>BORÅS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46239</v>
      </c>
      <c r="F417" t="inlineStr">
        <is>
          <t>VÄSTRA GÖTALANDS LÄN</t>
        </is>
      </c>
      <c r="G417" t="inlineStr">
        <is>
          <t>BORÅS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46239</v>
      </c>
      <c r="F418" t="inlineStr">
        <is>
          <t>VÄSTRA GÖTALANDS LÄN</t>
        </is>
      </c>
      <c r="G418" t="inlineStr">
        <is>
          <t>BORÅS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46239</v>
      </c>
      <c r="F419" t="inlineStr">
        <is>
          <t>VÄSTRA GÖTALANDS LÄN</t>
        </is>
      </c>
      <c r="G419" t="inlineStr">
        <is>
          <t>BORÅS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46239</v>
      </c>
      <c r="F420" t="inlineStr">
        <is>
          <t>VÄSTRA GÖTALANDS LÄN</t>
        </is>
      </c>
      <c r="G420" t="inlineStr">
        <is>
          <t>BORÅS</t>
        </is>
      </c>
      <c r="H420" t="inlineStr">
        <is>
          <t>Kyrkan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45547</v>
      </c>
      <c r="E421" s="1" t="n">
        <v>46239</v>
      </c>
      <c r="F421" t="inlineStr">
        <is>
          <t>VÄSTRA GÖTALANDS LÄN</t>
        </is>
      </c>
      <c r="G421" t="inlineStr">
        <is>
          <t>BORÅS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45994</v>
      </c>
      <c r="E422" s="1" t="n">
        <v>46239</v>
      </c>
      <c r="F422" t="inlineStr">
        <is>
          <t>VÄSTRA GÖTALANDS LÄN</t>
        </is>
      </c>
      <c r="G422" t="inlineStr">
        <is>
          <t>BORÅS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46239</v>
      </c>
      <c r="F423" t="inlineStr">
        <is>
          <t>VÄSTRA GÖTALANDS LÄN</t>
        </is>
      </c>
      <c r="G423" t="inlineStr">
        <is>
          <t>BORÅS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45996</v>
      </c>
      <c r="E424" s="1" t="n">
        <v>46239</v>
      </c>
      <c r="F424" t="inlineStr">
        <is>
          <t>VÄSTRA GÖTALANDS LÄN</t>
        </is>
      </c>
      <c r="G424" t="inlineStr">
        <is>
          <t>BORÅS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46239</v>
      </c>
      <c r="F425" t="inlineStr">
        <is>
          <t>VÄSTRA GÖTALANDS LÄN</t>
        </is>
      </c>
      <c r="G425" t="inlineStr">
        <is>
          <t>BORÅS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45113</v>
      </c>
      <c r="E426" s="1" t="n">
        <v>46239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47262-2023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45202</v>
      </c>
      <c r="E427" s="1" t="n">
        <v>46239</v>
      </c>
      <c r="F427" t="inlineStr">
        <is>
          <t>VÄSTRA GÖTALANDS LÄN</t>
        </is>
      </c>
      <c r="G427" t="inlineStr">
        <is>
          <t>BORÅS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44782-2025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45917</v>
      </c>
      <c r="E428" s="1" t="n">
        <v>46239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52827-2021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46239</v>
      </c>
      <c r="F429" t="inlineStr">
        <is>
          <t>VÄSTRA GÖTALANDS LÄN</t>
        </is>
      </c>
      <c r="G429" t="inlineStr">
        <is>
          <t>BORÅS</t>
        </is>
      </c>
      <c r="I429" t="n">
        <v>19.4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46239</v>
      </c>
      <c r="F430" t="inlineStr">
        <is>
          <t>VÄSTRA GÖTALANDS LÄN</t>
        </is>
      </c>
      <c r="G430" t="inlineStr">
        <is>
          <t>BORÅS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46239</v>
      </c>
      <c r="F431" t="inlineStr">
        <is>
          <t>VÄSTRA GÖTALANDS LÄN</t>
        </is>
      </c>
      <c r="G431" t="inlineStr">
        <is>
          <t>BORÅS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34195-2025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45845</v>
      </c>
      <c r="E432" s="1" t="n">
        <v>46239</v>
      </c>
      <c r="F432" t="inlineStr">
        <is>
          <t>VÄSTRA GÖTALANDS LÄN</t>
        </is>
      </c>
      <c r="G432" t="inlineStr">
        <is>
          <t>BORÅS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46216</v>
      </c>
      <c r="E433" s="1" t="n">
        <v>46239</v>
      </c>
      <c r="F433" t="inlineStr">
        <is>
          <t>VÄSTRA GÖTALANDS LÄN</t>
        </is>
      </c>
      <c r="G433" t="inlineStr">
        <is>
          <t>BORÅS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46239</v>
      </c>
      <c r="F434" t="inlineStr">
        <is>
          <t>VÄSTRA GÖTALANDS LÄN</t>
        </is>
      </c>
      <c r="G434" t="inlineStr">
        <is>
          <t>BORÅS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46217</v>
      </c>
      <c r="E435" s="1" t="n">
        <v>46239</v>
      </c>
      <c r="F435" t="inlineStr">
        <is>
          <t>VÄSTRA GÖTALANDS LÄN</t>
        </is>
      </c>
      <c r="G435" t="inlineStr">
        <is>
          <t>BORÅS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45688</v>
      </c>
      <c r="E436" s="1" t="n">
        <v>46239</v>
      </c>
      <c r="F436" t="inlineStr">
        <is>
          <t>VÄSTRA GÖTALANDS LÄN</t>
        </is>
      </c>
      <c r="G436" t="inlineStr">
        <is>
          <t>BORÅS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46239</v>
      </c>
      <c r="F437" t="inlineStr">
        <is>
          <t>VÄSTRA GÖTALANDS LÄN</t>
        </is>
      </c>
      <c r="G437" t="inlineStr">
        <is>
          <t>BORÅS</t>
        </is>
      </c>
      <c r="I437" t="n">
        <v>12.8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46239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46382-2023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45197</v>
      </c>
      <c r="E439" s="1" t="n">
        <v>46239</v>
      </c>
      <c r="F439" t="inlineStr">
        <is>
          <t>VÄSTRA GÖTALANDS LÄN</t>
        </is>
      </c>
      <c r="G439" t="inlineStr">
        <is>
          <t>BORÅS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46239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45713</v>
      </c>
      <c r="E441" s="1" t="n">
        <v>46239</v>
      </c>
      <c r="F441" t="inlineStr">
        <is>
          <t>VÄSTRA GÖTALANDS LÄN</t>
        </is>
      </c>
      <c r="G441" t="inlineStr">
        <is>
          <t>BORÅS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45715</v>
      </c>
      <c r="E442" s="1" t="n">
        <v>46239</v>
      </c>
      <c r="F442" t="inlineStr">
        <is>
          <t>VÄSTRA GÖTALANDS LÄN</t>
        </is>
      </c>
      <c r="G442" t="inlineStr">
        <is>
          <t>BORÅS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45688</v>
      </c>
      <c r="E443" s="1" t="n">
        <v>46239</v>
      </c>
      <c r="F443" t="inlineStr">
        <is>
          <t>VÄSTRA GÖTALANDS LÄN</t>
        </is>
      </c>
      <c r="G443" t="inlineStr">
        <is>
          <t>BORÅS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46239</v>
      </c>
      <c r="F444" t="inlineStr">
        <is>
          <t>VÄSTRA GÖTALANDS LÄN</t>
        </is>
      </c>
      <c r="G444" t="inlineStr">
        <is>
          <t>BORÅS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25238-2026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46175</v>
      </c>
      <c r="E445" s="1" t="n">
        <v>46239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45053</v>
      </c>
      <c r="E446" s="1" t="n">
        <v>46239</v>
      </c>
      <c r="F446" t="inlineStr">
        <is>
          <t>VÄSTRA GÖTALANDS LÄN</t>
        </is>
      </c>
      <c r="G446" t="inlineStr">
        <is>
          <t>BORÅS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46239</v>
      </c>
      <c r="F447" t="inlineStr">
        <is>
          <t>VÄSTRA GÖTALANDS LÄN</t>
        </is>
      </c>
      <c r="G447" t="inlineStr">
        <is>
          <t>BORÅS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46224</v>
      </c>
      <c r="E448" s="1" t="n">
        <v>46239</v>
      </c>
      <c r="F448" t="inlineStr">
        <is>
          <t>VÄSTRA GÖTALANDS LÄN</t>
        </is>
      </c>
      <c r="G448" t="inlineStr">
        <is>
          <t>BORÅS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46239</v>
      </c>
      <c r="F449" t="inlineStr">
        <is>
          <t>VÄSTRA GÖTALANDS LÄN</t>
        </is>
      </c>
      <c r="G449" t="inlineStr">
        <is>
          <t>BORÅS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46239</v>
      </c>
      <c r="F450" t="inlineStr">
        <is>
          <t>VÄSTRA GÖTALANDS LÄN</t>
        </is>
      </c>
      <c r="G450" t="inlineStr">
        <is>
          <t>BORÅS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46239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46239</v>
      </c>
      <c r="F452" t="inlineStr">
        <is>
          <t>VÄSTRA GÖTALANDS LÄN</t>
        </is>
      </c>
      <c r="G452" t="inlineStr">
        <is>
          <t>BORÅS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46239</v>
      </c>
      <c r="F453" t="inlineStr">
        <is>
          <t>VÄSTRA GÖTALANDS LÄN</t>
        </is>
      </c>
      <c r="G453" t="inlineStr">
        <is>
          <t>BORÅS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46239</v>
      </c>
      <c r="F454" t="inlineStr">
        <is>
          <t>VÄSTRA GÖTALANDS LÄN</t>
        </is>
      </c>
      <c r="G454" t="inlineStr">
        <is>
          <t>BORÅS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46239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46239</v>
      </c>
      <c r="F456" t="inlineStr">
        <is>
          <t>VÄSTRA GÖTALANDS LÄN</t>
        </is>
      </c>
      <c r="G456" t="inlineStr">
        <is>
          <t>BORÅS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46239</v>
      </c>
      <c r="F457" t="inlineStr">
        <is>
          <t>VÄSTRA GÖTALANDS LÄN</t>
        </is>
      </c>
      <c r="G457" t="inlineStr">
        <is>
          <t>BORÅS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46239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46239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Kyrkan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46239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Kyrkan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44571</v>
      </c>
      <c r="E461" s="1" t="n">
        <v>46239</v>
      </c>
      <c r="F461" t="inlineStr">
        <is>
          <t>VÄSTRA GÖTALANDS LÄN</t>
        </is>
      </c>
      <c r="G461" t="inlineStr">
        <is>
          <t>BORÅS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46239</v>
      </c>
      <c r="F462" t="inlineStr">
        <is>
          <t>VÄSTRA GÖTALANDS LÄN</t>
        </is>
      </c>
      <c r="G462" t="inlineStr">
        <is>
          <t>BORÅS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46239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45085</v>
      </c>
      <c r="E464" s="1" t="n">
        <v>46239</v>
      </c>
      <c r="F464" t="inlineStr">
        <is>
          <t>VÄSTRA GÖTALANDS LÄN</t>
        </is>
      </c>
      <c r="G464" t="inlineStr">
        <is>
          <t>BORÅS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46239</v>
      </c>
      <c r="F465" t="inlineStr">
        <is>
          <t>VÄSTRA GÖTALANDS LÄN</t>
        </is>
      </c>
      <c r="G465" t="inlineStr">
        <is>
          <t>BORÅS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45044</v>
      </c>
      <c r="E466" s="1" t="n">
        <v>46239</v>
      </c>
      <c r="F466" t="inlineStr">
        <is>
          <t>VÄSTRA GÖTALANDS LÄN</t>
        </is>
      </c>
      <c r="G466" t="inlineStr">
        <is>
          <t>BORÅS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46239</v>
      </c>
      <c r="F467" t="inlineStr">
        <is>
          <t>VÄSTRA GÖTALANDS LÄN</t>
        </is>
      </c>
      <c r="G467" t="inlineStr">
        <is>
          <t>BORÅS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46239</v>
      </c>
      <c r="F468" t="inlineStr">
        <is>
          <t>VÄSTRA GÖTALANDS LÄN</t>
        </is>
      </c>
      <c r="G468" t="inlineStr">
        <is>
          <t>BORÅS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46059</v>
      </c>
      <c r="E469" s="1" t="n">
        <v>46239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57670-2022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44897</v>
      </c>
      <c r="E470" s="1" t="n">
        <v>46239</v>
      </c>
      <c r="F470" t="inlineStr">
        <is>
          <t>VÄSTRA GÖTALANDS LÄN</t>
        </is>
      </c>
      <c r="G470" t="inlineStr">
        <is>
          <t>BORÅS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46239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61453-2024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45646</v>
      </c>
      <c r="E472" s="1" t="n">
        <v>46239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46239</v>
      </c>
      <c r="F473" t="inlineStr">
        <is>
          <t>VÄSTRA GÖTALANDS LÄN</t>
        </is>
      </c>
      <c r="G473" t="inlineStr">
        <is>
          <t>BORÅS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45096</v>
      </c>
      <c r="E474" s="1" t="n">
        <v>46239</v>
      </c>
      <c r="F474" t="inlineStr">
        <is>
          <t>VÄSTRA GÖTALANDS LÄN</t>
        </is>
      </c>
      <c r="G474" t="inlineStr">
        <is>
          <t>BORÅS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45294</v>
      </c>
      <c r="E475" s="1" t="n">
        <v>46239</v>
      </c>
      <c r="F475" t="inlineStr">
        <is>
          <t>VÄSTRA GÖTALANDS LÄN</t>
        </is>
      </c>
      <c r="G475" t="inlineStr">
        <is>
          <t>BORÅS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44896</v>
      </c>
      <c r="E476" s="1" t="n">
        <v>46239</v>
      </c>
      <c r="F476" t="inlineStr">
        <is>
          <t>VÄSTRA GÖTALANDS LÄN</t>
        </is>
      </c>
      <c r="G476" t="inlineStr">
        <is>
          <t>BORÅS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50359-2023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46239</v>
      </c>
      <c r="F477" t="inlineStr">
        <is>
          <t>VÄSTRA GÖTALANDS LÄN</t>
        </is>
      </c>
      <c r="G477" t="inlineStr">
        <is>
          <t>BORÅS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45294</v>
      </c>
      <c r="E478" s="1" t="n">
        <v>46239</v>
      </c>
      <c r="F478" t="inlineStr">
        <is>
          <t>VÄSTRA GÖTALANDS LÄN</t>
        </is>
      </c>
      <c r="G478" t="inlineStr">
        <is>
          <t>BORÅS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45294</v>
      </c>
      <c r="E479" s="1" t="n">
        <v>46239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46239</v>
      </c>
      <c r="F480" t="inlineStr">
        <is>
          <t>VÄSTRA GÖTALANDS LÄN</t>
        </is>
      </c>
      <c r="G480" t="inlineStr">
        <is>
          <t>BORÅS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19852-2025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46239</v>
      </c>
      <c r="F481" t="inlineStr">
        <is>
          <t>VÄSTRA GÖTALANDS LÄN</t>
        </is>
      </c>
      <c r="G481" t="inlineStr">
        <is>
          <t>BORÅS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45294</v>
      </c>
      <c r="E482" s="1" t="n">
        <v>46239</v>
      </c>
      <c r="F482" t="inlineStr">
        <is>
          <t>VÄSTRA GÖTALANDS LÄN</t>
        </is>
      </c>
      <c r="G482" t="inlineStr">
        <is>
          <t>BORÅS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45727</v>
      </c>
      <c r="E483" s="1" t="n">
        <v>46239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45308</v>
      </c>
      <c r="E484" s="1" t="n">
        <v>46239</v>
      </c>
      <c r="F484" t="inlineStr">
        <is>
          <t>VÄSTRA GÖTALANDS LÄN</t>
        </is>
      </c>
      <c r="G484" t="inlineStr">
        <is>
          <t>BORÅS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45097</v>
      </c>
      <c r="E485" s="1" t="n">
        <v>46239</v>
      </c>
      <c r="F485" t="inlineStr">
        <is>
          <t>VÄSTRA GÖTALANDS LÄN</t>
        </is>
      </c>
      <c r="G485" t="inlineStr">
        <is>
          <t>BORÅS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46239</v>
      </c>
      <c r="F486" t="inlineStr">
        <is>
          <t>VÄSTRA GÖTALANDS LÄN</t>
        </is>
      </c>
      <c r="G486" t="inlineStr">
        <is>
          <t>BORÅS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58771-2021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44489</v>
      </c>
      <c r="E487" s="1" t="n">
        <v>46239</v>
      </c>
      <c r="F487" t="inlineStr">
        <is>
          <t>VÄSTRA GÖTALANDS LÄN</t>
        </is>
      </c>
      <c r="G487" t="inlineStr">
        <is>
          <t>BORÅS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46239</v>
      </c>
      <c r="F488" t="inlineStr">
        <is>
          <t>VÄSTRA GÖTALANDS LÄN</t>
        </is>
      </c>
      <c r="G488" t="inlineStr">
        <is>
          <t>BORÅS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46239</v>
      </c>
      <c r="F489" t="inlineStr">
        <is>
          <t>VÄSTRA GÖTALANDS LÄN</t>
        </is>
      </c>
      <c r="G489" t="inlineStr">
        <is>
          <t>BORÅS</t>
        </is>
      </c>
      <c r="H489" t="inlineStr">
        <is>
          <t>Kommuner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46076</v>
      </c>
      <c r="E490" s="1" t="n">
        <v>46239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72566-2021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44546</v>
      </c>
      <c r="E491" s="1" t="n">
        <v>46239</v>
      </c>
      <c r="F491" t="inlineStr">
        <is>
          <t>VÄSTRA GÖTALANDS LÄN</t>
        </is>
      </c>
      <c r="G491" t="inlineStr">
        <is>
          <t>BORÅS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47624-2021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44448</v>
      </c>
      <c r="E492" s="1" t="n">
        <v>46239</v>
      </c>
      <c r="F492" t="inlineStr">
        <is>
          <t>VÄSTRA GÖTALANDS LÄN</t>
        </is>
      </c>
      <c r="G492" t="inlineStr">
        <is>
          <t>BORÅS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45120</v>
      </c>
      <c r="E493" s="1" t="n">
        <v>46239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45120</v>
      </c>
      <c r="E494" s="1" t="n">
        <v>46239</v>
      </c>
      <c r="F494" t="inlineStr">
        <is>
          <t>VÄSTRA GÖTALANDS LÄN</t>
        </is>
      </c>
      <c r="G494" t="inlineStr">
        <is>
          <t>BORÅS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32482-2023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45120</v>
      </c>
      <c r="E495" s="1" t="n">
        <v>46239</v>
      </c>
      <c r="F495" t="inlineStr">
        <is>
          <t>VÄSTRA GÖTALANDS LÄN</t>
        </is>
      </c>
      <c r="G495" t="inlineStr">
        <is>
          <t>BORÅS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46239</v>
      </c>
      <c r="F496" t="inlineStr">
        <is>
          <t>VÄSTRA GÖTALANDS LÄN</t>
        </is>
      </c>
      <c r="G496" t="inlineStr">
        <is>
          <t>BORÅS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45817</v>
      </c>
      <c r="E497" s="1" t="n">
        <v>46239</v>
      </c>
      <c r="F497" t="inlineStr">
        <is>
          <t>VÄSTRA GÖTALANDS LÄN</t>
        </is>
      </c>
      <c r="G497" t="inlineStr">
        <is>
          <t>BORÅS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45120</v>
      </c>
      <c r="E498" s="1" t="n">
        <v>46239</v>
      </c>
      <c r="F498" t="inlineStr">
        <is>
          <t>VÄSTRA GÖTALANDS LÄN</t>
        </is>
      </c>
      <c r="G498" t="inlineStr">
        <is>
          <t>BORÅS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46239</v>
      </c>
      <c r="F499" t="inlineStr">
        <is>
          <t>VÄSTRA GÖTALANDS LÄN</t>
        </is>
      </c>
      <c r="G499" t="inlineStr">
        <is>
          <t>BORÅS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45329</v>
      </c>
      <c r="E500" s="1" t="n">
        <v>46239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46239</v>
      </c>
      <c r="F501" t="inlineStr">
        <is>
          <t>VÄSTRA GÖTALANDS LÄN</t>
        </is>
      </c>
      <c r="G501" t="inlineStr">
        <is>
          <t>BORÅS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46239</v>
      </c>
      <c r="F502" t="inlineStr">
        <is>
          <t>VÄSTRA GÖTALANDS LÄN</t>
        </is>
      </c>
      <c r="G502" t="inlineStr">
        <is>
          <t>BORÅS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62773-2023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45271</v>
      </c>
      <c r="E503" s="1" t="n">
        <v>46239</v>
      </c>
      <c r="F503" t="inlineStr">
        <is>
          <t>VÄSTRA GÖTALANDS LÄN</t>
        </is>
      </c>
      <c r="G503" t="inlineStr">
        <is>
          <t>BORÅS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20062-2025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45772</v>
      </c>
      <c r="E504" s="1" t="n">
        <v>46239</v>
      </c>
      <c r="F504" t="inlineStr">
        <is>
          <t>VÄSTRA GÖTALANDS LÄN</t>
        </is>
      </c>
      <c r="G504" t="inlineStr">
        <is>
          <t>BORÅS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25165-2024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45462</v>
      </c>
      <c r="E505" s="1" t="n">
        <v>46239</v>
      </c>
      <c r="F505" t="inlineStr">
        <is>
          <t>VÄSTRA GÖTALANDS LÄN</t>
        </is>
      </c>
      <c r="G505" t="inlineStr">
        <is>
          <t>BORÅS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12635-2026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46091</v>
      </c>
      <c r="E506" s="1" t="n">
        <v>46239</v>
      </c>
      <c r="F506" t="inlineStr">
        <is>
          <t>VÄSTRA GÖTALANDS LÄN</t>
        </is>
      </c>
      <c r="G506" t="inlineStr">
        <is>
          <t>BORÅS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46090</v>
      </c>
      <c r="E507" s="1" t="n">
        <v>46239</v>
      </c>
      <c r="F507" t="inlineStr">
        <is>
          <t>VÄSTRA GÖTALANDS LÄN</t>
        </is>
      </c>
      <c r="G507" t="inlineStr">
        <is>
          <t>BORÅS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21331-2023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46239</v>
      </c>
      <c r="F508" t="inlineStr">
        <is>
          <t>VÄSTRA GÖTALANDS LÄN</t>
        </is>
      </c>
      <c r="G508" t="inlineStr">
        <is>
          <t>BORÅS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46239</v>
      </c>
      <c r="F509" t="inlineStr">
        <is>
          <t>VÄSTRA GÖTALANDS LÄN</t>
        </is>
      </c>
      <c r="G509" t="inlineStr">
        <is>
          <t>BORÅS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38355-2024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46239</v>
      </c>
      <c r="F510" t="inlineStr">
        <is>
          <t>VÄSTRA GÖTALANDS LÄN</t>
        </is>
      </c>
      <c r="G510" t="inlineStr">
        <is>
          <t>BORÅS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14230-2026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46099</v>
      </c>
      <c r="E511" s="1" t="n">
        <v>46239</v>
      </c>
      <c r="F511" t="inlineStr">
        <is>
          <t>VÄSTRA GÖTALANDS LÄN</t>
        </is>
      </c>
      <c r="G511" t="inlineStr">
        <is>
          <t>BORÅS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46239</v>
      </c>
      <c r="F512" t="inlineStr">
        <is>
          <t>VÄSTRA GÖTALANDS LÄN</t>
        </is>
      </c>
      <c r="G512" t="inlineStr">
        <is>
          <t>BORÅS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45294</v>
      </c>
      <c r="E513" s="1" t="n">
        <v>46239</v>
      </c>
      <c r="F513" t="inlineStr">
        <is>
          <t>VÄSTRA GÖTALANDS LÄN</t>
        </is>
      </c>
      <c r="G513" t="inlineStr">
        <is>
          <t>BORÅS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47616-2022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44854</v>
      </c>
      <c r="E514" s="1" t="n">
        <v>46239</v>
      </c>
      <c r="F514" t="inlineStr">
        <is>
          <t>VÄSTRA GÖTALANDS LÄN</t>
        </is>
      </c>
      <c r="G514" t="inlineStr">
        <is>
          <t>BORÅS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55959-2022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44889</v>
      </c>
      <c r="E515" s="1" t="n">
        <v>46239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44949</v>
      </c>
      <c r="E516" s="1" t="n">
        <v>46239</v>
      </c>
      <c r="F516" t="inlineStr">
        <is>
          <t>VÄSTRA GÖTALANDS LÄN</t>
        </is>
      </c>
      <c r="G516" t="inlineStr">
        <is>
          <t>BORÅS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50382-2022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44866</v>
      </c>
      <c r="E517" s="1" t="n">
        <v>46239</v>
      </c>
      <c r="F517" t="inlineStr">
        <is>
          <t>VÄSTRA GÖTALANDS LÄN</t>
        </is>
      </c>
      <c r="G517" t="inlineStr">
        <is>
          <t>BORÅS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54875-2022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44886</v>
      </c>
      <c r="E518" s="1" t="n">
        <v>46239</v>
      </c>
      <c r="F518" t="inlineStr">
        <is>
          <t>VÄSTRA GÖTALANDS LÄN</t>
        </is>
      </c>
      <c r="G518" t="inlineStr">
        <is>
          <t>BORÅS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44886</v>
      </c>
      <c r="E519" s="1" t="n">
        <v>46239</v>
      </c>
      <c r="F519" t="inlineStr">
        <is>
          <t>VÄSTRA GÖTALANDS LÄN</t>
        </is>
      </c>
      <c r="G519" t="inlineStr">
        <is>
          <t>BORÅS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54878-2022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44886</v>
      </c>
      <c r="E520" s="1" t="n">
        <v>46239</v>
      </c>
      <c r="F520" t="inlineStr">
        <is>
          <t>VÄSTRA GÖTALANDS LÄN</t>
        </is>
      </c>
      <c r="G520" t="inlineStr">
        <is>
          <t>BORÅS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15365-2026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46239</v>
      </c>
      <c r="F521" t="inlineStr">
        <is>
          <t>VÄSTRA GÖTALANDS LÄN</t>
        </is>
      </c>
      <c r="G521" t="inlineStr">
        <is>
          <t>BORÅS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46239</v>
      </c>
      <c r="F522" t="inlineStr">
        <is>
          <t>VÄSTRA GÖTALANDS LÄN</t>
        </is>
      </c>
      <c r="G522" t="inlineStr">
        <is>
          <t>BORÅS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15193-2026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46105</v>
      </c>
      <c r="E523" s="1" t="n">
        <v>46239</v>
      </c>
      <c r="F523" t="inlineStr">
        <is>
          <t>VÄSTRA GÖTALANDS LÄN</t>
        </is>
      </c>
      <c r="G523" t="inlineStr">
        <is>
          <t>BORÅS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45483</v>
      </c>
      <c r="E524" s="1" t="n">
        <v>46239</v>
      </c>
      <c r="F524" t="inlineStr">
        <is>
          <t>VÄSTRA GÖTALANDS LÄN</t>
        </is>
      </c>
      <c r="G524" t="inlineStr">
        <is>
          <t>BORÅS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45483</v>
      </c>
      <c r="E525" s="1" t="n">
        <v>46239</v>
      </c>
      <c r="F525" t="inlineStr">
        <is>
          <t>VÄSTRA GÖTALANDS LÄN</t>
        </is>
      </c>
      <c r="G525" t="inlineStr">
        <is>
          <t>BORÅS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45120</v>
      </c>
      <c r="E526" s="1" t="n">
        <v>46239</v>
      </c>
      <c r="F526" t="inlineStr">
        <is>
          <t>VÄSTRA GÖTALANDS LÄN</t>
        </is>
      </c>
      <c r="G526" t="inlineStr">
        <is>
          <t>BORÅS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46239</v>
      </c>
      <c r="F527" t="inlineStr">
        <is>
          <t>VÄSTRA GÖTALANDS LÄN</t>
        </is>
      </c>
      <c r="G527" t="inlineStr">
        <is>
          <t>BORÅS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46239</v>
      </c>
      <c r="F528" t="inlineStr">
        <is>
          <t>VÄSTRA GÖTALANDS LÄN</t>
        </is>
      </c>
      <c r="G528" t="inlineStr">
        <is>
          <t>BORÅS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45637</v>
      </c>
      <c r="E529" s="1" t="n">
        <v>46239</v>
      </c>
      <c r="F529" t="inlineStr">
        <is>
          <t>VÄSTRA GÖTALANDS LÄN</t>
        </is>
      </c>
      <c r="G529" t="inlineStr">
        <is>
          <t>BORÅS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48504-2024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45593</v>
      </c>
      <c r="E530" s="1" t="n">
        <v>46239</v>
      </c>
      <c r="F530" t="inlineStr">
        <is>
          <t>VÄSTRA GÖTALANDS LÄN</t>
        </is>
      </c>
      <c r="G530" t="inlineStr">
        <is>
          <t>BORÅS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44703-2021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44438</v>
      </c>
      <c r="E531" s="1" t="n">
        <v>46239</v>
      </c>
      <c r="F531" t="inlineStr">
        <is>
          <t>VÄSTRA GÖTALANDS LÄN</t>
        </is>
      </c>
      <c r="G531" t="inlineStr">
        <is>
          <t>BORÅS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17234-2026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46119</v>
      </c>
      <c r="E532" s="1" t="n">
        <v>46239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45162</v>
      </c>
      <c r="E533" s="1" t="n">
        <v>46239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46239</v>
      </c>
      <c r="F534" t="inlineStr">
        <is>
          <t>VÄSTRA GÖTALANDS LÄN</t>
        </is>
      </c>
      <c r="G534" t="inlineStr">
        <is>
          <t>BORÅS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42117-2024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45562</v>
      </c>
      <c r="E535" s="1" t="n">
        <v>46239</v>
      </c>
      <c r="F535" t="inlineStr">
        <is>
          <t>VÄSTRA GÖTALANDS LÄN</t>
        </is>
      </c>
      <c r="G535" t="inlineStr">
        <is>
          <t>BORÅS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8240-2022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44609</v>
      </c>
      <c r="E536" s="1" t="n">
        <v>46239</v>
      </c>
      <c r="F536" t="inlineStr">
        <is>
          <t>VÄSTRA GÖTALANDS LÄN</t>
        </is>
      </c>
      <c r="G536" t="inlineStr">
        <is>
          <t>BORÅS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45670</v>
      </c>
      <c r="E537" s="1" t="n">
        <v>46239</v>
      </c>
      <c r="F537" t="inlineStr">
        <is>
          <t>VÄSTRA GÖTALANDS LÄN</t>
        </is>
      </c>
      <c r="G537" t="inlineStr">
        <is>
          <t>BORÅS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37122-2023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45155</v>
      </c>
      <c r="E538" s="1" t="n">
        <v>46239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65064-2021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44515</v>
      </c>
      <c r="E539" s="1" t="n">
        <v>46239</v>
      </c>
      <c r="F539" t="inlineStr">
        <is>
          <t>VÄSTRA GÖTALANDS LÄN</t>
        </is>
      </c>
      <c r="G539" t="inlineStr">
        <is>
          <t>BORÅS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46239</v>
      </c>
      <c r="F540" t="inlineStr">
        <is>
          <t>VÄSTRA GÖTALANDS LÄN</t>
        </is>
      </c>
      <c r="G540" t="inlineStr">
        <is>
          <t>BORÅS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19112-2026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46239</v>
      </c>
      <c r="F541" t="inlineStr">
        <is>
          <t>VÄSTRA GÖTALANDS LÄN</t>
        </is>
      </c>
      <c r="G541" t="inlineStr">
        <is>
          <t>BORÅS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18695-2026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46239</v>
      </c>
      <c r="F542" t="inlineStr">
        <is>
          <t>VÄSTRA GÖTALANDS LÄN</t>
        </is>
      </c>
      <c r="G542" t="inlineStr">
        <is>
          <t>BORÅS</t>
        </is>
      </c>
      <c r="I542" t="n">
        <v>9.199999999999999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46239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50692-2023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46239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46239</v>
      </c>
      <c r="F545" t="inlineStr">
        <is>
          <t>VÄSTRA GÖTALANDS LÄN</t>
        </is>
      </c>
      <c r="G545" t="inlineStr">
        <is>
          <t>BORÅS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46239</v>
      </c>
      <c r="F546" t="inlineStr">
        <is>
          <t>VÄSTRA GÖTALANDS LÄN</t>
        </is>
      </c>
      <c r="G546" t="inlineStr">
        <is>
          <t>BORÅS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72806-2021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44547</v>
      </c>
      <c r="E547" s="1" t="n">
        <v>46239</v>
      </c>
      <c r="F547" t="inlineStr">
        <is>
          <t>VÄSTRA GÖTALANDS LÄN</t>
        </is>
      </c>
      <c r="G547" t="inlineStr">
        <is>
          <t>BORÅS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45357</v>
      </c>
      <c r="E548" s="1" t="n">
        <v>46239</v>
      </c>
      <c r="F548" t="inlineStr">
        <is>
          <t>VÄSTRA GÖTALANDS LÄN</t>
        </is>
      </c>
      <c r="G548" t="inlineStr">
        <is>
          <t>BORÅS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45054</v>
      </c>
      <c r="E549" s="1" t="n">
        <v>46239</v>
      </c>
      <c r="F549" t="inlineStr">
        <is>
          <t>VÄSTRA GÖTALANDS LÄN</t>
        </is>
      </c>
      <c r="G549" t="inlineStr">
        <is>
          <t>BORÅS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58000-2024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46239</v>
      </c>
      <c r="F550" t="inlineStr">
        <is>
          <t>VÄSTRA GÖTALANDS LÄN</t>
        </is>
      </c>
      <c r="G550" t="inlineStr">
        <is>
          <t>BORÅS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45671</v>
      </c>
      <c r="E551" s="1" t="n">
        <v>46239</v>
      </c>
      <c r="F551" t="inlineStr">
        <is>
          <t>VÄSTRA GÖTALANDS LÄN</t>
        </is>
      </c>
      <c r="G551" t="inlineStr">
        <is>
          <t>BORÅS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13107-2022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46239</v>
      </c>
      <c r="F552" t="inlineStr">
        <is>
          <t>VÄSTRA GÖTALANDS LÄN</t>
        </is>
      </c>
      <c r="G552" t="inlineStr">
        <is>
          <t>BORÅS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27335-2024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45472</v>
      </c>
      <c r="E553" s="1" t="n">
        <v>46239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46239</v>
      </c>
      <c r="F554" t="inlineStr">
        <is>
          <t>VÄSTRA GÖTALANDS LÄN</t>
        </is>
      </c>
      <c r="G554" t="inlineStr">
        <is>
          <t>BORÅS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35403-2025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45855</v>
      </c>
      <c r="E555" s="1" t="n">
        <v>46239</v>
      </c>
      <c r="F555" t="inlineStr">
        <is>
          <t>VÄSTRA GÖTALANDS LÄN</t>
        </is>
      </c>
      <c r="G555" t="inlineStr">
        <is>
          <t>BORÅS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46239</v>
      </c>
      <c r="F556" t="inlineStr">
        <is>
          <t>VÄSTRA GÖTALANDS LÄN</t>
        </is>
      </c>
      <c r="G556" t="inlineStr">
        <is>
          <t>BORÅS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45432</v>
      </c>
      <c r="E557" s="1" t="n">
        <v>46239</v>
      </c>
      <c r="F557" t="inlineStr">
        <is>
          <t>VÄSTRA GÖTALANDS LÄN</t>
        </is>
      </c>
      <c r="G557" t="inlineStr">
        <is>
          <t>BORÅS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12584-2022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44639</v>
      </c>
      <c r="E558" s="1" t="n">
        <v>46239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45453</v>
      </c>
      <c r="E559" s="1" t="n">
        <v>46239</v>
      </c>
      <c r="F559" t="inlineStr">
        <is>
          <t>VÄSTRA GÖTALANDS LÄN</t>
        </is>
      </c>
      <c r="G559" t="inlineStr">
        <is>
          <t>BORÅS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45316</v>
      </c>
      <c r="E560" s="1" t="n">
        <v>46239</v>
      </c>
      <c r="F560" t="inlineStr">
        <is>
          <t>VÄSTRA GÖTALANDS LÄN</t>
        </is>
      </c>
      <c r="G560" t="inlineStr">
        <is>
          <t>BORÅS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45196</v>
      </c>
      <c r="E561" s="1" t="n">
        <v>46239</v>
      </c>
      <c r="F561" t="inlineStr">
        <is>
          <t>VÄSTRA GÖTALANDS LÄN</t>
        </is>
      </c>
      <c r="G561" t="inlineStr">
        <is>
          <t>BORÅS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70988-2021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44538</v>
      </c>
      <c r="E562" s="1" t="n">
        <v>46239</v>
      </c>
      <c r="F562" t="inlineStr">
        <is>
          <t>VÄSTRA GÖTALANDS LÄN</t>
        </is>
      </c>
      <c r="G562" t="inlineStr">
        <is>
          <t>BORÅS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44564</v>
      </c>
      <c r="E563" s="1" t="n">
        <v>46239</v>
      </c>
      <c r="F563" t="inlineStr">
        <is>
          <t>VÄSTRA GÖTALANDS LÄN</t>
        </is>
      </c>
      <c r="G563" t="inlineStr">
        <is>
          <t>BORÅS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41778-2023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45176</v>
      </c>
      <c r="E564" s="1" t="n">
        <v>46239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44879-2023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45190</v>
      </c>
      <c r="E565" s="1" t="n">
        <v>46239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46239</v>
      </c>
      <c r="F566" t="inlineStr">
        <is>
          <t>VÄSTRA GÖTALANDS LÄN</t>
        </is>
      </c>
      <c r="G566" t="inlineStr">
        <is>
          <t>BORÅS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21739-2026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46147</v>
      </c>
      <c r="E567" s="1" t="n">
        <v>46239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8182-2024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45351</v>
      </c>
      <c r="E568" s="1" t="n">
        <v>46239</v>
      </c>
      <c r="F568" t="inlineStr">
        <is>
          <t>VÄSTRA GÖTALANDS LÄN</t>
        </is>
      </c>
      <c r="G568" t="inlineStr">
        <is>
          <t>BORÅS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36016-2025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45863</v>
      </c>
      <c r="E569" s="1" t="n">
        <v>46239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35480-2025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45855</v>
      </c>
      <c r="E570" s="1" t="n">
        <v>46239</v>
      </c>
      <c r="F570" t="inlineStr">
        <is>
          <t>VÄSTRA GÖTALANDS LÄN</t>
        </is>
      </c>
      <c r="G570" t="inlineStr">
        <is>
          <t>BORÅS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24631-2025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45798</v>
      </c>
      <c r="E571" s="1" t="n">
        <v>46239</v>
      </c>
      <c r="F571" t="inlineStr">
        <is>
          <t>VÄSTRA GÖTALANDS LÄN</t>
        </is>
      </c>
      <c r="G571" t="inlineStr">
        <is>
          <t>BORÅS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45688</v>
      </c>
      <c r="E572" s="1" t="n">
        <v>46239</v>
      </c>
      <c r="F572" t="inlineStr">
        <is>
          <t>VÄSTRA GÖTALANDS LÄN</t>
        </is>
      </c>
      <c r="G572" t="inlineStr">
        <is>
          <t>BORÅS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58895-2024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45636</v>
      </c>
      <c r="E573" s="1" t="n">
        <v>46239</v>
      </c>
      <c r="F573" t="inlineStr">
        <is>
          <t>VÄSTRA GÖTALANDS LÄN</t>
        </is>
      </c>
      <c r="G573" t="inlineStr">
        <is>
          <t>BORÅS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28539-2025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45819</v>
      </c>
      <c r="E574" s="1" t="n">
        <v>46239</v>
      </c>
      <c r="F574" t="inlineStr">
        <is>
          <t>VÄSTRA GÖTALANDS LÄN</t>
        </is>
      </c>
      <c r="G574" t="inlineStr">
        <is>
          <t>BORÅS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52367-2025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45953</v>
      </c>
      <c r="E575" s="1" t="n">
        <v>46239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45805</v>
      </c>
      <c r="E576" s="1" t="n">
        <v>46239</v>
      </c>
      <c r="F576" t="inlineStr">
        <is>
          <t>VÄSTRA GÖTALANDS LÄN</t>
        </is>
      </c>
      <c r="G576" t="inlineStr">
        <is>
          <t>BORÅS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46239</v>
      </c>
      <c r="F577" t="inlineStr">
        <is>
          <t>VÄSTRA GÖTALANDS LÄN</t>
        </is>
      </c>
      <c r="G577" t="inlineStr">
        <is>
          <t>BORÅS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45231</v>
      </c>
      <c r="E578" s="1" t="n">
        <v>46239</v>
      </c>
      <c r="F578" t="inlineStr">
        <is>
          <t>VÄSTRA GÖTALANDS LÄN</t>
        </is>
      </c>
      <c r="G578" t="inlineStr">
        <is>
          <t>BORÅS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45870</v>
      </c>
      <c r="E579" s="1" t="n">
        <v>46239</v>
      </c>
      <c r="F579" t="inlineStr">
        <is>
          <t>VÄSTRA GÖTALANDS LÄN</t>
        </is>
      </c>
      <c r="G579" t="inlineStr">
        <is>
          <t>BORÅS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46239</v>
      </c>
      <c r="F580" t="inlineStr">
        <is>
          <t>VÄSTRA GÖTALANDS LÄN</t>
        </is>
      </c>
      <c r="G580" t="inlineStr">
        <is>
          <t>BORÅS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49729-2023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46239</v>
      </c>
      <c r="F581" t="inlineStr">
        <is>
          <t>VÄSTRA GÖTALANDS LÄN</t>
        </is>
      </c>
      <c r="G581" t="inlineStr">
        <is>
          <t>BORÅS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36605-2025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45870</v>
      </c>
      <c r="E582" s="1" t="n">
        <v>46239</v>
      </c>
      <c r="F582" t="inlineStr">
        <is>
          <t>VÄSTRA GÖTALANDS LÄN</t>
        </is>
      </c>
      <c r="G582" t="inlineStr">
        <is>
          <t>BORÅS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45629</v>
      </c>
      <c r="E583" s="1" t="n">
        <v>46239</v>
      </c>
      <c r="F583" t="inlineStr">
        <is>
          <t>VÄSTRA GÖTALANDS LÄN</t>
        </is>
      </c>
      <c r="G583" t="inlineStr">
        <is>
          <t>BORÅS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35800-2023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45148</v>
      </c>
      <c r="E584" s="1" t="n">
        <v>46239</v>
      </c>
      <c r="F584" t="inlineStr">
        <is>
          <t>VÄSTRA GÖTALANDS LÄN</t>
        </is>
      </c>
      <c r="G584" t="inlineStr">
        <is>
          <t>BORÅS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55146-2025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45968</v>
      </c>
      <c r="E585" s="1" t="n">
        <v>46239</v>
      </c>
      <c r="F585" t="inlineStr">
        <is>
          <t>VÄSTRA GÖTALANDS LÄN</t>
        </is>
      </c>
      <c r="G585" t="inlineStr">
        <is>
          <t>BORÅS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45099</v>
      </c>
      <c r="E586" s="1" t="n">
        <v>46239</v>
      </c>
      <c r="F586" t="inlineStr">
        <is>
          <t>VÄSTRA GÖTALANDS LÄN</t>
        </is>
      </c>
      <c r="G586" t="inlineStr">
        <is>
          <t>BORÅS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46239</v>
      </c>
      <c r="F587" t="inlineStr">
        <is>
          <t>VÄSTRA GÖTALANDS LÄN</t>
        </is>
      </c>
      <c r="G587" t="inlineStr">
        <is>
          <t>BORÅS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45126</v>
      </c>
      <c r="E588" s="1" t="n">
        <v>46239</v>
      </c>
      <c r="F588" t="inlineStr">
        <is>
          <t>VÄSTRA GÖTALANDS LÄN</t>
        </is>
      </c>
      <c r="G588" t="inlineStr">
        <is>
          <t>BORÅS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45119</v>
      </c>
      <c r="E589" s="1" t="n">
        <v>46239</v>
      </c>
      <c r="F589" t="inlineStr">
        <is>
          <t>VÄSTRA GÖTALANDS LÄN</t>
        </is>
      </c>
      <c r="G589" t="inlineStr">
        <is>
          <t>BORÅS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32234-2023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46239</v>
      </c>
      <c r="F590" t="inlineStr">
        <is>
          <t>VÄSTRA GÖTALANDS LÄN</t>
        </is>
      </c>
      <c r="G590" t="inlineStr">
        <is>
          <t>BORÅS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46239</v>
      </c>
      <c r="F591" t="inlineStr">
        <is>
          <t>VÄSTRA GÖTALANDS LÄN</t>
        </is>
      </c>
      <c r="G591" t="inlineStr">
        <is>
          <t>BORÅS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32742-2024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45516</v>
      </c>
      <c r="E592" s="1" t="n">
        <v>46239</v>
      </c>
      <c r="F592" t="inlineStr">
        <is>
          <t>VÄSTRA GÖTALANDS LÄN</t>
        </is>
      </c>
      <c r="G592" t="inlineStr">
        <is>
          <t>BORÅS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46239</v>
      </c>
      <c r="F593" t="inlineStr">
        <is>
          <t>VÄSTRA GÖTALANDS LÄN</t>
        </is>
      </c>
      <c r="G593" t="inlineStr">
        <is>
          <t>BORÅS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20653-2026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46141</v>
      </c>
      <c r="E594" s="1" t="n">
        <v>46239</v>
      </c>
      <c r="F594" t="inlineStr">
        <is>
          <t>VÄSTRA GÖTALANDS LÄN</t>
        </is>
      </c>
      <c r="G594" t="inlineStr">
        <is>
          <t>BORÅS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46239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20279-2026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46136</v>
      </c>
      <c r="E596" s="1" t="n">
        <v>46239</v>
      </c>
      <c r="F596" t="inlineStr">
        <is>
          <t>VÄSTRA GÖTALANDS LÄN</t>
        </is>
      </c>
      <c r="G596" t="inlineStr">
        <is>
          <t>BORÅS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61681-2023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45264</v>
      </c>
      <c r="E597" s="1" t="n">
        <v>46239</v>
      </c>
      <c r="F597" t="inlineStr">
        <is>
          <t>VÄSTRA GÖTALANDS LÄN</t>
        </is>
      </c>
      <c r="G597" t="inlineStr">
        <is>
          <t>BORÅS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32483-2023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46239</v>
      </c>
      <c r="F598" t="inlineStr">
        <is>
          <t>VÄSTRA GÖTALANDS LÄN</t>
        </is>
      </c>
      <c r="G598" t="inlineStr">
        <is>
          <t>BORÅS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55952-2023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45240</v>
      </c>
      <c r="E599" s="1" t="n">
        <v>46239</v>
      </c>
      <c r="F599" t="inlineStr">
        <is>
          <t>VÄSTRA GÖTALANDS LÄN</t>
        </is>
      </c>
      <c r="G599" t="inlineStr">
        <is>
          <t>BORÅS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1082-2024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45302</v>
      </c>
      <c r="E600" s="1" t="n">
        <v>46239</v>
      </c>
      <c r="F600" t="inlineStr">
        <is>
          <t>VÄSTRA GÖTALANDS LÄN</t>
        </is>
      </c>
      <c r="G600" t="inlineStr">
        <is>
          <t>BORÅS</t>
        </is>
      </c>
      <c r="H600" t="inlineStr">
        <is>
          <t>Sveaskog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21168-2022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44704</v>
      </c>
      <c r="E601" s="1" t="n">
        <v>46239</v>
      </c>
      <c r="F601" t="inlineStr">
        <is>
          <t>VÄSTRA GÖTALANDS LÄN</t>
        </is>
      </c>
      <c r="G601" t="inlineStr">
        <is>
          <t>BORÅS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15966-2025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45749</v>
      </c>
      <c r="E602" s="1" t="n">
        <v>46239</v>
      </c>
      <c r="F602" t="inlineStr">
        <is>
          <t>VÄSTRA GÖTALANDS LÄN</t>
        </is>
      </c>
      <c r="G602" t="inlineStr">
        <is>
          <t>BORÅS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55806-2023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45239</v>
      </c>
      <c r="E603" s="1" t="n">
        <v>46239</v>
      </c>
      <c r="F603" t="inlineStr">
        <is>
          <t>VÄSTRA GÖTALANDS LÄN</t>
        </is>
      </c>
      <c r="G603" t="inlineStr">
        <is>
          <t>BORÅS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46239</v>
      </c>
      <c r="F604" t="inlineStr">
        <is>
          <t>VÄSTRA GÖTALANDS LÄN</t>
        </is>
      </c>
      <c r="G604" t="inlineStr">
        <is>
          <t>BORÅS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43645-2023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45186</v>
      </c>
      <c r="E605" s="1" t="n">
        <v>46239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54365-2023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45233</v>
      </c>
      <c r="E606" s="1" t="n">
        <v>46239</v>
      </c>
      <c r="F606" t="inlineStr">
        <is>
          <t>VÄSTRA GÖTALANDS LÄN</t>
        </is>
      </c>
      <c r="G606" t="inlineStr">
        <is>
          <t>BORÅS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17837-2025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46239</v>
      </c>
      <c r="F607" t="inlineStr">
        <is>
          <t>VÄSTRA GÖTALANDS LÄN</t>
        </is>
      </c>
      <c r="G607" t="inlineStr">
        <is>
          <t>BORÅS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62446-2023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45268</v>
      </c>
      <c r="E608" s="1" t="n">
        <v>46239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17263-2025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45756</v>
      </c>
      <c r="E609" s="1" t="n">
        <v>46239</v>
      </c>
      <c r="F609" t="inlineStr">
        <is>
          <t>VÄSTRA GÖTALANDS LÄN</t>
        </is>
      </c>
      <c r="G609" t="inlineStr">
        <is>
          <t>BORÅS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65200-2023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45289</v>
      </c>
      <c r="E610" s="1" t="n">
        <v>46239</v>
      </c>
      <c r="F610" t="inlineStr">
        <is>
          <t>VÄSTRA GÖTALANDS LÄN</t>
        </is>
      </c>
      <c r="G610" t="inlineStr">
        <is>
          <t>BORÅS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36577-2022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44804</v>
      </c>
      <c r="E611" s="1" t="n">
        <v>46239</v>
      </c>
      <c r="F611" t="inlineStr">
        <is>
          <t>VÄSTRA GÖTALANDS LÄN</t>
        </is>
      </c>
      <c r="G611" t="inlineStr">
        <is>
          <t>BORÅS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46239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46239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46239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46239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46239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46239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46239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46239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46239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46239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46239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46239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46239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46239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46239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46239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46239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46239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46239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46239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46239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46239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46239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46239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46239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46239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46239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46239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2026-08-05T20:40:12Z</dcterms:created>
  <dcterms:modified xmlns:dcterms="http://purl.org/dc/terms/" xmlns:xsi="http://www.w3.org/2001/XMLSchema-instance" xsi:type="dcterms:W3CDTF">2026-08-05T20:40:12Z</dcterms:modified>
</cp:coreProperties>
</file>