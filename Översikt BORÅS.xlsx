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45674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45674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45674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45674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45674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45674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45674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45674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45674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61052-2019</t>
        </is>
      </c>
      <c r="B15" s="1" t="n">
        <v>43782</v>
      </c>
      <c r="C15" s="1" t="n">
        <v>45674</v>
      </c>
      <c r="D15" t="inlineStr">
        <is>
          <t>VÄSTRA GÖTALANDS LÄN</t>
        </is>
      </c>
      <c r="E15" t="inlineStr">
        <is>
          <t>BORÅS</t>
        </is>
      </c>
      <c r="G15" t="n">
        <v>18.5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HYPERLINK("https://klasma.github.io/Logging_1490/artfynd/A 61052-2019 artfynd.xlsx", "A 61052-2019")</f>
        <v/>
      </c>
      <c r="T15">
        <f>HYPERLINK("https://klasma.github.io/Logging_1490/kartor/A 61052-2019 karta.png", "A 61052-2019")</f>
        <v/>
      </c>
      <c r="V15">
        <f>HYPERLINK("https://klasma.github.io/Logging_1490/klagomål/A 61052-2019 FSC-klagomål.docx", "A 61052-2019")</f>
        <v/>
      </c>
      <c r="W15">
        <f>HYPERLINK("https://klasma.github.io/Logging_1490/klagomålsmail/A 61052-2019 FSC-klagomål mail.docx", "A 61052-2019")</f>
        <v/>
      </c>
      <c r="X15">
        <f>HYPERLINK("https://klasma.github.io/Logging_1490/tillsyn/A 61052-2019 tillsynsbegäran.docx", "A 61052-2019")</f>
        <v/>
      </c>
      <c r="Y15">
        <f>HYPERLINK("https://klasma.github.io/Logging_1490/tillsynsmail/A 61052-2019 tillsynsbegäran mail.docx", "A 61052-2019")</f>
        <v/>
      </c>
    </row>
    <row r="16" ht="15" customHeight="1">
      <c r="A16" t="inlineStr">
        <is>
          <t>A 61872-2019</t>
        </is>
      </c>
      <c r="B16" s="1" t="n">
        <v>43787</v>
      </c>
      <c r="C16" s="1" t="n">
        <v>45674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HYPERLINK("https://klasma.github.io/Logging_1490/artfynd/A 61872-2019 artfynd.xlsx", "A 61872-2019")</f>
        <v/>
      </c>
      <c r="T16">
        <f>HYPERLINK("https://klasma.github.io/Logging_1490/kartor/A 61872-2019 karta.png", "A 61872-2019")</f>
        <v/>
      </c>
      <c r="V16">
        <f>HYPERLINK("https://klasma.github.io/Logging_1490/klagomål/A 61872-2019 FSC-klagomål.docx", "A 61872-2019")</f>
        <v/>
      </c>
      <c r="W16">
        <f>HYPERLINK("https://klasma.github.io/Logging_1490/klagomålsmail/A 61872-2019 FSC-klagomål mail.docx", "A 61872-2019")</f>
        <v/>
      </c>
      <c r="X16">
        <f>HYPERLINK("https://klasma.github.io/Logging_1490/tillsyn/A 61872-2019 tillsynsbegäran.docx", "A 61872-2019")</f>
        <v/>
      </c>
      <c r="Y16">
        <f>HYPERLINK("https://klasma.github.io/Logging_1490/tillsynsmail/A 61872-2019 tillsynsbegäran mail.docx", "A 61872-2019")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45674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45674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45674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45674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45674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45674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45674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45674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45674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45674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45674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45674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45674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45674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45674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3706-2024</t>
        </is>
      </c>
      <c r="B32" s="1" t="n">
        <v>45321</v>
      </c>
      <c r="C32" s="1" t="n">
        <v>45674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3706-2024 artfynd.xlsx", "A 3706-2024")</f>
        <v/>
      </c>
      <c r="T32">
        <f>HYPERLINK("https://klasma.github.io/Logging_1490/kartor/A 3706-2024 karta.png", "A 3706-2024")</f>
        <v/>
      </c>
      <c r="V32">
        <f>HYPERLINK("https://klasma.github.io/Logging_1490/klagomål/A 3706-2024 FSC-klagomål.docx", "A 3706-2024")</f>
        <v/>
      </c>
      <c r="W32">
        <f>HYPERLINK("https://klasma.github.io/Logging_1490/klagomålsmail/A 3706-2024 FSC-klagomål mail.docx", "A 3706-2024")</f>
        <v/>
      </c>
      <c r="X32">
        <f>HYPERLINK("https://klasma.github.io/Logging_1490/tillsyn/A 3706-2024 tillsynsbegäran.docx", "A 3706-2024")</f>
        <v/>
      </c>
      <c r="Y32">
        <f>HYPERLINK("https://klasma.github.io/Logging_1490/tillsynsmail/A 3706-2024 tillsynsbegäran mail.docx", "A 3706-2024")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45674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45674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45674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45674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28682-2024</t>
        </is>
      </c>
      <c r="B37" s="1" t="n">
        <v>45478</v>
      </c>
      <c r="C37" s="1" t="n">
        <v>45674</v>
      </c>
      <c r="D37" t="inlineStr">
        <is>
          <t>VÄSTRA GÖTALANDS LÄN</t>
        </is>
      </c>
      <c r="E37" t="inlineStr">
        <is>
          <t>BORÅS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28682-2024 artfynd.xlsx", "A 28682-2024")</f>
        <v/>
      </c>
      <c r="T37">
        <f>HYPERLINK("https://klasma.github.io/Logging_1490/kartor/A 28682-2024 karta.png", "A 28682-2024")</f>
        <v/>
      </c>
      <c r="V37">
        <f>HYPERLINK("https://klasma.github.io/Logging_1490/klagomål/A 28682-2024 FSC-klagomål.docx", "A 28682-2024")</f>
        <v/>
      </c>
      <c r="W37">
        <f>HYPERLINK("https://klasma.github.io/Logging_1490/klagomålsmail/A 28682-2024 FSC-klagomål mail.docx", "A 28682-2024")</f>
        <v/>
      </c>
      <c r="X37">
        <f>HYPERLINK("https://klasma.github.io/Logging_1490/tillsyn/A 28682-2024 tillsynsbegäran.docx", "A 28682-2024")</f>
        <v/>
      </c>
      <c r="Y37">
        <f>HYPERLINK("https://klasma.github.io/Logging_1490/tillsynsmail/A 28682-2024 tillsynsbegäran mail.docx", "A 28682-2024")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45674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45674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45674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45674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45674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45674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45674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45674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45674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45674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45674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45674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45674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45674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45674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45674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45674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45674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45674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45674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45674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45674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45674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45674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45674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45674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45674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45674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45674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45674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45674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45674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45674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45674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45674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45674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45674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45674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45674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45674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45674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45674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45674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45674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45674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45674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45674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45674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45674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45674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45674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45674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45674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45674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45674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45674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45674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45674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45674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45674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45674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45674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45674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45674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45674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45674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45674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45674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45674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45674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45674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45674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45674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45674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45674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45674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45674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45674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45674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45674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45674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45674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45674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45674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45674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45674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45674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45674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45674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45674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45674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45674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45674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45674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45674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45674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45674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45674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45674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45674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45674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45674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45674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45674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45674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45674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45674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45674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45674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45674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45674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45674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45674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45674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45674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45674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45674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45674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45674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45674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45674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45674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45674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45674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45674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45674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45674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45674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45674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45674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45674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45674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45674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45674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45674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45674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45674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45674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45674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45674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45674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45674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45674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45674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45674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45674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45674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45674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45674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45674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45674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45674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45674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45674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45674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45674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45674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45674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45674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45674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45674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45674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45674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45674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45674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45674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45674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45674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45674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45674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45674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45674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45674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45674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45674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45674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45674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45674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45674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45674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45674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45674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45674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45674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45674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45674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45674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45674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45674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45674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45674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45674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45674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45674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45674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45674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45674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45674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45674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45674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45674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45674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45674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45674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45674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45674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45674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45674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45674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45674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45674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45674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45674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45674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45674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45674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45674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45674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45674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45674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45674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45674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45674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45674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45674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45674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45674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45674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45674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45674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45674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45674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45674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45674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45674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45674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45674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45674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45674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45674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45674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45674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45674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45674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45674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45674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45674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45674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45674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45674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45674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45674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45674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45674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45674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45674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45674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45674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45674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45674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45674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45674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45674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45674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45674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45674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45674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45674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45674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45674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45674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45674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45674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45674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45674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45674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45674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45674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45674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45674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45674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45674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45674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45674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45674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45674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45674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45674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45674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45674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45674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45674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45674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45674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45674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45674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45674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45674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45674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45674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45674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45674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45674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45674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45674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45674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45674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45674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45674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45674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45674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45674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45674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45674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45674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45674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45674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45674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45674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45674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45674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45674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45674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45674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45674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45674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45674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45674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45674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45674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45674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45674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45674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45674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45674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45674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45674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45674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45674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45674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45674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45674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45674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45674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45674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45674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45674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45674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45674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45674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45674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45674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45674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45674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45674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45674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45674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45674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45674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45674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45674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45674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45674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45674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45674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45674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45674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45674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45674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45674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45674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45674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45674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45674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45674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45674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45674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45674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45674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45674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45674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45674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45674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45674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45674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45674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45674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45674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45674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45674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45674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45674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45674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45674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45674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45674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45674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45674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45674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45674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45674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45674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45674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45674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45674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45674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45674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45674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45674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45674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45674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45674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45674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45674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45674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45674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45674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45674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45674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45674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45674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45674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45674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45674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45674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45674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45674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45674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45674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45674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45674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45674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45674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45674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45674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45674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45674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45674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45674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45674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45674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45674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45674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45674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45674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45674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45674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45674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45674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45674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45674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45674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45674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45674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45674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45674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45674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45674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45674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45674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45674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45674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45674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45674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45674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45674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45674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45674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45674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45674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45674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45674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45674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45674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45674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45674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45674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45674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45674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45674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45674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45674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45674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45674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45674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45674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45674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45674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45674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45674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45674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45674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45674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45674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45674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45674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45674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45674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45674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45674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45674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45674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45674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45674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45674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45674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45674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45674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45674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45674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45674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45674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45674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45674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45674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45674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45674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45674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45674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45674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45674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45674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45674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45674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45674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45674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45674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45674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45674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45674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45674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45674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45674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45674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45674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45674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45674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45674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45674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45674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45674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45674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45674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45674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45674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45674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45674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45674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45674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45674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45674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45674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45674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45674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45674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45674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45674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45674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45674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45674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45674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45674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45674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45674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45674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45674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45674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45674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45674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45674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45674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45674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45674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45674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45674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45674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45674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45674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45674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45674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45674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45674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45674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45674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45674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45674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45674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45674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45674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45674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45674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45674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45674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45674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45674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45674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45674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45674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45674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45674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45674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45674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45674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45674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45674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45674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45674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45674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45674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45674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45674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45674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45674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45674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45674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45674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45674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45674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45674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45674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45674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45674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45674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45674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45674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45674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45674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45674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45674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45674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45674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45674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45674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45674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45674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45674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45674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45674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45674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45674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45674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45674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45674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45674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45674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45674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45674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45674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45674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45674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45674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45674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45674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45674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45674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45674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45674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45674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45674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45674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45674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45674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45674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45674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45674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45674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45674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45674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45674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45674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45674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45674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45674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45674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45674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45674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45674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45674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45674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45674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45674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45674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45674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45674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45674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45674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45674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45674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45674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45674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45674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45674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45674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45674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45674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45674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45674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45674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45674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45674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45674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45674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45674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45674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45674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45674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45674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45674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45674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45674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45674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45674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45674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45674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45674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45674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45674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45674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45674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45674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45674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45674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45674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45674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45674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45674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45674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45674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45674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45674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45674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45674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45674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45674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45674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45674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45674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45674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45674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45674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45674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45674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45674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45674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45674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45674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45674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45674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45674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45674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45674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45674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45674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45674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45674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45674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45674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45674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45674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45674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45674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45674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45674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45674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45674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45674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45674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45674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45674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45674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45674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45674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45674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45674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45674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45674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45674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45674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45674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45674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45674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45674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45674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45674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45674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45674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45674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45674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45674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45674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45674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45674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45674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45674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31980-2024</t>
        </is>
      </c>
      <c r="B832" s="1" t="n">
        <v>45510</v>
      </c>
      <c r="C832" s="1" t="n">
        <v>45674</v>
      </c>
      <c r="D832" t="inlineStr">
        <is>
          <t>VÄSTRA GÖTALANDS LÄN</t>
        </is>
      </c>
      <c r="E832" t="inlineStr">
        <is>
          <t>BORÅS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45674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45674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45674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45674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45674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45674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45674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45674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45674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45674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45674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45674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45674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45674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45674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45674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45674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45674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45674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45674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45674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45674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45674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45674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45674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45674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45674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45674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45674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45674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45674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45674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45674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45674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45674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45674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45674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45674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45674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45674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45674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45674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45674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45674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45674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45674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45674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45674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45674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45674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45674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45674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45674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45674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45674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45674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45674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45674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45674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45674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45674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45674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45674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45674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45674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45674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45674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45674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45674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45674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45674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45674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45674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45674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45674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45674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45674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45674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45674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45674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45674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45674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45674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45674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45674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45674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45674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45674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45674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45674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45674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45674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45674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45674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45674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45674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45674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45674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45674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45674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45674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45674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45674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45674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45674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45674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45674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45674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45674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45674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45674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45674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45674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45674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45674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45674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1055-2025</t>
        </is>
      </c>
      <c r="B957" s="1" t="n">
        <v>45666</v>
      </c>
      <c r="C957" s="1" t="n">
        <v>45674</v>
      </c>
      <c r="D957" t="inlineStr">
        <is>
          <t>VÄSTRA GÖTALANDS LÄN</t>
        </is>
      </c>
      <c r="E957" t="inlineStr">
        <is>
          <t>BORÅS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45674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45674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45674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1514-2025</t>
        </is>
      </c>
      <c r="B961" s="1" t="n">
        <v>45670</v>
      </c>
      <c r="C961" s="1" t="n">
        <v>45674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45674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1885-2025</t>
        </is>
      </c>
      <c r="B963" s="1" t="n">
        <v>45671</v>
      </c>
      <c r="C963" s="1" t="n">
        <v>45674</v>
      </c>
      <c r="D963" t="inlineStr">
        <is>
          <t>VÄSTRA GÖTALANDS LÄN</t>
        </is>
      </c>
      <c r="E963" t="inlineStr">
        <is>
          <t>BORÅS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1924-2025</t>
        </is>
      </c>
      <c r="B964" s="1" t="n">
        <v>45671</v>
      </c>
      <c r="C964" s="1" t="n">
        <v>45674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1800-2025</t>
        </is>
      </c>
      <c r="B965" s="1" t="n">
        <v>45671</v>
      </c>
      <c r="C965" s="1" t="n">
        <v>45674</v>
      </c>
      <c r="D965" t="inlineStr">
        <is>
          <t>VÄSTRA GÖTALANDS LÄN</t>
        </is>
      </c>
      <c r="E965" t="inlineStr">
        <is>
          <t>BORÅS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1922-2025</t>
        </is>
      </c>
      <c r="B966" s="1" t="n">
        <v>45671</v>
      </c>
      <c r="C966" s="1" t="n">
        <v>45674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2285-2025</t>
        </is>
      </c>
      <c r="B967" s="1" t="n">
        <v>45673</v>
      </c>
      <c r="C967" s="1" t="n">
        <v>45674</v>
      </c>
      <c r="D967" t="inlineStr">
        <is>
          <t>VÄSTRA GÖTALANDS LÄN</t>
        </is>
      </c>
      <c r="E967" t="inlineStr">
        <is>
          <t>BORÅS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2282-2025</t>
        </is>
      </c>
      <c r="B968" s="1" t="n">
        <v>45673</v>
      </c>
      <c r="C968" s="1" t="n">
        <v>45674</v>
      </c>
      <c r="D968" t="inlineStr">
        <is>
          <t>VÄSTRA GÖTALANDS LÄN</t>
        </is>
      </c>
      <c r="E968" t="inlineStr">
        <is>
          <t>BORÅS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2284-2025</t>
        </is>
      </c>
      <c r="B969" s="1" t="n">
        <v>45673</v>
      </c>
      <c r="C969" s="1" t="n">
        <v>45674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2025-01-17T16:19:33Z</dcterms:created>
  <dcterms:modified xmlns:dcterms="http://purl.org/dc/terms/" xmlns:xsi="http://www.w3.org/2001/XMLSchema-instance" xsi:type="dcterms:W3CDTF">2025-01-17T16:19:34Z</dcterms:modified>
</cp:coreProperties>
</file>