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46221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s="2" t="inlineStr">
        <is>
          <t>Ask
Skogsalm
Slåttergubbe
Gullpudra
Jungfrulin
Sommarfibbla
Vårärt
Hässleklocka
Nästrot
Strutbräken
Svart trolldruva
Vätteros
Blåsippa
Grönvit nattviol</t>
        </is>
      </c>
      <c r="V2">
        <f>HYPERLINK("https://klasma.github.io/Logging_1490/artfynd/S 1802-2026 artfynd.xlsx", "S 1802-2026")</f>
        <v/>
      </c>
      <c r="W2">
        <f>HYPERLINK("https://klasma.github.io/Logging_1490/kartor/S 1802-2026 karta.png", "S 1802-2026")</f>
        <v/>
      </c>
      <c r="Y2">
        <f>HYPERLINK("https://klasma.github.io/Logging_1490/klagomål/S 1802-2026 FSC-klagomål.docx", "S 1802-2026")</f>
        <v/>
      </c>
      <c r="Z2">
        <f>HYPERLINK("https://klasma.github.io/Logging_1490/klagomålsmail/S 1802-2026 FSC-klagomål mail.docx", "S 1802-2026")</f>
        <v/>
      </c>
      <c r="AA2">
        <f>HYPERLINK("https://klasma.github.io/Logging_1490/tillsyn/S 1802-2026 tillsynsbegäran.docx", "S 1802-2026")</f>
        <v/>
      </c>
      <c r="AB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46221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s="2" t="inlineStr">
        <is>
          <t>Gulsparv
Järnsparv
Sädesärla
Bronshjon
Klippfrullania
Spillkråka
Buskskvätta
Grönsiska
Kråka
Kungsfågel
Trana
Revlummer</t>
        </is>
      </c>
      <c r="V3">
        <f>HYPERLINK("https://klasma.github.io/Logging_1490/artfynd/A 27085-2024 artfynd.xlsx", "A 27085-2024")</f>
        <v/>
      </c>
      <c r="W3">
        <f>HYPERLINK("https://klasma.github.io/Logging_1490/kartor/A 27085-2024 karta.png", "A 27085-2024")</f>
        <v/>
      </c>
      <c r="Y3">
        <f>HYPERLINK("https://klasma.github.io/Logging_1490/klagomål/A 27085-2024 FSC-klagomål.docx", "A 27085-2024")</f>
        <v/>
      </c>
      <c r="Z3">
        <f>HYPERLINK("https://klasma.github.io/Logging_1490/klagomålsmail/A 27085-2024 FSC-klagomål mail.docx", "A 27085-2024")</f>
        <v/>
      </c>
      <c r="AA3">
        <f>HYPERLINK("https://klasma.github.io/Logging_1490/tillsyn/A 27085-2024 tillsynsbegäran.docx", "A 27085-2024")</f>
        <v/>
      </c>
      <c r="AB3">
        <f>HYPERLINK("https://klasma.github.io/Logging_1490/tillsynsmail/A 27085-2024 tillsynsbegäran mail.docx", "A 27085-2024")</f>
        <v/>
      </c>
      <c r="AC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46221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s="2" t="inlineStr">
        <is>
          <t>Brunlångöra
Fransfladdermus
Nordfladdermus
Dvärgpipistrell
Större brunfladdermus
Trollpipistrell
Vattenfladdermus</t>
        </is>
      </c>
      <c r="V4">
        <f>HYPERLINK("https://klasma.github.io/Logging_1490/artfynd/A 49150-2023 artfynd.xlsx", "A 49150-2023")</f>
        <v/>
      </c>
      <c r="W4">
        <f>HYPERLINK("https://klasma.github.io/Logging_1490/kartor/A 49150-2023 karta.png", "A 49150-2023")</f>
        <v/>
      </c>
      <c r="Y4">
        <f>HYPERLINK("https://klasma.github.io/Logging_1490/klagomål/A 49150-2023 FSC-klagomål.docx", "A 49150-2023")</f>
        <v/>
      </c>
      <c r="Z4">
        <f>HYPERLINK("https://klasma.github.io/Logging_1490/klagomålsmail/A 49150-2023 FSC-klagomål mail.docx", "A 49150-2023")</f>
        <v/>
      </c>
      <c r="AA4">
        <f>HYPERLINK("https://klasma.github.io/Logging_1490/tillsyn/A 49150-2023 tillsynsbegäran.docx", "A 49150-2023")</f>
        <v/>
      </c>
      <c r="AB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46221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s="2" t="inlineStr">
        <is>
          <t>Talltita
Kornknutmossa
Stor revmossa
Västlig hakmossa
Spillkråka
Kungsfågel
Revlummer</t>
        </is>
      </c>
      <c r="V5">
        <f>HYPERLINK("https://klasma.github.io/Logging_1490/artfynd/A 1924-2025 artfynd.xlsx", "A 1924-2025")</f>
        <v/>
      </c>
      <c r="W5">
        <f>HYPERLINK("https://klasma.github.io/Logging_1490/kartor/A 1924-2025 karta.png", "A 1924-2025")</f>
        <v/>
      </c>
      <c r="Y5">
        <f>HYPERLINK("https://klasma.github.io/Logging_1490/klagomål/A 1924-2025 FSC-klagomål.docx", "A 1924-2025")</f>
        <v/>
      </c>
      <c r="Z5">
        <f>HYPERLINK("https://klasma.github.io/Logging_1490/klagomålsmail/A 1924-2025 FSC-klagomål mail.docx", "A 1924-2025")</f>
        <v/>
      </c>
      <c r="AA5">
        <f>HYPERLINK("https://klasma.github.io/Logging_1490/tillsyn/A 1924-2025 tillsynsbegäran.docx", "A 1924-2025")</f>
        <v/>
      </c>
      <c r="AB5">
        <f>HYPERLINK("https://klasma.github.io/Logging_1490/tillsynsmail/A 1924-2025 tillsynsbegäran mail.docx", "A 1924-2025")</f>
        <v/>
      </c>
      <c r="AC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s="2" t="inlineStr">
        <is>
          <t>Ask
Gullpudra
Loppstarr
Ängsstarr
Gräsull
Fläcknycklar
Ängsnycklar</t>
        </is>
      </c>
      <c r="V6">
        <f>HYPERLINK("https://klasma.github.io/Logging_1490/artfynd/S 1743-2024 artfynd.xlsx", "S 1743-2024")</f>
        <v/>
      </c>
      <c r="W6">
        <f>HYPERLINK("https://klasma.github.io/Logging_1490/kartor/S 1743-2024 karta.png", "S 1743-2024")</f>
        <v/>
      </c>
      <c r="Y6">
        <f>HYPERLINK("https://klasma.github.io/Logging_1490/klagomål/S 1743-2024 FSC-klagomål.docx", "S 1743-2024")</f>
        <v/>
      </c>
      <c r="Z6">
        <f>HYPERLINK("https://klasma.github.io/Logging_1490/klagomålsmail/S 1743-2024 FSC-klagomål mail.docx", "S 1743-2024")</f>
        <v/>
      </c>
      <c r="AA6">
        <f>HYPERLINK("https://klasma.github.io/Logging_1490/tillsyn/S 1743-2024 tillsynsbegäran.docx", "S 1743-2024")</f>
        <v/>
      </c>
      <c r="AB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46221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s="2" t="inlineStr">
        <is>
          <t>Brödtaggsvamp
Sammetstaggsvamp
Grangråticka
Dofttaggsvamp
Dropptaggsvamp
Svavelriska</t>
        </is>
      </c>
      <c r="V7">
        <f>HYPERLINK("https://klasma.github.io/Logging_1490/artfynd/A 43837-2023 artfynd.xlsx", "A 43837-2023")</f>
        <v/>
      </c>
      <c r="W7">
        <f>HYPERLINK("https://klasma.github.io/Logging_1490/kartor/A 43837-2023 karta.png", "A 43837-2023")</f>
        <v/>
      </c>
      <c r="Y7">
        <f>HYPERLINK("https://klasma.github.io/Logging_1490/klagomål/A 43837-2023 FSC-klagomål.docx", "A 43837-2023")</f>
        <v/>
      </c>
      <c r="Z7">
        <f>HYPERLINK("https://klasma.github.io/Logging_1490/klagomålsmail/A 43837-2023 FSC-klagomål mail.docx", "A 43837-2023")</f>
        <v/>
      </c>
      <c r="AA7">
        <f>HYPERLINK("https://klasma.github.io/Logging_1490/tillsyn/A 43837-2023 tillsynsbegäran.docx", "A 43837-2023")</f>
        <v/>
      </c>
      <c r="AB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46221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s="2" t="inlineStr">
        <is>
          <t>Ask
Skogsalm
Mörk husmossa
Västlig hakmossa
Spillkråka
Revlummer</t>
        </is>
      </c>
      <c r="V8">
        <f>HYPERLINK("https://klasma.github.io/Logging_1490/artfynd/A 50109-2025 artfynd.xlsx", "A 50109-2025")</f>
        <v/>
      </c>
      <c r="W8">
        <f>HYPERLINK("https://klasma.github.io/Logging_1490/kartor/A 50109-2025 karta.png", "A 50109-2025")</f>
        <v/>
      </c>
      <c r="Y8">
        <f>HYPERLINK("https://klasma.github.io/Logging_1490/klagomål/A 50109-2025 FSC-klagomål.docx", "A 50109-2025")</f>
        <v/>
      </c>
      <c r="Z8">
        <f>HYPERLINK("https://klasma.github.io/Logging_1490/klagomålsmail/A 50109-2025 FSC-klagomål mail.docx", "A 50109-2025")</f>
        <v/>
      </c>
      <c r="AA8">
        <f>HYPERLINK("https://klasma.github.io/Logging_1490/tillsyn/A 50109-2025 tillsynsbegäran.docx", "A 50109-2025")</f>
        <v/>
      </c>
      <c r="AB8">
        <f>HYPERLINK("https://klasma.github.io/Logging_1490/tillsynsmail/A 50109-2025 tillsynsbegäran mail.docx", "A 50109-2025")</f>
        <v/>
      </c>
      <c r="AC8">
        <f>HYPERLINK("https://klasma.github.io/Logging_1490/fåglar/A 50109-2025 prioriterade fågelarter.docx", "A 50109-2025")</f>
        <v/>
      </c>
    </row>
    <row r="9" ht="15" customHeight="1">
      <c r="A9" t="inlineStr">
        <is>
          <t>A 51411-2024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45604</v>
      </c>
      <c r="E9" s="1" t="n">
        <v>46221</v>
      </c>
      <c r="F9" t="inlineStr">
        <is>
          <t>VÄSTRA GÖTALANDS LÄN</t>
        </is>
      </c>
      <c r="G9" t="inlineStr">
        <is>
          <t>BORÅS</t>
        </is>
      </c>
      <c r="I9" t="n">
        <v>11.8</v>
      </c>
      <c r="J9" t="n">
        <v>4</v>
      </c>
      <c r="K9" t="n">
        <v>1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8</v>
      </c>
      <c r="U9" s="2" t="inlineStr">
        <is>
          <t>Ask
Järnsparv
Sädesärla
Guldlockmossa
Spillkråka
Kråka</t>
        </is>
      </c>
      <c r="V9">
        <f>HYPERLINK("https://klasma.github.io/Logging_1490/artfynd/A 51411-2024 artfynd.xlsx", "A 51411-2024")</f>
        <v/>
      </c>
      <c r="W9">
        <f>HYPERLINK("https://klasma.github.io/Logging_1490/kartor/A 51411-2024 karta.png", "A 51411-2024")</f>
        <v/>
      </c>
      <c r="Y9">
        <f>HYPERLINK("https://klasma.github.io/Logging_1490/klagomål/A 51411-2024 FSC-klagomål.docx", "A 51411-2024")</f>
        <v/>
      </c>
      <c r="Z9">
        <f>HYPERLINK("https://klasma.github.io/Logging_1490/klagomålsmail/A 51411-2024 FSC-klagomål mail.docx", "A 51411-2024")</f>
        <v/>
      </c>
      <c r="AA9">
        <f>HYPERLINK("https://klasma.github.io/Logging_1490/tillsyn/A 51411-2024 tillsynsbegäran.docx", "A 51411-2024")</f>
        <v/>
      </c>
      <c r="AB9">
        <f>HYPERLINK("https://klasma.github.io/Logging_1490/tillsynsmail/A 51411-2024 tillsynsbegäran mail.docx", "A 51411-2024")</f>
        <v/>
      </c>
      <c r="AC9">
        <f>HYPERLINK("https://klasma.github.io/Logging_1490/fåglar/A 51411-2024 prioriterade fågelarter.docx", "A 51411-2024")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46221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Mattlummer
Spillkråka
Tjäder
Lopplummer (aggregat)
Revlummer</t>
        </is>
      </c>
      <c r="V10">
        <f>HYPERLINK("https://klasma.github.io/Logging_1490/artfynd/A 3474-2026 artfynd.xlsx", "A 3474-2026")</f>
        <v/>
      </c>
      <c r="W10">
        <f>HYPERLINK("https://klasma.github.io/Logging_1490/kartor/A 3474-2026 karta.png", "A 3474-2026")</f>
        <v/>
      </c>
      <c r="Y10">
        <f>HYPERLINK("https://klasma.github.io/Logging_1490/klagomål/A 3474-2026 FSC-klagomål.docx", "A 3474-2026")</f>
        <v/>
      </c>
      <c r="Z10">
        <f>HYPERLINK("https://klasma.github.io/Logging_1490/klagomålsmail/A 3474-2026 FSC-klagomål mail.docx", "A 3474-2026")</f>
        <v/>
      </c>
      <c r="AA10">
        <f>HYPERLINK("https://klasma.github.io/Logging_1490/tillsyn/A 3474-2026 tillsynsbegäran.docx", "A 3474-2026")</f>
        <v/>
      </c>
      <c r="AB10">
        <f>HYPERLINK("https://klasma.github.io/Logging_1490/tillsynsmail/A 3474-2026 tillsynsbegäran mail.docx", "A 3474-2026")</f>
        <v/>
      </c>
      <c r="AC10">
        <f>HYPERLINK("https://klasma.github.io/Logging_1490/fåglar/A 3474-2026 prioriterade fågelarter.docx", "A 3474-2026")</f>
        <v/>
      </c>
    </row>
    <row r="11" ht="15" customHeight="1">
      <c r="A11" t="inlineStr">
        <is>
          <t>A 3764-2024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45321</v>
      </c>
      <c r="E11" s="1" t="n">
        <v>46221</v>
      </c>
      <c r="F11" t="inlineStr">
        <is>
          <t>VÄSTRA GÖTALANDS LÄN</t>
        </is>
      </c>
      <c r="G11" t="inlineStr">
        <is>
          <t>BORÅS</t>
        </is>
      </c>
      <c r="H11" t="inlineStr">
        <is>
          <t>Kommuner</t>
        </is>
      </c>
      <c r="I11" t="n">
        <v>8.300000000000001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8</v>
      </c>
      <c r="U11" s="2" t="inlineStr">
        <is>
          <t>Kambräken
Stor revmossa
Västlig hakmossa
Gröngöling
Kungsfågel</t>
        </is>
      </c>
      <c r="V11">
        <f>HYPERLINK("https://klasma.github.io/Logging_1490/artfynd/A 3764-2024 artfynd.xlsx", "A 3764-2024")</f>
        <v/>
      </c>
      <c r="W11">
        <f>HYPERLINK("https://klasma.github.io/Logging_1490/kartor/A 3764-2024 karta.png", "A 3764-2024")</f>
        <v/>
      </c>
      <c r="Y11">
        <f>HYPERLINK("https://klasma.github.io/Logging_1490/klagomål/A 3764-2024 FSC-klagomål.docx", "A 3764-2024")</f>
        <v/>
      </c>
      <c r="Z11">
        <f>HYPERLINK("https://klasma.github.io/Logging_1490/klagomålsmail/A 3764-2024 FSC-klagomål mail.docx", "A 3764-2024")</f>
        <v/>
      </c>
      <c r="AA11">
        <f>HYPERLINK("https://klasma.github.io/Logging_1490/tillsyn/A 3764-2024 tillsynsbegäran.docx", "A 3764-2024")</f>
        <v/>
      </c>
      <c r="AB11">
        <f>HYPERLINK("https://klasma.github.io/Logging_1490/tillsynsmail/A 3764-2024 tillsynsbegäran mail.docx", "A 3764-2024")</f>
        <v/>
      </c>
    </row>
    <row r="12" ht="15" customHeight="1">
      <c r="A12" t="inlineStr">
        <is>
          <t>S 1257-2022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44624</v>
      </c>
      <c r="E12" s="1" t="n">
        <v>46221</v>
      </c>
      <c r="F12" t="inlineStr">
        <is>
          <t>VÄSTRA GÖTALANDS LÄN</t>
        </is>
      </c>
      <c r="G12" t="inlineStr">
        <is>
          <t>BORÅS</t>
        </is>
      </c>
      <c r="I12" t="n">
        <v>13.9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Ask
Grynig filtlav
Lunglav
Fällmossa
Guldlockmossa</t>
        </is>
      </c>
      <c r="V12">
        <f>HYPERLINK("https://klasma.github.io/Logging_1490/artfynd/S 1257-2022 artfynd.xlsx", "S 1257-2022")</f>
        <v/>
      </c>
      <c r="W12">
        <f>HYPERLINK("https://klasma.github.io/Logging_1490/kartor/S 1257-2022 karta.png", "S 1257-2022")</f>
        <v/>
      </c>
      <c r="Y12">
        <f>HYPERLINK("https://klasma.github.io/Logging_1490/klagomål/S 1257-2022 FSC-klagomål.docx", "S 1257-2022")</f>
        <v/>
      </c>
      <c r="Z12">
        <f>HYPERLINK("https://klasma.github.io/Logging_1490/klagomålsmail/S 1257-2022 FSC-klagomål mail.docx", "S 1257-2022")</f>
        <v/>
      </c>
      <c r="AA12">
        <f>HYPERLINK("https://klasma.github.io/Logging_1490/tillsyn/S 1257-2022 tillsynsbegäran.docx", "S 1257-2022")</f>
        <v/>
      </c>
      <c r="AB12">
        <f>HYPERLINK("https://klasma.github.io/Logging_1490/tillsynsmail/S 1257-2022 tillsynsbegäran mail.docx", "S 1257-2022")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46221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Talltita
Mattlummer
Tjäder
Tofsmes</t>
        </is>
      </c>
      <c r="V13">
        <f>HYPERLINK("https://klasma.github.io/Logging_1490/artfynd/A 14222-2024 artfynd.xlsx", "A 14222-2024")</f>
        <v/>
      </c>
      <c r="W13">
        <f>HYPERLINK("https://klasma.github.io/Logging_1490/kartor/A 14222-2024 karta.png", "A 14222-2024")</f>
        <v/>
      </c>
      <c r="Y13">
        <f>HYPERLINK("https://klasma.github.io/Logging_1490/klagomål/A 14222-2024 FSC-klagomål.docx", "A 14222-2024")</f>
        <v/>
      </c>
      <c r="Z13">
        <f>HYPERLINK("https://klasma.github.io/Logging_1490/klagomålsmail/A 14222-2024 FSC-klagomål mail.docx", "A 14222-2024")</f>
        <v/>
      </c>
      <c r="AA13">
        <f>HYPERLINK("https://klasma.github.io/Logging_1490/tillsyn/A 14222-2024 tillsynsbegäran.docx", "A 14222-2024")</f>
        <v/>
      </c>
      <c r="AB13">
        <f>HYPERLINK("https://klasma.github.io/Logging_1490/tillsynsmail/A 14222-2024 tillsynsbegäran mail.docx", "A 14222-2024")</f>
        <v/>
      </c>
      <c r="AC13">
        <f>HYPERLINK("https://klasma.github.io/Logging_1490/fåglar/A 14222-2024 prioriterade fågelarter.docx", "A 14222-2024")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46221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s="2" t="inlineStr">
        <is>
          <t>Brunlångöra
Nordfladdermus
Dvärgpipistrell
Större brunfladdermus</t>
        </is>
      </c>
      <c r="V14">
        <f>HYPERLINK("https://klasma.github.io/Logging_1490/artfynd/A 34634-2024 artfynd.xlsx", "A 34634-2024")</f>
        <v/>
      </c>
      <c r="W14">
        <f>HYPERLINK("https://klasma.github.io/Logging_1490/kartor/A 34634-2024 karta.png", "A 34634-2024")</f>
        <v/>
      </c>
      <c r="Y14">
        <f>HYPERLINK("https://klasma.github.io/Logging_1490/klagomål/A 34634-2024 FSC-klagomål.docx", "A 34634-2024")</f>
        <v/>
      </c>
      <c r="Z14">
        <f>HYPERLINK("https://klasma.github.io/Logging_1490/klagomålsmail/A 34634-2024 FSC-klagomål mail.docx", "A 34634-2024")</f>
        <v/>
      </c>
      <c r="AA14">
        <f>HYPERLINK("https://klasma.github.io/Logging_1490/tillsyn/A 34634-2024 tillsynsbegäran.docx", "A 34634-2024")</f>
        <v/>
      </c>
      <c r="AB14">
        <f>HYPERLINK("https://klasma.github.io/Logging_1490/tillsynsmail/A 34634-2024 tillsynsbegäran mail.docx", "A 34634-2024")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46221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Svartvit taggsvamp
Blåmossa
Stor revmossa
Spillkråka</t>
        </is>
      </c>
      <c r="V15">
        <f>HYPERLINK("https://klasma.github.io/Logging_1490/artfynd/A 62027-2021 artfynd.xlsx", "A 62027-2021")</f>
        <v/>
      </c>
      <c r="W15">
        <f>HYPERLINK("https://klasma.github.io/Logging_1490/kartor/A 62027-2021 karta.png", "A 62027-2021")</f>
        <v/>
      </c>
      <c r="Y15">
        <f>HYPERLINK("https://klasma.github.io/Logging_1490/klagomål/A 62027-2021 FSC-klagomål.docx", "A 62027-2021")</f>
        <v/>
      </c>
      <c r="Z15">
        <f>HYPERLINK("https://klasma.github.io/Logging_1490/klagomålsmail/A 62027-2021 FSC-klagomål mail.docx", "A 62027-2021")</f>
        <v/>
      </c>
      <c r="AA15">
        <f>HYPERLINK("https://klasma.github.io/Logging_1490/tillsyn/A 62027-2021 tillsynsbegäran.docx", "A 62027-2021")</f>
        <v/>
      </c>
      <c r="AB15">
        <f>HYPERLINK("https://klasma.github.io/Logging_1490/tillsynsmail/A 62027-2021 tillsynsbegäran mail.docx", "A 62027-2021")</f>
        <v/>
      </c>
      <c r="AC15">
        <f>HYPERLINK("https://klasma.github.io/Logging_1490/fåglar/A 62027-2021 prioriterade fågelarter.docx", "A 62027-2021")</f>
        <v/>
      </c>
    </row>
    <row r="16" ht="15" customHeight="1">
      <c r="A16" t="inlineStr">
        <is>
          <t>A 47911-2023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45204</v>
      </c>
      <c r="E16" s="1" t="n">
        <v>46221</v>
      </c>
      <c r="F16" t="inlineStr">
        <is>
          <t>VÄSTRA GÖTALANDS LÄN</t>
        </is>
      </c>
      <c r="G16" t="inlineStr">
        <is>
          <t>BORÅS</t>
        </is>
      </c>
      <c r="I16" t="n">
        <v>1.6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Brunpudrad nållav
Gulnål
Vågbandad barkbock
Spillkråka</t>
        </is>
      </c>
      <c r="V16">
        <f>HYPERLINK("https://klasma.github.io/Logging_1490/artfynd/A 47911-2023 artfynd.xlsx", "A 47911-2023")</f>
        <v/>
      </c>
      <c r="W16">
        <f>HYPERLINK("https://klasma.github.io/Logging_1490/kartor/A 47911-2023 karta.png", "A 47911-2023")</f>
        <v/>
      </c>
      <c r="Y16">
        <f>HYPERLINK("https://klasma.github.io/Logging_1490/klagomål/A 47911-2023 FSC-klagomål.docx", "A 47911-2023")</f>
        <v/>
      </c>
      <c r="Z16">
        <f>HYPERLINK("https://klasma.github.io/Logging_1490/klagomålsmail/A 47911-2023 FSC-klagomål mail.docx", "A 47911-2023")</f>
        <v/>
      </c>
      <c r="AA16">
        <f>HYPERLINK("https://klasma.github.io/Logging_1490/tillsyn/A 47911-2023 tillsynsbegäran.docx", "A 47911-2023")</f>
        <v/>
      </c>
      <c r="AB16">
        <f>HYPERLINK("https://klasma.github.io/Logging_1490/tillsynsmail/A 47911-2023 tillsynsbegäran mail.docx", "A 47911-2023")</f>
        <v/>
      </c>
      <c r="AC16">
        <f>HYPERLINK("https://klasma.github.io/Logging_1490/fåglar/A 47911-2023 prioriterade fågelarter.docx", "A 47911-2023")</f>
        <v/>
      </c>
    </row>
    <row r="17" ht="15" customHeight="1">
      <c r="A17" t="inlineStr">
        <is>
          <t>S 6338-2022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44873</v>
      </c>
      <c r="E17" s="1" t="n">
        <v>46221</v>
      </c>
      <c r="F17" t="inlineStr">
        <is>
          <t>VÄSTRA GÖTALANDS LÄN</t>
        </is>
      </c>
      <c r="G17" t="inlineStr">
        <is>
          <t>BORÅS</t>
        </is>
      </c>
      <c r="H17" t="inlineStr">
        <is>
          <t>Kommuner</t>
        </is>
      </c>
      <c r="I17" t="n">
        <v>80.40000000000001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Gröngöling
Kungsfågel
Kopparödla</t>
        </is>
      </c>
      <c r="V17">
        <f>HYPERLINK("https://klasma.github.io/Logging_1490/artfynd/S 6338-2022 artfynd.xlsx", "S 6338-2022")</f>
        <v/>
      </c>
      <c r="W17">
        <f>HYPERLINK("https://klasma.github.io/Logging_1490/kartor/S 6338-2022 karta.png", "S 6338-2022")</f>
        <v/>
      </c>
      <c r="Y17">
        <f>HYPERLINK("https://klasma.github.io/Logging_1490/klagomål/S 6338-2022 FSC-klagomål.docx", "S 6338-2022")</f>
        <v/>
      </c>
      <c r="Z17">
        <f>HYPERLINK("https://klasma.github.io/Logging_1490/klagomålsmail/S 6338-2022 FSC-klagomål mail.docx", "S 6338-2022")</f>
        <v/>
      </c>
      <c r="AA17">
        <f>HYPERLINK("https://klasma.github.io/Logging_1490/tillsyn/S 6338-2022 tillsynsbegäran.docx", "S 6338-2022")</f>
        <v/>
      </c>
      <c r="AB17">
        <f>HYPERLINK("https://klasma.github.io/Logging_1490/tillsynsmail/S 6338-2022 tillsynsbegäran mail.docx", "S 6338-2022")</f>
        <v/>
      </c>
      <c r="AC17">
        <f>HYPERLINK("https://klasma.github.io/Logging_1490/fåglar/S 6338-2022 prioriterade fågelarter.docx", "S 6338-2022")</f>
        <v/>
      </c>
    </row>
    <row r="18" ht="15" customHeight="1">
      <c r="A18" t="inlineStr">
        <is>
          <t>A 23630-2022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44721</v>
      </c>
      <c r="E18" s="1" t="n">
        <v>46221</v>
      </c>
      <c r="F18" t="inlineStr">
        <is>
          <t>VÄSTRA GÖTALANDS LÄN</t>
        </is>
      </c>
      <c r="G18" t="inlineStr">
        <is>
          <t>BORÅS</t>
        </is>
      </c>
      <c r="I18" t="n">
        <v>1.3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s="2" t="inlineStr">
        <is>
          <t>Nordfladdermus
Dvärgpipistrell
Vattenfladdermus</t>
        </is>
      </c>
      <c r="V18">
        <f>HYPERLINK("https://klasma.github.io/Logging_1490/artfynd/A 23630-2022 artfynd.xlsx", "A 23630-2022")</f>
        <v/>
      </c>
      <c r="W18">
        <f>HYPERLINK("https://klasma.github.io/Logging_1490/kartor/A 23630-2022 karta.png", "A 23630-2022")</f>
        <v/>
      </c>
      <c r="Y18">
        <f>HYPERLINK("https://klasma.github.io/Logging_1490/klagomål/A 23630-2022 FSC-klagomål.docx", "A 23630-2022")</f>
        <v/>
      </c>
      <c r="Z18">
        <f>HYPERLINK("https://klasma.github.io/Logging_1490/klagomålsmail/A 23630-2022 FSC-klagomål mail.docx", "A 23630-2022")</f>
        <v/>
      </c>
      <c r="AA18">
        <f>HYPERLINK("https://klasma.github.io/Logging_1490/tillsyn/A 23630-2022 tillsynsbegäran.docx", "A 23630-2022")</f>
        <v/>
      </c>
      <c r="AB18">
        <f>HYPERLINK("https://klasma.github.io/Logging_1490/tillsynsmail/A 23630-2022 tillsynsbegäran mail.docx", "A 23630-2022")</f>
        <v/>
      </c>
    </row>
    <row r="19" ht="15" customHeight="1">
      <c r="A19" t="inlineStr">
        <is>
          <t>A 47306-2021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46221</v>
      </c>
      <c r="F19" t="inlineStr">
        <is>
          <t>VÄSTRA GÖTALANDS LÄN</t>
        </is>
      </c>
      <c r="G19" t="inlineStr">
        <is>
          <t>BORÅS</t>
        </is>
      </c>
      <c r="I19" t="n">
        <v>3.9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Mindre hackspett
Åkergroda
Vanlig groda</t>
        </is>
      </c>
      <c r="V19">
        <f>HYPERLINK("https://klasma.github.io/Logging_1490/artfynd/A 47306-2021 artfynd.xlsx", "A 47306-2021")</f>
        <v/>
      </c>
      <c r="W19">
        <f>HYPERLINK("https://klasma.github.io/Logging_1490/kartor/A 47306-2021 karta.png", "A 47306-2021")</f>
        <v/>
      </c>
      <c r="Y19">
        <f>HYPERLINK("https://klasma.github.io/Logging_1490/klagomål/A 47306-2021 FSC-klagomål.docx", "A 47306-2021")</f>
        <v/>
      </c>
      <c r="Z19">
        <f>HYPERLINK("https://klasma.github.io/Logging_1490/klagomålsmail/A 47306-2021 FSC-klagomål mail.docx", "A 47306-2021")</f>
        <v/>
      </c>
      <c r="AA19">
        <f>HYPERLINK("https://klasma.github.io/Logging_1490/tillsyn/A 47306-2021 tillsynsbegäran.docx", "A 47306-2021")</f>
        <v/>
      </c>
      <c r="AB19">
        <f>HYPERLINK("https://klasma.github.io/Logging_1490/tillsynsmail/A 47306-2021 tillsynsbegäran mail.docx", "A 47306-2021")</f>
        <v/>
      </c>
      <c r="AC19">
        <f>HYPERLINK("https://klasma.github.io/Logging_1490/fåglar/A 47306-2021 prioriterade fågelarter.docx", "A 47306-2021")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46221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s="2" t="inlineStr">
        <is>
          <t>Tallriska
Talltita
Brandticka</t>
        </is>
      </c>
      <c r="V20">
        <f>HYPERLINK("https://klasma.github.io/Logging_1490/artfynd/A 28586-2022 artfynd.xlsx", "A 28586-2022")</f>
        <v/>
      </c>
      <c r="W20">
        <f>HYPERLINK("https://klasma.github.io/Logging_1490/kartor/A 28586-2022 karta.png", "A 28586-2022")</f>
        <v/>
      </c>
      <c r="Y20">
        <f>HYPERLINK("https://klasma.github.io/Logging_1490/klagomål/A 28586-2022 FSC-klagomål.docx", "A 28586-2022")</f>
        <v/>
      </c>
      <c r="Z20">
        <f>HYPERLINK("https://klasma.github.io/Logging_1490/klagomålsmail/A 28586-2022 FSC-klagomål mail.docx", "A 28586-2022")</f>
        <v/>
      </c>
      <c r="AA20">
        <f>HYPERLINK("https://klasma.github.io/Logging_1490/tillsyn/A 28586-2022 tillsynsbegäran.docx", "A 28586-2022")</f>
        <v/>
      </c>
      <c r="AB20">
        <f>HYPERLINK("https://klasma.github.io/Logging_1490/tillsynsmail/A 28586-2022 tillsynsbegäran mail.docx", "A 28586-2022")</f>
        <v/>
      </c>
      <c r="AC20">
        <f>HYPERLINK("https://klasma.github.io/Logging_1490/fåglar/A 28586-2022 prioriterade fågelarter.docx", "A 28586-2022")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46221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Dropptaggsvamp
Spillkråka
Orre</t>
        </is>
      </c>
      <c r="V21">
        <f>HYPERLINK("https://klasma.github.io/Logging_1490/artfynd/A 50376-2025 artfynd.xlsx", "A 50376-2025")</f>
        <v/>
      </c>
      <c r="W21">
        <f>HYPERLINK("https://klasma.github.io/Logging_1490/kartor/A 50376-2025 karta.png", "A 50376-2025")</f>
        <v/>
      </c>
      <c r="Y21">
        <f>HYPERLINK("https://klasma.github.io/Logging_1490/klagomål/A 50376-2025 FSC-klagomål.docx", "A 50376-2025")</f>
        <v/>
      </c>
      <c r="Z21">
        <f>HYPERLINK("https://klasma.github.io/Logging_1490/klagomålsmail/A 50376-2025 FSC-klagomål mail.docx", "A 50376-2025")</f>
        <v/>
      </c>
      <c r="AA21">
        <f>HYPERLINK("https://klasma.github.io/Logging_1490/tillsyn/A 50376-2025 tillsynsbegäran.docx", "A 50376-2025")</f>
        <v/>
      </c>
      <c r="AB21">
        <f>HYPERLINK("https://klasma.github.io/Logging_1490/tillsynsmail/A 50376-2025 tillsynsbegäran mail.docx", "A 50376-2025")</f>
        <v/>
      </c>
      <c r="AC21">
        <f>HYPERLINK("https://klasma.github.io/Logging_1490/fåglar/A 50376-2025 prioriterade fågelarter.docx", "A 50376-2025")</f>
        <v/>
      </c>
    </row>
    <row r="22" ht="15" customHeight="1">
      <c r="A22" t="inlineStr">
        <is>
          <t>A 14220-2024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45393</v>
      </c>
      <c r="E22" s="1" t="n">
        <v>46221</v>
      </c>
      <c r="F22" t="inlineStr">
        <is>
          <t>VÄSTRA GÖTALANDS LÄN</t>
        </is>
      </c>
      <c r="G22" t="inlineStr">
        <is>
          <t>BORÅS</t>
        </is>
      </c>
      <c r="H22" t="inlineStr">
        <is>
          <t>Sveaskog</t>
        </is>
      </c>
      <c r="I22" t="n">
        <v>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Talltita
Tofsmes
Revlummer</t>
        </is>
      </c>
      <c r="V22">
        <f>HYPERLINK("https://klasma.github.io/Logging_1490/artfynd/A 14220-2024 artfynd.xlsx", "A 14220-2024")</f>
        <v/>
      </c>
      <c r="W22">
        <f>HYPERLINK("https://klasma.github.io/Logging_1490/kartor/A 14220-2024 karta.png", "A 14220-2024")</f>
        <v/>
      </c>
      <c r="Y22">
        <f>HYPERLINK("https://klasma.github.io/Logging_1490/klagomål/A 14220-2024 FSC-klagomål.docx", "A 14220-2024")</f>
        <v/>
      </c>
      <c r="Z22">
        <f>HYPERLINK("https://klasma.github.io/Logging_1490/klagomålsmail/A 14220-2024 FSC-klagomål mail.docx", "A 14220-2024")</f>
        <v/>
      </c>
      <c r="AA22">
        <f>HYPERLINK("https://klasma.github.io/Logging_1490/tillsyn/A 14220-2024 tillsynsbegäran.docx", "A 14220-2024")</f>
        <v/>
      </c>
      <c r="AB22">
        <f>HYPERLINK("https://klasma.github.io/Logging_1490/tillsynsmail/A 14220-2024 tillsynsbegäran mail.docx", "A 14220-2024")</f>
        <v/>
      </c>
      <c r="AC22">
        <f>HYPERLINK("https://klasma.github.io/Logging_1490/fåglar/A 14220-2024 prioriterade fågelarter.docx", "A 14220-2024")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46221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Brunfläckig pärlemorfjäril
Bårdlav
Fällmossa</t>
        </is>
      </c>
      <c r="V23">
        <f>HYPERLINK("https://klasma.github.io/Logging_1490/artfynd/A 58304-2025 artfynd.xlsx", "A 58304-2025")</f>
        <v/>
      </c>
      <c r="W23">
        <f>HYPERLINK("https://klasma.github.io/Logging_1490/kartor/A 58304-2025 karta.png", "A 58304-2025")</f>
        <v/>
      </c>
      <c r="Y23">
        <f>HYPERLINK("https://klasma.github.io/Logging_1490/klagomål/A 58304-2025 FSC-klagomål.docx", "A 58304-2025")</f>
        <v/>
      </c>
      <c r="Z23">
        <f>HYPERLINK("https://klasma.github.io/Logging_1490/klagomålsmail/A 58304-2025 FSC-klagomål mail.docx", "A 58304-2025")</f>
        <v/>
      </c>
      <c r="AA23">
        <f>HYPERLINK("https://klasma.github.io/Logging_1490/tillsyn/A 58304-2025 tillsynsbegäran.docx", "A 58304-2025")</f>
        <v/>
      </c>
      <c r="AB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46221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s="2" t="inlineStr">
        <is>
          <t>Knärot
Huggorm
Nattviol</t>
        </is>
      </c>
      <c r="V24">
        <f>HYPERLINK("https://klasma.github.io/Logging_1490/artfynd/A 51423-2024 artfynd.xlsx", "A 51423-2024")</f>
        <v/>
      </c>
      <c r="W24">
        <f>HYPERLINK("https://klasma.github.io/Logging_1490/kartor/A 51423-2024 karta.png", "A 51423-2024")</f>
        <v/>
      </c>
      <c r="X24">
        <f>HYPERLINK("https://klasma.github.io/Logging_1490/knärot/A 51423-2024 karta knärot.png", "A 51423-2024")</f>
        <v/>
      </c>
      <c r="Y24">
        <f>HYPERLINK("https://klasma.github.io/Logging_1490/klagomål/A 51423-2024 FSC-klagomål.docx", "A 51423-2024")</f>
        <v/>
      </c>
      <c r="Z24">
        <f>HYPERLINK("https://klasma.github.io/Logging_1490/klagomålsmail/A 51423-2024 FSC-klagomål mail.docx", "A 51423-2024")</f>
        <v/>
      </c>
      <c r="AA24">
        <f>HYPERLINK("https://klasma.github.io/Logging_1490/tillsyn/A 51423-2024 tillsynsbegäran.docx", "A 51423-2024")</f>
        <v/>
      </c>
      <c r="AB24">
        <f>HYPERLINK("https://klasma.github.io/Logging_1490/tillsynsmail/A 51423-2024 tillsynsbegäran mail.docx", "A 51423-2024")</f>
        <v/>
      </c>
    </row>
    <row r="25" ht="15" customHeight="1">
      <c r="A25" t="inlineStr">
        <is>
          <t>A 72582-2021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46221</v>
      </c>
      <c r="F25" t="inlineStr">
        <is>
          <t>VÄSTRA GÖTALANDS LÄN</t>
        </is>
      </c>
      <c r="G25" t="inlineStr">
        <is>
          <t>BORÅS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Igelkott
Jungfrulin
Svinrot</t>
        </is>
      </c>
      <c r="V25">
        <f>HYPERLINK("https://klasma.github.io/Logging_1490/artfynd/A 72582-2021 artfynd.xlsx", "A 72582-2021")</f>
        <v/>
      </c>
      <c r="W25">
        <f>HYPERLINK("https://klasma.github.io/Logging_1490/kartor/A 72582-2021 karta.png", "A 72582-2021")</f>
        <v/>
      </c>
      <c r="Y25">
        <f>HYPERLINK("https://klasma.github.io/Logging_1490/klagomål/A 72582-2021 FSC-klagomål.docx", "A 72582-2021")</f>
        <v/>
      </c>
      <c r="Z25">
        <f>HYPERLINK("https://klasma.github.io/Logging_1490/klagomålsmail/A 72582-2021 FSC-klagomål mail.docx", "A 72582-2021")</f>
        <v/>
      </c>
      <c r="AA25">
        <f>HYPERLINK("https://klasma.github.io/Logging_1490/tillsyn/A 72582-2021 tillsynsbegäran.docx", "A 72582-2021")</f>
        <v/>
      </c>
      <c r="AB25">
        <f>HYPERLINK("https://klasma.github.io/Logging_1490/tillsynsmail/A 72582-2021 tillsynsbegäran mail.docx", "A 72582-2021")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46221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Grönfink
Sädesärla
Svartvit flugsnappare</t>
        </is>
      </c>
      <c r="V26">
        <f>HYPERLINK("https://klasma.github.io/Logging_1490/artfynd/A 63618-2023 artfynd.xlsx", "A 63618-2023")</f>
        <v/>
      </c>
      <c r="W26">
        <f>HYPERLINK("https://klasma.github.io/Logging_1490/kartor/A 63618-2023 karta.png", "A 63618-2023")</f>
        <v/>
      </c>
      <c r="Y26">
        <f>HYPERLINK("https://klasma.github.io/Logging_1490/klagomål/A 63618-2023 FSC-klagomål.docx", "A 63618-2023")</f>
        <v/>
      </c>
      <c r="Z26">
        <f>HYPERLINK("https://klasma.github.io/Logging_1490/klagomålsmail/A 63618-2023 FSC-klagomål mail.docx", "A 63618-2023")</f>
        <v/>
      </c>
      <c r="AA26">
        <f>HYPERLINK("https://klasma.github.io/Logging_1490/tillsyn/A 63618-2023 tillsynsbegäran.docx", "A 63618-2023")</f>
        <v/>
      </c>
      <c r="AB26">
        <f>HYPERLINK("https://klasma.github.io/Logging_1490/tillsynsmail/A 63618-2023 tillsynsbegäran mail.docx", "A 63618-2023")</f>
        <v/>
      </c>
      <c r="AC26">
        <f>HYPERLINK("https://klasma.github.io/Logging_1490/fåglar/A 63618-2023 prioriterade fågelarter.docx", "A 63618-2023")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46221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s="2" t="inlineStr">
        <is>
          <t>Ask
Grynig filtlav
Skinnlav</t>
        </is>
      </c>
      <c r="V27">
        <f>HYPERLINK("https://klasma.github.io/Logging_1490/artfynd/A 8097-2024 artfynd.xlsx", "A 8097-2024")</f>
        <v/>
      </c>
      <c r="W27">
        <f>HYPERLINK("https://klasma.github.io/Logging_1490/kartor/A 8097-2024 karta.png", "A 8097-2024")</f>
        <v/>
      </c>
      <c r="Y27">
        <f>HYPERLINK("https://klasma.github.io/Logging_1490/klagomål/A 8097-2024 FSC-klagomål.docx", "A 8097-2024")</f>
        <v/>
      </c>
      <c r="Z27">
        <f>HYPERLINK("https://klasma.github.io/Logging_1490/klagomålsmail/A 8097-2024 FSC-klagomål mail.docx", "A 8097-2024")</f>
        <v/>
      </c>
      <c r="AA27">
        <f>HYPERLINK("https://klasma.github.io/Logging_1490/tillsyn/A 8097-2024 tillsynsbegäran.docx", "A 8097-2024")</f>
        <v/>
      </c>
      <c r="AB27">
        <f>HYPERLINK("https://klasma.github.io/Logging_1490/tillsynsmail/A 8097-2024 tillsynsbegäran mail.docx", "A 8097-2024")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46221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s="2" t="inlineStr">
        <is>
          <t>Mattlummer
Tjäder
Revlummer</t>
        </is>
      </c>
      <c r="V28">
        <f>HYPERLINK("https://klasma.github.io/Logging_1490/artfynd/A 10182-2026 artfynd.xlsx", "A 10182-2026")</f>
        <v/>
      </c>
      <c r="W28">
        <f>HYPERLINK("https://klasma.github.io/Logging_1490/kartor/A 10182-2026 karta.png", "A 10182-2026")</f>
        <v/>
      </c>
      <c r="Y28">
        <f>HYPERLINK("https://klasma.github.io/Logging_1490/klagomål/A 10182-2026 FSC-klagomål.docx", "A 10182-2026")</f>
        <v/>
      </c>
      <c r="Z28">
        <f>HYPERLINK("https://klasma.github.io/Logging_1490/klagomålsmail/A 10182-2026 FSC-klagomål mail.docx", "A 10182-2026")</f>
        <v/>
      </c>
      <c r="AA28">
        <f>HYPERLINK("https://klasma.github.io/Logging_1490/tillsyn/A 10182-2026 tillsynsbegäran.docx", "A 10182-2026")</f>
        <v/>
      </c>
      <c r="AB28">
        <f>HYPERLINK("https://klasma.github.io/Logging_1490/tillsynsmail/A 10182-2026 tillsynsbegäran mail.docx", "A 10182-2026")</f>
        <v/>
      </c>
      <c r="AC28">
        <f>HYPERLINK("https://klasma.github.io/Logging_1490/fåglar/A 10182-2026 prioriterade fågelarter.docx", "A 10182-2026")</f>
        <v/>
      </c>
    </row>
    <row r="29" ht="15" customHeight="1">
      <c r="A29" t="inlineStr">
        <is>
          <t>A 3095-2024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45316</v>
      </c>
      <c r="E29" s="1" t="n">
        <v>46221</v>
      </c>
      <c r="F29" t="inlineStr">
        <is>
          <t>VÄSTRA GÖTALANDS LÄN</t>
        </is>
      </c>
      <c r="G29" t="inlineStr">
        <is>
          <t>BORÅS</t>
        </is>
      </c>
      <c r="I29" t="n">
        <v>6.3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s="2" t="inlineStr">
        <is>
          <t>Skrovellav
Bårdlav
Fällmossa</t>
        </is>
      </c>
      <c r="V29">
        <f>HYPERLINK("https://klasma.github.io/Logging_1490/artfynd/A 3095-2024 artfynd.xlsx", "A 3095-2024")</f>
        <v/>
      </c>
      <c r="W29">
        <f>HYPERLINK("https://klasma.github.io/Logging_1490/kartor/A 3095-2024 karta.png", "A 3095-2024")</f>
        <v/>
      </c>
      <c r="Y29">
        <f>HYPERLINK("https://klasma.github.io/Logging_1490/klagomål/A 3095-2024 FSC-klagomål.docx", "A 3095-2024")</f>
        <v/>
      </c>
      <c r="Z29">
        <f>HYPERLINK("https://klasma.github.io/Logging_1490/klagomålsmail/A 3095-2024 FSC-klagomål mail.docx", "A 3095-2024")</f>
        <v/>
      </c>
      <c r="AA29">
        <f>HYPERLINK("https://klasma.github.io/Logging_1490/tillsyn/A 3095-2024 tillsynsbegäran.docx", "A 3095-2024")</f>
        <v/>
      </c>
      <c r="AB29">
        <f>HYPERLINK("https://klasma.github.io/Logging_1490/tillsynsmail/A 3095-2024 tillsynsbegäran mail.docx", "A 3095-2024")</f>
        <v/>
      </c>
    </row>
    <row r="30" ht="15" customHeight="1">
      <c r="A30" t="inlineStr">
        <is>
          <t>A 57442-2024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46221</v>
      </c>
      <c r="F30" t="inlineStr">
        <is>
          <t>VÄSTRA GÖTALANDS LÄN</t>
        </is>
      </c>
      <c r="G30" t="inlineStr">
        <is>
          <t>BORÅS</t>
        </is>
      </c>
      <c r="I30" t="n">
        <v>1.7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11</v>
      </c>
      <c r="U30" s="2" t="inlineStr">
        <is>
          <t>Talltita
Spillkråka
Revlummer</t>
        </is>
      </c>
      <c r="V30">
        <f>HYPERLINK("https://klasma.github.io/Logging_1490/artfynd/A 57442-2024 artfynd.xlsx", "A 57442-2024")</f>
        <v/>
      </c>
      <c r="W30">
        <f>HYPERLINK("https://klasma.github.io/Logging_1490/kartor/A 57442-2024 karta.png", "A 57442-2024")</f>
        <v/>
      </c>
      <c r="Y30">
        <f>HYPERLINK("https://klasma.github.io/Logging_1490/klagomål/A 57442-2024 FSC-klagomål.docx", "A 57442-2024")</f>
        <v/>
      </c>
      <c r="Z30">
        <f>HYPERLINK("https://klasma.github.io/Logging_1490/klagomålsmail/A 57442-2024 FSC-klagomål mail.docx", "A 57442-2024")</f>
        <v/>
      </c>
      <c r="AA30">
        <f>HYPERLINK("https://klasma.github.io/Logging_1490/tillsyn/A 57442-2024 tillsynsbegäran.docx", "A 57442-2024")</f>
        <v/>
      </c>
      <c r="AB30">
        <f>HYPERLINK("https://klasma.github.io/Logging_1490/tillsynsmail/A 57442-2024 tillsynsbegäran mail.docx", "A 57442-2024")</f>
        <v/>
      </c>
      <c r="AC30">
        <f>HYPERLINK("https://klasma.github.io/Logging_1490/fåglar/A 57442-2024 prioriterade fågelarter.docx", "A 57442-2024")</f>
        <v/>
      </c>
    </row>
    <row r="31" ht="15" customHeight="1">
      <c r="A31" t="inlineStr">
        <is>
          <t>A 19064-2022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44691</v>
      </c>
      <c r="E31" s="1" t="n">
        <v>46221</v>
      </c>
      <c r="F31" t="inlineStr">
        <is>
          <t>VÄSTRA GÖTALANDS LÄN</t>
        </is>
      </c>
      <c r="G31" t="inlineStr">
        <is>
          <t>BORÅS</t>
        </is>
      </c>
      <c r="H31" t="inlineStr">
        <is>
          <t>Sveaskog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Svinrot
Grönvit nattviol</t>
        </is>
      </c>
      <c r="V31">
        <f>HYPERLINK("https://klasma.github.io/Logging_1490/artfynd/A 19064-2022 artfynd.xlsx", "A 19064-2022")</f>
        <v/>
      </c>
      <c r="W31">
        <f>HYPERLINK("https://klasma.github.io/Logging_1490/kartor/A 19064-2022 karta.png", "A 19064-2022")</f>
        <v/>
      </c>
      <c r="Y31">
        <f>HYPERLINK("https://klasma.github.io/Logging_1490/klagomål/A 19064-2022 FSC-klagomål.docx", "A 19064-2022")</f>
        <v/>
      </c>
      <c r="Z31">
        <f>HYPERLINK("https://klasma.github.io/Logging_1490/klagomålsmail/A 19064-2022 FSC-klagomål mail.docx", "A 19064-2022")</f>
        <v/>
      </c>
      <c r="AA31">
        <f>HYPERLINK("https://klasma.github.io/Logging_1490/tillsyn/A 19064-2022 tillsynsbegäran.docx", "A 19064-2022")</f>
        <v/>
      </c>
      <c r="AB31">
        <f>HYPERLINK("https://klasma.github.io/Logging_1490/tillsynsmail/A 19064-2022 tillsynsbegäran mail.docx", "A 19064-2022")</f>
        <v/>
      </c>
    </row>
    <row r="32" ht="15" customHeight="1">
      <c r="A32" t="inlineStr">
        <is>
          <t>A 39323-2022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46221</v>
      </c>
      <c r="F32" t="inlineStr">
        <is>
          <t>VÄSTRA GÖTALANDS LÄN</t>
        </is>
      </c>
      <c r="G32" t="inlineStr">
        <is>
          <t>BORÅS</t>
        </is>
      </c>
      <c r="I32" t="n">
        <v>8.1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Järnsparv
Tjäder</t>
        </is>
      </c>
      <c r="V32">
        <f>HYPERLINK("https://klasma.github.io/Logging_1490/artfynd/A 39323-2022 artfynd.xlsx", "A 39323-2022")</f>
        <v/>
      </c>
      <c r="W32">
        <f>HYPERLINK("https://klasma.github.io/Logging_1490/kartor/A 39323-2022 karta.png", "A 39323-2022")</f>
        <v/>
      </c>
      <c r="Y32">
        <f>HYPERLINK("https://klasma.github.io/Logging_1490/klagomål/A 39323-2022 FSC-klagomål.docx", "A 39323-2022")</f>
        <v/>
      </c>
      <c r="Z32">
        <f>HYPERLINK("https://klasma.github.io/Logging_1490/klagomålsmail/A 39323-2022 FSC-klagomål mail.docx", "A 39323-2022")</f>
        <v/>
      </c>
      <c r="AA32">
        <f>HYPERLINK("https://klasma.github.io/Logging_1490/tillsyn/A 39323-2022 tillsynsbegäran.docx", "A 39323-2022")</f>
        <v/>
      </c>
      <c r="AB32">
        <f>HYPERLINK("https://klasma.github.io/Logging_1490/tillsynsmail/A 39323-2022 tillsynsbegäran mail.docx", "A 39323-2022")</f>
        <v/>
      </c>
      <c r="AC32">
        <f>HYPERLINK("https://klasma.github.io/Logging_1490/fåglar/A 39323-2022 prioriterade fågelarter.docx", "A 39323-2022")</f>
        <v/>
      </c>
    </row>
    <row r="33" ht="15" customHeight="1">
      <c r="A33" t="inlineStr">
        <is>
          <t>A 55712-2021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46221</v>
      </c>
      <c r="F33" t="inlineStr">
        <is>
          <t>VÄSTRA GÖTALANDS LÄN</t>
        </is>
      </c>
      <c r="G33" t="inlineStr">
        <is>
          <t>BORÅS</t>
        </is>
      </c>
      <c r="H33" t="inlineStr">
        <is>
          <t>Kommuner</t>
        </is>
      </c>
      <c r="I33" t="n">
        <v>3.6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s="2" t="inlineStr">
        <is>
          <t>Skogsalm
Knärot</t>
        </is>
      </c>
      <c r="V33">
        <f>HYPERLINK("https://klasma.github.io/Logging_1490/artfynd/A 55712-2021 artfynd.xlsx", "A 55712-2021")</f>
        <v/>
      </c>
      <c r="W33">
        <f>HYPERLINK("https://klasma.github.io/Logging_1490/kartor/A 55712-2021 karta.png", "A 55712-2021")</f>
        <v/>
      </c>
      <c r="X33">
        <f>HYPERLINK("https://klasma.github.io/Logging_1490/knärot/A 55712-2021 karta knärot.png", "A 55712-2021")</f>
        <v/>
      </c>
      <c r="Y33">
        <f>HYPERLINK("https://klasma.github.io/Logging_1490/klagomål/A 55712-2021 FSC-klagomål.docx", "A 55712-2021")</f>
        <v/>
      </c>
      <c r="Z33">
        <f>HYPERLINK("https://klasma.github.io/Logging_1490/klagomålsmail/A 55712-2021 FSC-klagomål mail.docx", "A 55712-2021")</f>
        <v/>
      </c>
      <c r="AA33">
        <f>HYPERLINK("https://klasma.github.io/Logging_1490/tillsyn/A 55712-2021 tillsynsbegäran.docx", "A 55712-2021")</f>
        <v/>
      </c>
      <c r="AB33">
        <f>HYPERLINK("https://klasma.github.io/Logging_1490/tillsynsmail/A 55712-2021 tillsynsbegäran mail.docx", "A 55712-2021")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46221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Spillkråka
Åkergroda</t>
        </is>
      </c>
      <c r="V34">
        <f>HYPERLINK("https://klasma.github.io/Logging_1490/artfynd/A 11373-2022 artfynd.xlsx", "A 11373-2022")</f>
        <v/>
      </c>
      <c r="W34">
        <f>HYPERLINK("https://klasma.github.io/Logging_1490/kartor/A 11373-2022 karta.png", "A 11373-2022")</f>
        <v/>
      </c>
      <c r="Y34">
        <f>HYPERLINK("https://klasma.github.io/Logging_1490/klagomål/A 11373-2022 FSC-klagomål.docx", "A 11373-2022")</f>
        <v/>
      </c>
      <c r="Z34">
        <f>HYPERLINK("https://klasma.github.io/Logging_1490/klagomålsmail/A 11373-2022 FSC-klagomål mail.docx", "A 11373-2022")</f>
        <v/>
      </c>
      <c r="AA34">
        <f>HYPERLINK("https://klasma.github.io/Logging_1490/tillsyn/A 11373-2022 tillsynsbegäran.docx", "A 11373-2022")</f>
        <v/>
      </c>
      <c r="AB34">
        <f>HYPERLINK("https://klasma.github.io/Logging_1490/tillsynsmail/A 11373-2022 tillsynsbegäran mail.docx", "A 11373-2022")</f>
        <v/>
      </c>
      <c r="AC34">
        <f>HYPERLINK("https://klasma.github.io/Logging_1490/fåglar/A 11373-2022 prioriterade fågelarter.docx", "A 11373-2022")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46221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Svavelriska
Nattskärra</t>
        </is>
      </c>
      <c r="V35">
        <f>HYPERLINK("https://klasma.github.io/Logging_1490/artfynd/A 34341-2025 artfynd.xlsx", "A 34341-2025")</f>
        <v/>
      </c>
      <c r="W35">
        <f>HYPERLINK("https://klasma.github.io/Logging_1490/kartor/A 34341-2025 karta.png", "A 34341-2025")</f>
        <v/>
      </c>
      <c r="Y35">
        <f>HYPERLINK("https://klasma.github.io/Logging_1490/klagomål/A 34341-2025 FSC-klagomål.docx", "A 34341-2025")</f>
        <v/>
      </c>
      <c r="Z35">
        <f>HYPERLINK("https://klasma.github.io/Logging_1490/klagomålsmail/A 34341-2025 FSC-klagomål mail.docx", "A 34341-2025")</f>
        <v/>
      </c>
      <c r="AA35">
        <f>HYPERLINK("https://klasma.github.io/Logging_1490/tillsyn/A 34341-2025 tillsynsbegäran.docx", "A 34341-2025")</f>
        <v/>
      </c>
      <c r="AB35">
        <f>HYPERLINK("https://klasma.github.io/Logging_1490/tillsynsmail/A 34341-2025 tillsynsbegäran mail.docx", "A 34341-2025")</f>
        <v/>
      </c>
      <c r="AC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46221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Fällmossa
Guldlockmossa</t>
        </is>
      </c>
      <c r="V36">
        <f>HYPERLINK("https://klasma.github.io/Logging_1490/artfynd/A 36260-2025 artfynd.xlsx", "A 36260-2025")</f>
        <v/>
      </c>
      <c r="W36">
        <f>HYPERLINK("https://klasma.github.io/Logging_1490/kartor/A 36260-2025 karta.png", "A 36260-2025")</f>
        <v/>
      </c>
      <c r="Y36">
        <f>HYPERLINK("https://klasma.github.io/Logging_1490/klagomål/A 36260-2025 FSC-klagomål.docx", "A 36260-2025")</f>
        <v/>
      </c>
      <c r="Z36">
        <f>HYPERLINK("https://klasma.github.io/Logging_1490/klagomålsmail/A 36260-2025 FSC-klagomål mail.docx", "A 36260-2025")</f>
        <v/>
      </c>
      <c r="AA36">
        <f>HYPERLINK("https://klasma.github.io/Logging_1490/tillsyn/A 36260-2025 tillsynsbegäran.docx", "A 36260-2025")</f>
        <v/>
      </c>
      <c r="AB36">
        <f>HYPERLINK("https://klasma.github.io/Logging_1490/tillsynsmail/A 36260-2025 tillsynsbegäran mail.docx", "A 36260-2025")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46221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Lopplummer (aggregat)
Revlummer</t>
        </is>
      </c>
      <c r="V37">
        <f>HYPERLINK("https://klasma.github.io/Logging_1490/artfynd/A 32027-2023 artfynd.xlsx", "A 32027-2023")</f>
        <v/>
      </c>
      <c r="W37">
        <f>HYPERLINK("https://klasma.github.io/Logging_1490/kartor/A 32027-2023 karta.png", "A 32027-2023")</f>
        <v/>
      </c>
      <c r="Y37">
        <f>HYPERLINK("https://klasma.github.io/Logging_1490/klagomål/A 32027-2023 FSC-klagomål.docx", "A 32027-2023")</f>
        <v/>
      </c>
      <c r="Z37">
        <f>HYPERLINK("https://klasma.github.io/Logging_1490/klagomålsmail/A 32027-2023 FSC-klagomål mail.docx", "A 32027-2023")</f>
        <v/>
      </c>
      <c r="AA37">
        <f>HYPERLINK("https://klasma.github.io/Logging_1490/tillsyn/A 32027-2023 tillsynsbegäran.docx", "A 32027-2023")</f>
        <v/>
      </c>
      <c r="AB37">
        <f>HYPERLINK("https://klasma.github.io/Logging_1490/tillsynsmail/A 32027-2023 tillsynsbegäran mail.docx", "A 32027-2023")</f>
        <v/>
      </c>
    </row>
    <row r="38" ht="15" customHeight="1">
      <c r="A38" t="inlineStr">
        <is>
          <t>A 34610-2023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45140</v>
      </c>
      <c r="E38" s="1" t="n">
        <v>46221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Talltita
Kungsfågel</t>
        </is>
      </c>
      <c r="V38">
        <f>HYPERLINK("https://klasma.github.io/Logging_1490/artfynd/A 34610-2023 artfynd.xlsx", "A 34610-2023")</f>
        <v/>
      </c>
      <c r="W38">
        <f>HYPERLINK("https://klasma.github.io/Logging_1490/kartor/A 34610-2023 karta.png", "A 34610-2023")</f>
        <v/>
      </c>
      <c r="Y38">
        <f>HYPERLINK("https://klasma.github.io/Logging_1490/klagomål/A 34610-2023 FSC-klagomål.docx", "A 34610-2023")</f>
        <v/>
      </c>
      <c r="Z38">
        <f>HYPERLINK("https://klasma.github.io/Logging_1490/klagomålsmail/A 34610-2023 FSC-klagomål mail.docx", "A 34610-2023")</f>
        <v/>
      </c>
      <c r="AA38">
        <f>HYPERLINK("https://klasma.github.io/Logging_1490/tillsyn/A 34610-2023 tillsynsbegäran.docx", "A 34610-2023")</f>
        <v/>
      </c>
      <c r="AB38">
        <f>HYPERLINK("https://klasma.github.io/Logging_1490/tillsynsmail/A 34610-2023 tillsynsbegäran mail.docx", "A 34610-2023")</f>
        <v/>
      </c>
      <c r="AC38">
        <f>HYPERLINK("https://klasma.github.io/Logging_1490/fåglar/A 34610-2023 prioriterade fågelarter.docx", "A 34610-2023")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46221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Brunlångöra
Nordfladdermus</t>
        </is>
      </c>
      <c r="V39">
        <f>HYPERLINK("https://klasma.github.io/Logging_1490/artfynd/A 26833-2023 artfynd.xlsx", "A 26833-2023")</f>
        <v/>
      </c>
      <c r="W39">
        <f>HYPERLINK("https://klasma.github.io/Logging_1490/kartor/A 26833-2023 karta.png", "A 26833-2023")</f>
        <v/>
      </c>
      <c r="Y39">
        <f>HYPERLINK("https://klasma.github.io/Logging_1490/klagomål/A 26833-2023 FSC-klagomål.docx", "A 26833-2023")</f>
        <v/>
      </c>
      <c r="Z39">
        <f>HYPERLINK("https://klasma.github.io/Logging_1490/klagomålsmail/A 26833-2023 FSC-klagomål mail.docx", "A 26833-2023")</f>
        <v/>
      </c>
      <c r="AA39">
        <f>HYPERLINK("https://klasma.github.io/Logging_1490/tillsyn/A 26833-2023 tillsynsbegäran.docx", "A 26833-2023")</f>
        <v/>
      </c>
      <c r="AB39">
        <f>HYPERLINK("https://klasma.github.io/Logging_1490/tillsynsmail/A 26833-2023 tillsynsbegäran mail.docx", "A 26833-2023")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46221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Spillkråka
Tofsmes</t>
        </is>
      </c>
      <c r="V40">
        <f>HYPERLINK("https://klasma.github.io/Logging_1490/artfynd/A 12385-2024 artfynd.xlsx", "A 12385-2024")</f>
        <v/>
      </c>
      <c r="W40">
        <f>HYPERLINK("https://klasma.github.io/Logging_1490/kartor/A 12385-2024 karta.png", "A 12385-2024")</f>
        <v/>
      </c>
      <c r="Y40">
        <f>HYPERLINK("https://klasma.github.io/Logging_1490/klagomål/A 12385-2024 FSC-klagomål.docx", "A 12385-2024")</f>
        <v/>
      </c>
      <c r="Z40">
        <f>HYPERLINK("https://klasma.github.io/Logging_1490/klagomålsmail/A 12385-2024 FSC-klagomål mail.docx", "A 12385-2024")</f>
        <v/>
      </c>
      <c r="AA40">
        <f>HYPERLINK("https://klasma.github.io/Logging_1490/tillsyn/A 12385-2024 tillsynsbegäran.docx", "A 12385-2024")</f>
        <v/>
      </c>
      <c r="AB40">
        <f>HYPERLINK("https://klasma.github.io/Logging_1490/tillsynsmail/A 12385-2024 tillsynsbegäran mail.docx", "A 12385-2024")</f>
        <v/>
      </c>
      <c r="AC40">
        <f>HYPERLINK("https://klasma.github.io/Logging_1490/fåglar/A 12385-2024 prioriterade fågelarter.docx", "A 12385-2024")</f>
        <v/>
      </c>
    </row>
    <row r="41" ht="15" customHeight="1">
      <c r="A41" t="inlineStr">
        <is>
          <t>A 4362-2022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44589</v>
      </c>
      <c r="E41" s="1" t="n">
        <v>46221</v>
      </c>
      <c r="F41" t="inlineStr">
        <is>
          <t>VÄSTRA GÖTALANDS LÄN</t>
        </is>
      </c>
      <c r="G41" t="inlineStr">
        <is>
          <t>BORÅS</t>
        </is>
      </c>
      <c r="I41" t="n">
        <v>3.7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Gröngöling
Svartvit flugsnappare</t>
        </is>
      </c>
      <c r="V41">
        <f>HYPERLINK("https://klasma.github.io/Logging_1490/artfynd/A 4362-2022 artfynd.xlsx", "A 4362-2022")</f>
        <v/>
      </c>
      <c r="W41">
        <f>HYPERLINK("https://klasma.github.io/Logging_1490/kartor/A 4362-2022 karta.png", "A 4362-2022")</f>
        <v/>
      </c>
      <c r="Y41">
        <f>HYPERLINK("https://klasma.github.io/Logging_1490/klagomål/A 4362-2022 FSC-klagomål.docx", "A 4362-2022")</f>
        <v/>
      </c>
      <c r="Z41">
        <f>HYPERLINK("https://klasma.github.io/Logging_1490/klagomålsmail/A 4362-2022 FSC-klagomål mail.docx", "A 4362-2022")</f>
        <v/>
      </c>
      <c r="AA41">
        <f>HYPERLINK("https://klasma.github.io/Logging_1490/tillsyn/A 4362-2022 tillsynsbegäran.docx", "A 4362-2022")</f>
        <v/>
      </c>
      <c r="AB41">
        <f>HYPERLINK("https://klasma.github.io/Logging_1490/tillsynsmail/A 4362-2022 tillsynsbegäran mail.docx", "A 4362-2022")</f>
        <v/>
      </c>
    </row>
    <row r="42" ht="15" customHeight="1">
      <c r="A42" t="inlineStr">
        <is>
          <t>A 36545-2023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46221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Kattfotslav
Revlummer</t>
        </is>
      </c>
      <c r="V42">
        <f>HYPERLINK("https://klasma.github.io/Logging_1490/artfynd/A 36545-2023 artfynd.xlsx", "A 36545-2023")</f>
        <v/>
      </c>
      <c r="W42">
        <f>HYPERLINK("https://klasma.github.io/Logging_1490/kartor/A 36545-2023 karta.png", "A 36545-2023")</f>
        <v/>
      </c>
      <c r="Y42">
        <f>HYPERLINK("https://klasma.github.io/Logging_1490/klagomål/A 36545-2023 FSC-klagomål.docx", "A 36545-2023")</f>
        <v/>
      </c>
      <c r="Z42">
        <f>HYPERLINK("https://klasma.github.io/Logging_1490/klagomålsmail/A 36545-2023 FSC-klagomål mail.docx", "A 36545-2023")</f>
        <v/>
      </c>
      <c r="AA42">
        <f>HYPERLINK("https://klasma.github.io/Logging_1490/tillsyn/A 36545-2023 tillsynsbegäran.docx", "A 36545-2023")</f>
        <v/>
      </c>
      <c r="AB42">
        <f>HYPERLINK("https://klasma.github.io/Logging_1490/tillsynsmail/A 36545-2023 tillsynsbegäran mail.docx", "A 36545-2023")</f>
        <v/>
      </c>
    </row>
    <row r="43" ht="15" customHeight="1">
      <c r="A43" t="inlineStr">
        <is>
          <t>A 6659-2025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45700</v>
      </c>
      <c r="E43" s="1" t="n">
        <v>46221</v>
      </c>
      <c r="F43" t="inlineStr">
        <is>
          <t>VÄSTRA GÖTALANDS LÄN</t>
        </is>
      </c>
      <c r="G43" t="inlineStr">
        <is>
          <t>BORÅS</t>
        </is>
      </c>
      <c r="I43" t="n">
        <v>1.6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s="2" t="inlineStr">
        <is>
          <t>Järnsparv
Spillkråka</t>
        </is>
      </c>
      <c r="V43">
        <f>HYPERLINK("https://klasma.github.io/Logging_1490/artfynd/A 6659-2025 artfynd.xlsx", "A 6659-2025")</f>
        <v/>
      </c>
      <c r="W43">
        <f>HYPERLINK("https://klasma.github.io/Logging_1490/kartor/A 6659-2025 karta.png", "A 6659-2025")</f>
        <v/>
      </c>
      <c r="Y43">
        <f>HYPERLINK("https://klasma.github.io/Logging_1490/klagomål/A 6659-2025 FSC-klagomål.docx", "A 6659-2025")</f>
        <v/>
      </c>
      <c r="Z43">
        <f>HYPERLINK("https://klasma.github.io/Logging_1490/klagomålsmail/A 6659-2025 FSC-klagomål mail.docx", "A 6659-2025")</f>
        <v/>
      </c>
      <c r="AA43">
        <f>HYPERLINK("https://klasma.github.io/Logging_1490/tillsyn/A 6659-2025 tillsynsbegäran.docx", "A 6659-2025")</f>
        <v/>
      </c>
      <c r="AB43">
        <f>HYPERLINK("https://klasma.github.io/Logging_1490/tillsynsmail/A 6659-2025 tillsynsbegäran mail.docx", "A 6659-2025")</f>
        <v/>
      </c>
      <c r="AC43">
        <f>HYPERLINK("https://klasma.github.io/Logging_1490/fåglar/A 6659-2025 prioriterade fågelarter.docx", "A 6659-2025")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46221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s="2" t="inlineStr">
        <is>
          <t>Grönvit nattviol
Nattviol</t>
        </is>
      </c>
      <c r="V44">
        <f>HYPERLINK("https://klasma.github.io/Logging_1490/artfynd/A 36596-2023 artfynd.xlsx", "A 36596-2023")</f>
        <v/>
      </c>
      <c r="W44">
        <f>HYPERLINK("https://klasma.github.io/Logging_1490/kartor/A 36596-2023 karta.png", "A 36596-2023")</f>
        <v/>
      </c>
      <c r="Y44">
        <f>HYPERLINK("https://klasma.github.io/Logging_1490/klagomål/A 36596-2023 FSC-klagomål.docx", "A 36596-2023")</f>
        <v/>
      </c>
      <c r="Z44">
        <f>HYPERLINK("https://klasma.github.io/Logging_1490/klagomålsmail/A 36596-2023 FSC-klagomål mail.docx", "A 36596-2023")</f>
        <v/>
      </c>
      <c r="AA44">
        <f>HYPERLINK("https://klasma.github.io/Logging_1490/tillsyn/A 36596-2023 tillsynsbegäran.docx", "A 36596-2023")</f>
        <v/>
      </c>
      <c r="AB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46221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s="2" t="inlineStr">
        <is>
          <t>Spillkråka
Revlummer</t>
        </is>
      </c>
      <c r="V45">
        <f>HYPERLINK("https://klasma.github.io/Logging_1490/artfynd/A 29231-2022 artfynd.xlsx", "A 29231-2022")</f>
        <v/>
      </c>
      <c r="W45">
        <f>HYPERLINK("https://klasma.github.io/Logging_1490/kartor/A 29231-2022 karta.png", "A 29231-2022")</f>
        <v/>
      </c>
      <c r="Y45">
        <f>HYPERLINK("https://klasma.github.io/Logging_1490/klagomål/A 29231-2022 FSC-klagomål.docx", "A 29231-2022")</f>
        <v/>
      </c>
      <c r="Z45">
        <f>HYPERLINK("https://klasma.github.io/Logging_1490/klagomålsmail/A 29231-2022 FSC-klagomål mail.docx", "A 29231-2022")</f>
        <v/>
      </c>
      <c r="AA45">
        <f>HYPERLINK("https://klasma.github.io/Logging_1490/tillsyn/A 29231-2022 tillsynsbegäran.docx", "A 29231-2022")</f>
        <v/>
      </c>
      <c r="AB45">
        <f>HYPERLINK("https://klasma.github.io/Logging_1490/tillsynsmail/A 29231-2022 tillsynsbegäran mail.docx", "A 29231-2022")</f>
        <v/>
      </c>
      <c r="AC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46221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s="2" t="inlineStr">
        <is>
          <t>Skuggmossa
Blåsippa</t>
        </is>
      </c>
      <c r="V46">
        <f>HYPERLINK("https://klasma.github.io/Logging_1490/artfynd/A 64578-2023 artfynd.xlsx", "A 64578-2023")</f>
        <v/>
      </c>
      <c r="W46">
        <f>HYPERLINK("https://klasma.github.io/Logging_1490/kartor/A 64578-2023 karta.png", "A 64578-2023")</f>
        <v/>
      </c>
      <c r="Y46">
        <f>HYPERLINK("https://klasma.github.io/Logging_1490/klagomål/A 64578-2023 FSC-klagomål.docx", "A 64578-2023")</f>
        <v/>
      </c>
      <c r="Z46">
        <f>HYPERLINK("https://klasma.github.io/Logging_1490/klagomålsmail/A 64578-2023 FSC-klagomål mail.docx", "A 64578-2023")</f>
        <v/>
      </c>
      <c r="AA46">
        <f>HYPERLINK("https://klasma.github.io/Logging_1490/tillsyn/A 64578-2023 tillsynsbegäran.docx", "A 64578-2023")</f>
        <v/>
      </c>
      <c r="AB46">
        <f>HYPERLINK("https://klasma.github.io/Logging_1490/tillsynsmail/A 64578-2023 tillsynsbegäran mail.docx", "A 64578-2023")</f>
        <v/>
      </c>
    </row>
    <row r="47" ht="15" customHeight="1">
      <c r="A47" t="inlineStr">
        <is>
          <t>A 13913-2023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46221</v>
      </c>
      <c r="F47" t="inlineStr">
        <is>
          <t>VÄSTRA GÖTALANDS LÄN</t>
        </is>
      </c>
      <c r="G47" t="inlineStr">
        <is>
          <t>BORÅS</t>
        </is>
      </c>
      <c r="I47" t="n">
        <v>1.2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Gulnål
Vågbandad barkbock</t>
        </is>
      </c>
      <c r="V47">
        <f>HYPERLINK("https://klasma.github.io/Logging_1490/artfynd/A 13913-2023 artfynd.xlsx", "A 13913-2023")</f>
        <v/>
      </c>
      <c r="W47">
        <f>HYPERLINK("https://klasma.github.io/Logging_1490/kartor/A 13913-2023 karta.png", "A 13913-2023")</f>
        <v/>
      </c>
      <c r="Y47">
        <f>HYPERLINK("https://klasma.github.io/Logging_1490/klagomål/A 13913-2023 FSC-klagomål.docx", "A 13913-2023")</f>
        <v/>
      </c>
      <c r="Z47">
        <f>HYPERLINK("https://klasma.github.io/Logging_1490/klagomålsmail/A 13913-2023 FSC-klagomål mail.docx", "A 13913-2023")</f>
        <v/>
      </c>
      <c r="AA47">
        <f>HYPERLINK("https://klasma.github.io/Logging_1490/tillsyn/A 13913-2023 tillsynsbegäran.docx", "A 13913-2023")</f>
        <v/>
      </c>
      <c r="AB47">
        <f>HYPERLINK("https://klasma.github.io/Logging_1490/tillsynsmail/A 13913-2023 tillsynsbegäran mail.docx", "A 13913-2023")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46221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Talltita
Kungsfågel</t>
        </is>
      </c>
      <c r="V48">
        <f>HYPERLINK("https://klasma.github.io/Logging_1490/artfynd/A 6042-2026 artfynd.xlsx", "A 6042-2026")</f>
        <v/>
      </c>
      <c r="W48">
        <f>HYPERLINK("https://klasma.github.io/Logging_1490/kartor/A 6042-2026 karta.png", "A 6042-2026")</f>
        <v/>
      </c>
      <c r="Y48">
        <f>HYPERLINK("https://klasma.github.io/Logging_1490/klagomål/A 6042-2026 FSC-klagomål.docx", "A 6042-2026")</f>
        <v/>
      </c>
      <c r="Z48">
        <f>HYPERLINK("https://klasma.github.io/Logging_1490/klagomålsmail/A 6042-2026 FSC-klagomål mail.docx", "A 6042-2026")</f>
        <v/>
      </c>
      <c r="AA48">
        <f>HYPERLINK("https://klasma.github.io/Logging_1490/tillsyn/A 6042-2026 tillsynsbegäran.docx", "A 6042-2026")</f>
        <v/>
      </c>
      <c r="AB48">
        <f>HYPERLINK("https://klasma.github.io/Logging_1490/tillsynsmail/A 6042-2026 tillsynsbegäran mail.docx", "A 6042-2026")</f>
        <v/>
      </c>
      <c r="AC48">
        <f>HYPERLINK("https://klasma.github.io/Logging_1490/fåglar/A 6042-2026 prioriterade fågelarter.docx", "A 6042-2026")</f>
        <v/>
      </c>
    </row>
    <row r="49" ht="15" customHeight="1">
      <c r="A49" t="inlineStr">
        <is>
          <t>A 3469-2023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46221</v>
      </c>
      <c r="F49" t="inlineStr">
        <is>
          <t>VÄSTRA GÖTALANDS LÄN</t>
        </is>
      </c>
      <c r="G49" t="inlineStr">
        <is>
          <t>BORÅS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s="2" t="inlineStr">
        <is>
          <t>Ask
Fällmossa</t>
        </is>
      </c>
      <c r="V49">
        <f>HYPERLINK("https://klasma.github.io/Logging_1490/artfynd/A 3469-2023 artfynd.xlsx", "A 3469-2023")</f>
        <v/>
      </c>
      <c r="W49">
        <f>HYPERLINK("https://klasma.github.io/Logging_1490/kartor/A 3469-2023 karta.png", "A 3469-2023")</f>
        <v/>
      </c>
      <c r="Y49">
        <f>HYPERLINK("https://klasma.github.io/Logging_1490/klagomål/A 3469-2023 FSC-klagomål.docx", "A 3469-2023")</f>
        <v/>
      </c>
      <c r="Z49">
        <f>HYPERLINK("https://klasma.github.io/Logging_1490/klagomålsmail/A 3469-2023 FSC-klagomål mail.docx", "A 3469-2023")</f>
        <v/>
      </c>
      <c r="AA49">
        <f>HYPERLINK("https://klasma.github.io/Logging_1490/tillsyn/A 3469-2023 tillsynsbegäran.docx", "A 3469-2023")</f>
        <v/>
      </c>
      <c r="AB49">
        <f>HYPERLINK("https://klasma.github.io/Logging_1490/tillsynsmail/A 3469-2023 tillsynsbegäran mail.docx", "A 3469-2023")</f>
        <v/>
      </c>
    </row>
    <row r="50" ht="15" customHeight="1">
      <c r="A50" t="inlineStr">
        <is>
          <t>S 6335-2022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44873</v>
      </c>
      <c r="E50" s="1" t="n">
        <v>46221</v>
      </c>
      <c r="F50" t="inlineStr">
        <is>
          <t>VÄSTRA GÖTALANDS LÄN</t>
        </is>
      </c>
      <c r="G50" t="inlineStr">
        <is>
          <t>BORÅS</t>
        </is>
      </c>
      <c r="H50" t="inlineStr">
        <is>
          <t>Kommuner</t>
        </is>
      </c>
      <c r="I50" t="n">
        <v>14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Spillkråka
Kungsfågel</t>
        </is>
      </c>
      <c r="V50">
        <f>HYPERLINK("https://klasma.github.io/Logging_1490/artfynd/S 6335-2022 artfynd.xlsx", "S 6335-2022")</f>
        <v/>
      </c>
      <c r="W50">
        <f>HYPERLINK("https://klasma.github.io/Logging_1490/kartor/S 6335-2022 karta.png", "S 6335-2022")</f>
        <v/>
      </c>
      <c r="Y50">
        <f>HYPERLINK("https://klasma.github.io/Logging_1490/klagomål/S 6335-2022 FSC-klagomål.docx", "S 6335-2022")</f>
        <v/>
      </c>
      <c r="Z50">
        <f>HYPERLINK("https://klasma.github.io/Logging_1490/klagomålsmail/S 6335-2022 FSC-klagomål mail.docx", "S 6335-2022")</f>
        <v/>
      </c>
      <c r="AA50">
        <f>HYPERLINK("https://klasma.github.io/Logging_1490/tillsyn/S 6335-2022 tillsynsbegäran.docx", "S 6335-2022")</f>
        <v/>
      </c>
      <c r="AB50">
        <f>HYPERLINK("https://klasma.github.io/Logging_1490/tillsynsmail/S 6335-2022 tillsynsbegäran mail.docx", "S 6335-2022")</f>
        <v/>
      </c>
      <c r="AC50">
        <f>HYPERLINK("https://klasma.github.io/Logging_1490/fåglar/S 6335-2022 prioriterade fågelarter.docx", "S 6335-2022")</f>
        <v/>
      </c>
    </row>
    <row r="51" ht="15" customHeight="1">
      <c r="A51" t="inlineStr">
        <is>
          <t>S 531-2024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45348</v>
      </c>
      <c r="E51" s="1" t="n">
        <v>46221</v>
      </c>
      <c r="F51" t="inlineStr">
        <is>
          <t>VÄSTRA GÖTALANDS LÄN</t>
        </is>
      </c>
      <c r="G51" t="inlineStr">
        <is>
          <t>BORÅS</t>
        </is>
      </c>
      <c r="I51" t="n">
        <v>61.3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Spillkråka
Revlummer</t>
        </is>
      </c>
      <c r="V51">
        <f>HYPERLINK("https://klasma.github.io/Logging_1490/artfynd/S 531-2024 artfynd.xlsx", "S 531-2024")</f>
        <v/>
      </c>
      <c r="W51">
        <f>HYPERLINK("https://klasma.github.io/Logging_1490/kartor/S 531-2024 karta.png", "S 531-2024")</f>
        <v/>
      </c>
      <c r="Y51">
        <f>HYPERLINK("https://klasma.github.io/Logging_1490/klagomål/S 531-2024 FSC-klagomål.docx", "S 531-2024")</f>
        <v/>
      </c>
      <c r="Z51">
        <f>HYPERLINK("https://klasma.github.io/Logging_1490/klagomålsmail/S 531-2024 FSC-klagomål mail.docx", "S 531-2024")</f>
        <v/>
      </c>
      <c r="AA51">
        <f>HYPERLINK("https://klasma.github.io/Logging_1490/tillsyn/S 531-2024 tillsynsbegäran.docx", "S 531-2024")</f>
        <v/>
      </c>
      <c r="AB51">
        <f>HYPERLINK("https://klasma.github.io/Logging_1490/tillsynsmail/S 531-2024 tillsynsbegäran mail.docx", "S 531-2024")</f>
        <v/>
      </c>
      <c r="AC51">
        <f>HYPERLINK("https://klasma.github.io/Logging_1490/fåglar/S 531-2024 prioriterade fågelarter.docx", "S 531-2024")</f>
        <v/>
      </c>
    </row>
    <row r="52" ht="15" customHeight="1">
      <c r="A52" t="inlineStr">
        <is>
          <t>S 5249-2022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44824</v>
      </c>
      <c r="E52" s="1" t="n">
        <v>46221</v>
      </c>
      <c r="F52" t="inlineStr">
        <is>
          <t>VÄSTRA GÖTALANDS LÄN</t>
        </is>
      </c>
      <c r="G52" t="inlineStr">
        <is>
          <t>BORÅS</t>
        </is>
      </c>
      <c r="I52" t="n">
        <v>0.4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Grynig filtlav
Bårdlav</t>
        </is>
      </c>
      <c r="V52">
        <f>HYPERLINK("https://klasma.github.io/Logging_1490/artfynd/S 5249-2022 artfynd.xlsx", "S 5249-2022")</f>
        <v/>
      </c>
      <c r="W52">
        <f>HYPERLINK("https://klasma.github.io/Logging_1490/kartor/S 5249-2022 karta.png", "S 5249-2022")</f>
        <v/>
      </c>
      <c r="Y52">
        <f>HYPERLINK("https://klasma.github.io/Logging_1490/klagomål/S 5249-2022 FSC-klagomål.docx", "S 5249-2022")</f>
        <v/>
      </c>
      <c r="Z52">
        <f>HYPERLINK("https://klasma.github.io/Logging_1490/klagomålsmail/S 5249-2022 FSC-klagomål mail.docx", "S 5249-2022")</f>
        <v/>
      </c>
      <c r="AA52">
        <f>HYPERLINK("https://klasma.github.io/Logging_1490/tillsyn/S 5249-2022 tillsynsbegäran.docx", "S 5249-2022")</f>
        <v/>
      </c>
      <c r="AB52">
        <f>HYPERLINK("https://klasma.github.io/Logging_1490/tillsynsmail/S 5249-2022 tillsynsbegäran mail.docx", "S 5249-2022")</f>
        <v/>
      </c>
    </row>
    <row r="53" ht="15" customHeight="1">
      <c r="A53" t="inlineStr">
        <is>
          <t>S 2232-2025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45867</v>
      </c>
      <c r="E53" s="1" t="n">
        <v>46221</v>
      </c>
      <c r="F53" t="inlineStr">
        <is>
          <t>VÄSTRA GÖTALANDS LÄN</t>
        </is>
      </c>
      <c r="G53" t="inlineStr">
        <is>
          <t>BORÅS</t>
        </is>
      </c>
      <c r="I53" t="n">
        <v>1.3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Guldlockmossa</t>
        </is>
      </c>
      <c r="V53">
        <f>HYPERLINK("https://klasma.github.io/Logging_1490/artfynd/S 2232-2025 artfynd.xlsx", "S 2232-2025")</f>
        <v/>
      </c>
      <c r="W53">
        <f>HYPERLINK("https://klasma.github.io/Logging_1490/kartor/S 2232-2025 karta.png", "S 2232-2025")</f>
        <v/>
      </c>
      <c r="Y53">
        <f>HYPERLINK("https://klasma.github.io/Logging_1490/klagomål/S 2232-2025 FSC-klagomål.docx", "S 2232-2025")</f>
        <v/>
      </c>
      <c r="Z53">
        <f>HYPERLINK("https://klasma.github.io/Logging_1490/klagomålsmail/S 2232-2025 FSC-klagomål mail.docx", "S 2232-2025")</f>
        <v/>
      </c>
      <c r="AA53">
        <f>HYPERLINK("https://klasma.github.io/Logging_1490/tillsyn/S 2232-2025 tillsynsbegäran.docx", "S 2232-2025")</f>
        <v/>
      </c>
      <c r="AB53">
        <f>HYPERLINK("https://klasma.github.io/Logging_1490/tillsynsmail/S 2232-2025 tillsynsbegäran mail.docx", "S 2232-2025")</f>
        <v/>
      </c>
    </row>
    <row r="54" ht="15" customHeight="1">
      <c r="A54" t="inlineStr">
        <is>
          <t>A 71998-2021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46221</v>
      </c>
      <c r="F54" t="inlineStr">
        <is>
          <t>VÄSTRA GÖTALANDS LÄN</t>
        </is>
      </c>
      <c r="G54" t="inlineStr">
        <is>
          <t>BORÅS</t>
        </is>
      </c>
      <c r="I54" t="n">
        <v>0.7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Vippärt</t>
        </is>
      </c>
      <c r="V54">
        <f>HYPERLINK("https://klasma.github.io/Logging_1490/artfynd/A 71998-2021 artfynd.xlsx", "A 71998-2021")</f>
        <v/>
      </c>
      <c r="W54">
        <f>HYPERLINK("https://klasma.github.io/Logging_1490/kartor/A 71998-2021 karta.png", "A 71998-2021")</f>
        <v/>
      </c>
      <c r="Y54">
        <f>HYPERLINK("https://klasma.github.io/Logging_1490/klagomål/A 71998-2021 FSC-klagomål.docx", "A 71998-2021")</f>
        <v/>
      </c>
      <c r="Z54">
        <f>HYPERLINK("https://klasma.github.io/Logging_1490/klagomålsmail/A 71998-2021 FSC-klagomål mail.docx", "A 71998-2021")</f>
        <v/>
      </c>
      <c r="AA54">
        <f>HYPERLINK("https://klasma.github.io/Logging_1490/tillsyn/A 71998-2021 tillsynsbegäran.docx", "A 71998-2021")</f>
        <v/>
      </c>
      <c r="AB54">
        <f>HYPERLINK("https://klasma.github.io/Logging_1490/tillsynsmail/A 71998-2021 tillsynsbegäran mail.docx", "A 71998-2021")</f>
        <v/>
      </c>
    </row>
    <row r="55" ht="15" customHeight="1">
      <c r="A55" t="inlineStr">
        <is>
          <t>A 53533-2022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46221</v>
      </c>
      <c r="F55" t="inlineStr">
        <is>
          <t>VÄSTRA GÖTALANDS LÄN</t>
        </is>
      </c>
      <c r="G55" t="inlineStr">
        <is>
          <t>BORÅS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Kungsfågel</t>
        </is>
      </c>
      <c r="V55">
        <f>HYPERLINK("https://klasma.github.io/Logging_1490/artfynd/A 53533-2022 artfynd.xlsx", "A 53533-2022")</f>
        <v/>
      </c>
      <c r="W55">
        <f>HYPERLINK("https://klasma.github.io/Logging_1490/kartor/A 53533-2022 karta.png", "A 53533-2022")</f>
        <v/>
      </c>
      <c r="Y55">
        <f>HYPERLINK("https://klasma.github.io/Logging_1490/klagomål/A 53533-2022 FSC-klagomål.docx", "A 53533-2022")</f>
        <v/>
      </c>
      <c r="Z55">
        <f>HYPERLINK("https://klasma.github.io/Logging_1490/klagomålsmail/A 53533-2022 FSC-klagomål mail.docx", "A 53533-2022")</f>
        <v/>
      </c>
      <c r="AA55">
        <f>HYPERLINK("https://klasma.github.io/Logging_1490/tillsyn/A 53533-2022 tillsynsbegäran.docx", "A 53533-2022")</f>
        <v/>
      </c>
      <c r="AB55">
        <f>HYPERLINK("https://klasma.github.io/Logging_1490/tillsynsmail/A 53533-2022 tillsynsbegäran mail.docx", "A 53533-2022")</f>
        <v/>
      </c>
    </row>
    <row r="56" ht="15" customHeight="1">
      <c r="A56" t="inlineStr">
        <is>
          <t>A 4933-2023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44958</v>
      </c>
      <c r="E56" s="1" t="n">
        <v>46221</v>
      </c>
      <c r="F56" t="inlineStr">
        <is>
          <t>VÄSTRA GÖTALANDS LÄN</t>
        </is>
      </c>
      <c r="G56" t="inlineStr">
        <is>
          <t>BORÅS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Vanlig groda</t>
        </is>
      </c>
      <c r="V56">
        <f>HYPERLINK("https://klasma.github.io/Logging_1490/artfynd/A 4933-2023 artfynd.xlsx", "A 4933-2023")</f>
        <v/>
      </c>
      <c r="W56">
        <f>HYPERLINK("https://klasma.github.io/Logging_1490/kartor/A 4933-2023 karta.png", "A 4933-2023")</f>
        <v/>
      </c>
      <c r="Y56">
        <f>HYPERLINK("https://klasma.github.io/Logging_1490/klagomål/A 4933-2023 FSC-klagomål.docx", "A 4933-2023")</f>
        <v/>
      </c>
      <c r="Z56">
        <f>HYPERLINK("https://klasma.github.io/Logging_1490/klagomålsmail/A 4933-2023 FSC-klagomål mail.docx", "A 4933-2023")</f>
        <v/>
      </c>
      <c r="AA56">
        <f>HYPERLINK("https://klasma.github.io/Logging_1490/tillsyn/A 4933-2023 tillsynsbegäran.docx", "A 4933-2023")</f>
        <v/>
      </c>
      <c r="AB56">
        <f>HYPERLINK("https://klasma.github.io/Logging_1490/tillsynsmail/A 4933-2023 tillsynsbegäran mail.docx", "A 4933-2023")</f>
        <v/>
      </c>
    </row>
    <row r="57" ht="15" customHeight="1">
      <c r="A57" t="inlineStr">
        <is>
          <t>A 29911-2025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46221</v>
      </c>
      <c r="F57" t="inlineStr">
        <is>
          <t>VÄSTRA GÖTALANDS LÄN</t>
        </is>
      </c>
      <c r="G57" t="inlineStr">
        <is>
          <t>BORÅS</t>
        </is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Lönnlav</t>
        </is>
      </c>
      <c r="V57">
        <f>HYPERLINK("https://klasma.github.io/Logging_1490/artfynd/A 29911-2025 artfynd.xlsx", "A 29911-2025")</f>
        <v/>
      </c>
      <c r="W57">
        <f>HYPERLINK("https://klasma.github.io/Logging_1490/kartor/A 29911-2025 karta.png", "A 29911-2025")</f>
        <v/>
      </c>
      <c r="Y57">
        <f>HYPERLINK("https://klasma.github.io/Logging_1490/klagomål/A 29911-2025 FSC-klagomål.docx", "A 29911-2025")</f>
        <v/>
      </c>
      <c r="Z57">
        <f>HYPERLINK("https://klasma.github.io/Logging_1490/klagomålsmail/A 29911-2025 FSC-klagomål mail.docx", "A 29911-2025")</f>
        <v/>
      </c>
      <c r="AA57">
        <f>HYPERLINK("https://klasma.github.io/Logging_1490/tillsyn/A 29911-2025 tillsynsbegäran.docx", "A 29911-2025")</f>
        <v/>
      </c>
      <c r="AB57">
        <f>HYPERLINK("https://klasma.github.io/Logging_1490/tillsynsmail/A 29911-2025 tillsynsbegäran mail.docx", "A 29911-2025")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46221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Vanlig padda</t>
        </is>
      </c>
      <c r="V58">
        <f>HYPERLINK("https://klasma.github.io/Logging_1490/artfynd/A 19911-2023 artfynd.xlsx", "A 19911-2023")</f>
        <v/>
      </c>
      <c r="W58">
        <f>HYPERLINK("https://klasma.github.io/Logging_1490/kartor/A 19911-2023 karta.png", "A 19911-2023")</f>
        <v/>
      </c>
      <c r="Y58">
        <f>HYPERLINK("https://klasma.github.io/Logging_1490/klagomål/A 19911-2023 FSC-klagomål.docx", "A 19911-2023")</f>
        <v/>
      </c>
      <c r="Z58">
        <f>HYPERLINK("https://klasma.github.io/Logging_1490/klagomålsmail/A 19911-2023 FSC-klagomål mail.docx", "A 19911-2023")</f>
        <v/>
      </c>
      <c r="AA58">
        <f>HYPERLINK("https://klasma.github.io/Logging_1490/tillsyn/A 19911-2023 tillsynsbegäran.docx", "A 19911-2023")</f>
        <v/>
      </c>
      <c r="AB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46221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Spillkråka</t>
        </is>
      </c>
      <c r="V59">
        <f>HYPERLINK("https://klasma.github.io/Logging_1490/artfynd/A 29145-2022 artfynd.xlsx", "A 29145-2022")</f>
        <v/>
      </c>
      <c r="W59">
        <f>HYPERLINK("https://klasma.github.io/Logging_1490/kartor/A 29145-2022 karta.png", "A 29145-2022")</f>
        <v/>
      </c>
      <c r="Y59">
        <f>HYPERLINK("https://klasma.github.io/Logging_1490/klagomål/A 29145-2022 FSC-klagomål.docx", "A 29145-2022")</f>
        <v/>
      </c>
      <c r="Z59">
        <f>HYPERLINK("https://klasma.github.io/Logging_1490/klagomålsmail/A 29145-2022 FSC-klagomål mail.docx", "A 29145-2022")</f>
        <v/>
      </c>
      <c r="AA59">
        <f>HYPERLINK("https://klasma.github.io/Logging_1490/tillsyn/A 29145-2022 tillsynsbegäran.docx", "A 29145-2022")</f>
        <v/>
      </c>
      <c r="AB59">
        <f>HYPERLINK("https://klasma.github.io/Logging_1490/tillsynsmail/A 29145-2022 tillsynsbegäran mail.docx", "A 29145-2022")</f>
        <v/>
      </c>
      <c r="AC59">
        <f>HYPERLINK("https://klasma.github.io/Logging_1490/fåglar/A 29145-2022 prioriterade fågelarter.docx", "A 29145-2022")</f>
        <v/>
      </c>
    </row>
    <row r="60" ht="15" customHeight="1">
      <c r="A60" t="inlineStr">
        <is>
          <t>A 33724-2025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45841</v>
      </c>
      <c r="E60" s="1" t="n">
        <v>46221</v>
      </c>
      <c r="F60" t="inlineStr">
        <is>
          <t>VÄSTRA GÖTALANDS LÄN</t>
        </is>
      </c>
      <c r="G60" t="inlineStr">
        <is>
          <t>BORÅS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Vanlig padda</t>
        </is>
      </c>
      <c r="V60">
        <f>HYPERLINK("https://klasma.github.io/Logging_1490/artfynd/A 33724-2025 artfynd.xlsx", "A 33724-2025")</f>
        <v/>
      </c>
      <c r="W60">
        <f>HYPERLINK("https://klasma.github.io/Logging_1490/kartor/A 33724-2025 karta.png", "A 33724-2025")</f>
        <v/>
      </c>
      <c r="Y60">
        <f>HYPERLINK("https://klasma.github.io/Logging_1490/klagomål/A 33724-2025 FSC-klagomål.docx", "A 33724-2025")</f>
        <v/>
      </c>
      <c r="Z60">
        <f>HYPERLINK("https://klasma.github.io/Logging_1490/klagomålsmail/A 33724-2025 FSC-klagomål mail.docx", "A 33724-2025")</f>
        <v/>
      </c>
      <c r="AA60">
        <f>HYPERLINK("https://klasma.github.io/Logging_1490/tillsyn/A 33724-2025 tillsynsbegäran.docx", "A 33724-2025")</f>
        <v/>
      </c>
      <c r="AB60">
        <f>HYPERLINK("https://klasma.github.io/Logging_1490/tillsynsmail/A 33724-2025 tillsynsbegäran mail.docx", "A 33724-2025")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46221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Brandticka</t>
        </is>
      </c>
      <c r="V61">
        <f>HYPERLINK("https://klasma.github.io/Logging_1490/artfynd/A 50068-2025 artfynd.xlsx", "A 50068-2025")</f>
        <v/>
      </c>
      <c r="W61">
        <f>HYPERLINK("https://klasma.github.io/Logging_1490/kartor/A 50068-2025 karta.png", "A 50068-2025")</f>
        <v/>
      </c>
      <c r="Y61">
        <f>HYPERLINK("https://klasma.github.io/Logging_1490/klagomål/A 50068-2025 FSC-klagomål.docx", "A 50068-2025")</f>
        <v/>
      </c>
      <c r="Z61">
        <f>HYPERLINK("https://klasma.github.io/Logging_1490/klagomålsmail/A 50068-2025 FSC-klagomål mail.docx", "A 50068-2025")</f>
        <v/>
      </c>
      <c r="AA61">
        <f>HYPERLINK("https://klasma.github.io/Logging_1490/tillsyn/A 50068-2025 tillsynsbegäran.docx", "A 50068-2025")</f>
        <v/>
      </c>
      <c r="AB61">
        <f>HYPERLINK("https://klasma.github.io/Logging_1490/tillsynsmail/A 50068-2025 tillsynsbegäran mail.docx", "A 50068-2025")</f>
        <v/>
      </c>
    </row>
    <row r="62" ht="15" customHeight="1">
      <c r="A62" t="inlineStr">
        <is>
          <t>A 62162-2023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45267</v>
      </c>
      <c r="E62" s="1" t="n">
        <v>46221</v>
      </c>
      <c r="F62" t="inlineStr">
        <is>
          <t>VÄSTRA GÖTALANDS LÄN</t>
        </is>
      </c>
      <c r="G62" t="inlineStr">
        <is>
          <t>BORÅS</t>
        </is>
      </c>
      <c r="I62" t="n">
        <v>2.2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Gulsparv</t>
        </is>
      </c>
      <c r="V62">
        <f>HYPERLINK("https://klasma.github.io/Logging_1490/artfynd/A 62162-2023 artfynd.xlsx", "A 62162-2023")</f>
        <v/>
      </c>
      <c r="W62">
        <f>HYPERLINK("https://klasma.github.io/Logging_1490/kartor/A 62162-2023 karta.png", "A 62162-2023")</f>
        <v/>
      </c>
      <c r="Y62">
        <f>HYPERLINK("https://klasma.github.io/Logging_1490/klagomål/A 62162-2023 FSC-klagomål.docx", "A 62162-2023")</f>
        <v/>
      </c>
      <c r="Z62">
        <f>HYPERLINK("https://klasma.github.io/Logging_1490/klagomålsmail/A 62162-2023 FSC-klagomål mail.docx", "A 62162-2023")</f>
        <v/>
      </c>
      <c r="AA62">
        <f>HYPERLINK("https://klasma.github.io/Logging_1490/tillsyn/A 62162-2023 tillsynsbegäran.docx", "A 62162-2023")</f>
        <v/>
      </c>
      <c r="AB62">
        <f>HYPERLINK("https://klasma.github.io/Logging_1490/tillsynsmail/A 62162-2023 tillsynsbegäran mail.docx", "A 62162-2023")</f>
        <v/>
      </c>
      <c r="AC62">
        <f>HYPERLINK("https://klasma.github.io/Logging_1490/fåglar/A 62162-2023 prioriterade fågelarter.docx", "A 62162-2023")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46221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Mindre hackspett</t>
        </is>
      </c>
      <c r="V63">
        <f>HYPERLINK("https://klasma.github.io/Logging_1490/artfynd/A 62645-2025 artfynd.xlsx", "A 62645-2025")</f>
        <v/>
      </c>
      <c r="W63">
        <f>HYPERLINK("https://klasma.github.io/Logging_1490/kartor/A 62645-2025 karta.png", "A 62645-2025")</f>
        <v/>
      </c>
      <c r="Y63">
        <f>HYPERLINK("https://klasma.github.io/Logging_1490/klagomål/A 62645-2025 FSC-klagomål.docx", "A 62645-2025")</f>
        <v/>
      </c>
      <c r="Z63">
        <f>HYPERLINK("https://klasma.github.io/Logging_1490/klagomålsmail/A 62645-2025 FSC-klagomål mail.docx", "A 62645-2025")</f>
        <v/>
      </c>
      <c r="AA63">
        <f>HYPERLINK("https://klasma.github.io/Logging_1490/tillsyn/A 62645-2025 tillsynsbegäran.docx", "A 62645-2025")</f>
        <v/>
      </c>
      <c r="AB63">
        <f>HYPERLINK("https://klasma.github.io/Logging_1490/tillsynsmail/A 62645-2025 tillsynsbegäran mail.docx", "A 62645-2025")</f>
        <v/>
      </c>
      <c r="AC63">
        <f>HYPERLINK("https://klasma.github.io/Logging_1490/fåglar/A 62645-2025 prioriterade fågelarter.docx", "A 62645-2025")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46221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s="2" t="inlineStr">
        <is>
          <t>Hasselmus</t>
        </is>
      </c>
      <c r="V64">
        <f>HYPERLINK("https://klasma.github.io/Logging_1490/artfynd/A 3719-2024 artfynd.xlsx", "A 3719-2024")</f>
        <v/>
      </c>
      <c r="W64">
        <f>HYPERLINK("https://klasma.github.io/Logging_1490/kartor/A 3719-2024 karta.png", "A 3719-2024")</f>
        <v/>
      </c>
      <c r="Y64">
        <f>HYPERLINK("https://klasma.github.io/Logging_1490/klagomål/A 3719-2024 FSC-klagomål.docx", "A 3719-2024")</f>
        <v/>
      </c>
      <c r="Z64">
        <f>HYPERLINK("https://klasma.github.io/Logging_1490/klagomålsmail/A 3719-2024 FSC-klagomål mail.docx", "A 3719-2024")</f>
        <v/>
      </c>
      <c r="AA64">
        <f>HYPERLINK("https://klasma.github.io/Logging_1490/tillsyn/A 3719-2024 tillsynsbegäran.docx", "A 3719-2024")</f>
        <v/>
      </c>
      <c r="AB64">
        <f>HYPERLINK("https://klasma.github.io/Logging_1490/tillsynsmail/A 3719-2024 tillsynsbegäran mail.docx", "A 3719-2024")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46221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Svinrot</t>
        </is>
      </c>
      <c r="V65">
        <f>HYPERLINK("https://klasma.github.io/Logging_1490/artfynd/A 33140-2023 artfynd.xlsx", "A 33140-2023")</f>
        <v/>
      </c>
      <c r="W65">
        <f>HYPERLINK("https://klasma.github.io/Logging_1490/kartor/A 33140-2023 karta.png", "A 33140-2023")</f>
        <v/>
      </c>
      <c r="Y65">
        <f>HYPERLINK("https://klasma.github.io/Logging_1490/klagomål/A 33140-2023 FSC-klagomål.docx", "A 33140-2023")</f>
        <v/>
      </c>
      <c r="Z65">
        <f>HYPERLINK("https://klasma.github.io/Logging_1490/klagomålsmail/A 33140-2023 FSC-klagomål mail.docx", "A 33140-2023")</f>
        <v/>
      </c>
      <c r="AA65">
        <f>HYPERLINK("https://klasma.github.io/Logging_1490/tillsyn/A 33140-2023 tillsynsbegäran.docx", "A 33140-2023")</f>
        <v/>
      </c>
      <c r="AB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46221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Vågbandad barkbock</t>
        </is>
      </c>
      <c r="V66">
        <f>HYPERLINK("https://klasma.github.io/Logging_1490/artfynd/A 3772-2024 artfynd.xlsx", "A 3772-2024")</f>
        <v/>
      </c>
      <c r="W66">
        <f>HYPERLINK("https://klasma.github.io/Logging_1490/kartor/A 3772-2024 karta.png", "A 3772-2024")</f>
        <v/>
      </c>
      <c r="Y66">
        <f>HYPERLINK("https://klasma.github.io/Logging_1490/klagomål/A 3772-2024 FSC-klagomål.docx", "A 3772-2024")</f>
        <v/>
      </c>
      <c r="Z66">
        <f>HYPERLINK("https://klasma.github.io/Logging_1490/klagomålsmail/A 3772-2024 FSC-klagomål mail.docx", "A 3772-2024")</f>
        <v/>
      </c>
      <c r="AA66">
        <f>HYPERLINK("https://klasma.github.io/Logging_1490/tillsyn/A 3772-2024 tillsynsbegäran.docx", "A 3772-2024")</f>
        <v/>
      </c>
      <c r="AB66">
        <f>HYPERLINK("https://klasma.github.io/Logging_1490/tillsynsmail/A 3772-2024 tillsynsbegäran mail.docx", "A 3772-2024")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46221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Kungsfågel</t>
        </is>
      </c>
      <c r="V67">
        <f>HYPERLINK("https://klasma.github.io/Logging_1490/artfynd/A 1922-2025 artfynd.xlsx", "A 1922-2025")</f>
        <v/>
      </c>
      <c r="W67">
        <f>HYPERLINK("https://klasma.github.io/Logging_1490/kartor/A 1922-2025 karta.png", "A 1922-2025")</f>
        <v/>
      </c>
      <c r="Y67">
        <f>HYPERLINK("https://klasma.github.io/Logging_1490/klagomål/A 1922-2025 FSC-klagomål.docx", "A 1922-2025")</f>
        <v/>
      </c>
      <c r="Z67">
        <f>HYPERLINK("https://klasma.github.io/Logging_1490/klagomålsmail/A 1922-2025 FSC-klagomål mail.docx", "A 1922-2025")</f>
        <v/>
      </c>
      <c r="AA67">
        <f>HYPERLINK("https://klasma.github.io/Logging_1490/tillsyn/A 1922-2025 tillsynsbegäran.docx", "A 1922-2025")</f>
        <v/>
      </c>
      <c r="AB67">
        <f>HYPERLINK("https://klasma.github.io/Logging_1490/tillsynsmail/A 1922-2025 tillsynsbegäran mail.docx", "A 1922-2025")</f>
        <v/>
      </c>
    </row>
    <row r="68" ht="15" customHeight="1">
      <c r="A68" t="inlineStr">
        <is>
          <t>A 3760-2024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46221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6.8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Kråka</t>
        </is>
      </c>
      <c r="V68">
        <f>HYPERLINK("https://klasma.github.io/Logging_1490/artfynd/A 3760-2024 artfynd.xlsx", "A 3760-2024")</f>
        <v/>
      </c>
      <c r="W68">
        <f>HYPERLINK("https://klasma.github.io/Logging_1490/kartor/A 3760-2024 karta.png", "A 3760-2024")</f>
        <v/>
      </c>
      <c r="Y68">
        <f>HYPERLINK("https://klasma.github.io/Logging_1490/klagomål/A 3760-2024 FSC-klagomål.docx", "A 3760-2024")</f>
        <v/>
      </c>
      <c r="Z68">
        <f>HYPERLINK("https://klasma.github.io/Logging_1490/klagomålsmail/A 3760-2024 FSC-klagomål mail.docx", "A 3760-2024")</f>
        <v/>
      </c>
      <c r="AA68">
        <f>HYPERLINK("https://klasma.github.io/Logging_1490/tillsyn/A 3760-2024 tillsynsbegäran.docx", "A 3760-2024")</f>
        <v/>
      </c>
      <c r="AB68">
        <f>HYPERLINK("https://klasma.github.io/Logging_1490/tillsynsmail/A 3760-2024 tillsynsbegäran mail.docx", "A 3760-2024")</f>
        <v/>
      </c>
    </row>
    <row r="69" ht="15" customHeight="1">
      <c r="A69" t="inlineStr">
        <is>
          <t>A 57175-2023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45240</v>
      </c>
      <c r="E69" s="1" t="n">
        <v>46221</v>
      </c>
      <c r="F69" t="inlineStr">
        <is>
          <t>VÄSTRA GÖTALANDS LÄN</t>
        </is>
      </c>
      <c r="G69" t="inlineStr">
        <is>
          <t>BORÅS</t>
        </is>
      </c>
      <c r="I69" t="n">
        <v>1.7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Läderlappslav</t>
        </is>
      </c>
      <c r="V69">
        <f>HYPERLINK("https://klasma.github.io/Logging_1490/artfynd/A 57175-2023 artfynd.xlsx", "A 57175-2023")</f>
        <v/>
      </c>
      <c r="W69">
        <f>HYPERLINK("https://klasma.github.io/Logging_1490/kartor/A 57175-2023 karta.png", "A 57175-2023")</f>
        <v/>
      </c>
      <c r="Y69">
        <f>HYPERLINK("https://klasma.github.io/Logging_1490/klagomål/A 57175-2023 FSC-klagomål.docx", "A 57175-2023")</f>
        <v/>
      </c>
      <c r="Z69">
        <f>HYPERLINK("https://klasma.github.io/Logging_1490/klagomålsmail/A 57175-2023 FSC-klagomål mail.docx", "A 57175-2023")</f>
        <v/>
      </c>
      <c r="AA69">
        <f>HYPERLINK("https://klasma.github.io/Logging_1490/tillsyn/A 57175-2023 tillsynsbegäran.docx", "A 57175-2023")</f>
        <v/>
      </c>
      <c r="AB69">
        <f>HYPERLINK("https://klasma.github.io/Logging_1490/tillsynsmail/A 57175-2023 tillsynsbegäran mail.docx", "A 57175-2023")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46221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Fällmossa</t>
        </is>
      </c>
      <c r="V70">
        <f>HYPERLINK("https://klasma.github.io/Logging_1490/artfynd/A 61684-2023 artfynd.xlsx", "A 61684-2023")</f>
        <v/>
      </c>
      <c r="W70">
        <f>HYPERLINK("https://klasma.github.io/Logging_1490/kartor/A 61684-2023 karta.png", "A 61684-2023")</f>
        <v/>
      </c>
      <c r="Y70">
        <f>HYPERLINK("https://klasma.github.io/Logging_1490/klagomål/A 61684-2023 FSC-klagomål.docx", "A 61684-2023")</f>
        <v/>
      </c>
      <c r="Z70">
        <f>HYPERLINK("https://klasma.github.io/Logging_1490/klagomålsmail/A 61684-2023 FSC-klagomål mail.docx", "A 61684-2023")</f>
        <v/>
      </c>
      <c r="AA70">
        <f>HYPERLINK("https://klasma.github.io/Logging_1490/tillsyn/A 61684-2023 tillsynsbegäran.docx", "A 61684-2023")</f>
        <v/>
      </c>
      <c r="AB70">
        <f>HYPERLINK("https://klasma.github.io/Logging_1490/tillsynsmail/A 61684-2023 tillsynsbegäran mail.docx", "A 61684-2023")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46221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Blåmossa</t>
        </is>
      </c>
      <c r="V71">
        <f>HYPERLINK("https://klasma.github.io/Logging_1490/artfynd/A 29499-2026 artfynd.xlsx", "A 29499-2026")</f>
        <v/>
      </c>
      <c r="W71">
        <f>HYPERLINK("https://klasma.github.io/Logging_1490/kartor/A 29499-2026 karta.png", "A 29499-2026")</f>
        <v/>
      </c>
      <c r="Y71">
        <f>HYPERLINK("https://klasma.github.io/Logging_1490/klagomål/A 29499-2026 FSC-klagomål.docx", "A 29499-2026")</f>
        <v/>
      </c>
      <c r="Z71">
        <f>HYPERLINK("https://klasma.github.io/Logging_1490/klagomålsmail/A 29499-2026 FSC-klagomål mail.docx", "A 29499-2026")</f>
        <v/>
      </c>
      <c r="AA71">
        <f>HYPERLINK("https://klasma.github.io/Logging_1490/tillsyn/A 29499-2026 tillsynsbegäran.docx", "A 29499-2026")</f>
        <v/>
      </c>
      <c r="AB71">
        <f>HYPERLINK("https://klasma.github.io/Logging_1490/tillsynsmail/A 29499-2026 tillsynsbegäran mail.docx", "A 29499-2026")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46221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Springkorn</t>
        </is>
      </c>
      <c r="V72">
        <f>HYPERLINK("https://klasma.github.io/Logging_1490/artfynd/A 60816-2023 artfynd.xlsx", "A 60816-2023")</f>
        <v/>
      </c>
      <c r="W72">
        <f>HYPERLINK("https://klasma.github.io/Logging_1490/kartor/A 60816-2023 karta.png", "A 60816-2023")</f>
        <v/>
      </c>
      <c r="Y72">
        <f>HYPERLINK("https://klasma.github.io/Logging_1490/klagomål/A 60816-2023 FSC-klagomål.docx", "A 60816-2023")</f>
        <v/>
      </c>
      <c r="Z72">
        <f>HYPERLINK("https://klasma.github.io/Logging_1490/klagomålsmail/A 60816-2023 FSC-klagomål mail.docx", "A 60816-2023")</f>
        <v/>
      </c>
      <c r="AA72">
        <f>HYPERLINK("https://klasma.github.io/Logging_1490/tillsyn/A 60816-2023 tillsynsbegäran.docx", "A 60816-2023")</f>
        <v/>
      </c>
      <c r="AB72">
        <f>HYPERLINK("https://klasma.github.io/Logging_1490/tillsynsmail/A 60816-2023 tillsynsbegäran mail.docx", "A 60816-2023")</f>
        <v/>
      </c>
    </row>
    <row r="73" ht="15" customHeight="1">
      <c r="A73" t="inlineStr">
        <is>
          <t>A 31980-2024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46221</v>
      </c>
      <c r="F73" t="inlineStr">
        <is>
          <t>VÄSTRA GÖTALANDS LÄN</t>
        </is>
      </c>
      <c r="G73" t="inlineStr">
        <is>
          <t>BORÅS</t>
        </is>
      </c>
      <c r="I73" t="n">
        <v>2.8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Lopplummer (aggregat)</t>
        </is>
      </c>
      <c r="V73">
        <f>HYPERLINK("https://klasma.github.io/Logging_1490/artfynd/A 31980-2024 artfynd.xlsx", "A 31980-2024")</f>
        <v/>
      </c>
      <c r="W73">
        <f>HYPERLINK("https://klasma.github.io/Logging_1490/kartor/A 31980-2024 karta.png", "A 31980-2024")</f>
        <v/>
      </c>
      <c r="Y73">
        <f>HYPERLINK("https://klasma.github.io/Logging_1490/klagomål/A 31980-2024 FSC-klagomål.docx", "A 31980-2024")</f>
        <v/>
      </c>
      <c r="Z73">
        <f>HYPERLINK("https://klasma.github.io/Logging_1490/klagomålsmail/A 31980-2024 FSC-klagomål mail.docx", "A 31980-2024")</f>
        <v/>
      </c>
      <c r="AA73">
        <f>HYPERLINK("https://klasma.github.io/Logging_1490/tillsyn/A 31980-2024 tillsynsbegäran.docx", "A 31980-2024")</f>
        <v/>
      </c>
      <c r="AB73">
        <f>HYPERLINK("https://klasma.github.io/Logging_1490/tillsynsmail/A 31980-2024 tillsynsbegäran mail.docx", "A 31980-2024")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46221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Järnsparv</t>
        </is>
      </c>
      <c r="V74">
        <f>HYPERLINK("https://klasma.github.io/Logging_1490/artfynd/A 27342-2022 artfynd.xlsx", "A 27342-2022")</f>
        <v/>
      </c>
      <c r="W74">
        <f>HYPERLINK("https://klasma.github.io/Logging_1490/kartor/A 27342-2022 karta.png", "A 27342-2022")</f>
        <v/>
      </c>
      <c r="Y74">
        <f>HYPERLINK("https://klasma.github.io/Logging_1490/klagomål/A 27342-2022 FSC-klagomål.docx", "A 27342-2022")</f>
        <v/>
      </c>
      <c r="Z74">
        <f>HYPERLINK("https://klasma.github.io/Logging_1490/klagomålsmail/A 27342-2022 FSC-klagomål mail.docx", "A 27342-2022")</f>
        <v/>
      </c>
      <c r="AA74">
        <f>HYPERLINK("https://klasma.github.io/Logging_1490/tillsyn/A 27342-2022 tillsynsbegäran.docx", "A 27342-2022")</f>
        <v/>
      </c>
      <c r="AB74">
        <f>HYPERLINK("https://klasma.github.io/Logging_1490/tillsynsmail/A 27342-2022 tillsynsbegäran mail.docx", "A 27342-2022")</f>
        <v/>
      </c>
      <c r="AC74">
        <f>HYPERLINK("https://klasma.github.io/Logging_1490/fåglar/A 27342-2022 prioriterade fågelarter.docx", "A 27342-2022")</f>
        <v/>
      </c>
    </row>
    <row r="75" ht="15" customHeight="1">
      <c r="A75" t="inlineStr">
        <is>
          <t>A 4358-2025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45686</v>
      </c>
      <c r="E75" s="1" t="n">
        <v>46221</v>
      </c>
      <c r="F75" t="inlineStr">
        <is>
          <t>VÄSTRA GÖTALANDS LÄN</t>
        </is>
      </c>
      <c r="G75" t="inlineStr">
        <is>
          <t>BORÅS</t>
        </is>
      </c>
      <c r="H75" t="inlineStr">
        <is>
          <t>Sveaskog</t>
        </is>
      </c>
      <c r="I75" t="n">
        <v>4.7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HYPERLINK("https://klasma.github.io/Logging_1490/artfynd/A 4358-2025 artfynd.xlsx", "A 4358-2025")</f>
        <v/>
      </c>
      <c r="W75">
        <f>HYPERLINK("https://klasma.github.io/Logging_1490/kartor/A 4358-2025 karta.png", "A 4358-2025")</f>
        <v/>
      </c>
      <c r="Y75">
        <f>HYPERLINK("https://klasma.github.io/Logging_1490/klagomål/A 4358-2025 FSC-klagomål.docx", "A 4358-2025")</f>
        <v/>
      </c>
      <c r="Z75">
        <f>HYPERLINK("https://klasma.github.io/Logging_1490/klagomålsmail/A 4358-2025 FSC-klagomål mail.docx", "A 4358-2025")</f>
        <v/>
      </c>
      <c r="AA75">
        <f>HYPERLINK("https://klasma.github.io/Logging_1490/tillsyn/A 4358-2025 tillsynsbegäran.docx", "A 4358-2025")</f>
        <v/>
      </c>
      <c r="AB75">
        <f>HYPERLINK("https://klasma.github.io/Logging_1490/tillsynsmail/A 4358-2025 tillsynsbegäran mail.docx", "A 4358-2025")</f>
        <v/>
      </c>
      <c r="AC75">
        <f>HYPERLINK("https://klasma.github.io/Logging_1490/fåglar/A 4358-2025 prioriterade fågelarter.docx", "A 4358-2025")</f>
        <v/>
      </c>
    </row>
    <row r="76" ht="15" customHeight="1">
      <c r="A76" t="inlineStr">
        <is>
          <t>A 57439-2024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46221</v>
      </c>
      <c r="F76" t="inlineStr">
        <is>
          <t>VÄSTRA GÖTALANDS LÄN</t>
        </is>
      </c>
      <c r="G76" t="inlineStr">
        <is>
          <t>BORÅS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Tofsmes</t>
        </is>
      </c>
      <c r="V76">
        <f>HYPERLINK("https://klasma.github.io/Logging_1490/artfynd/A 57439-2024 artfynd.xlsx", "A 57439-2024")</f>
        <v/>
      </c>
      <c r="W76">
        <f>HYPERLINK("https://klasma.github.io/Logging_1490/kartor/A 57439-2024 karta.png", "A 57439-2024")</f>
        <v/>
      </c>
      <c r="Y76">
        <f>HYPERLINK("https://klasma.github.io/Logging_1490/klagomål/A 57439-2024 FSC-klagomål.docx", "A 57439-2024")</f>
        <v/>
      </c>
      <c r="Z76">
        <f>HYPERLINK("https://klasma.github.io/Logging_1490/klagomålsmail/A 57439-2024 FSC-klagomål mail.docx", "A 57439-2024")</f>
        <v/>
      </c>
      <c r="AA76">
        <f>HYPERLINK("https://klasma.github.io/Logging_1490/tillsyn/A 57439-2024 tillsynsbegäran.docx", "A 57439-2024")</f>
        <v/>
      </c>
      <c r="AB76">
        <f>HYPERLINK("https://klasma.github.io/Logging_1490/tillsynsmail/A 57439-2024 tillsynsbegäran mail.docx", "A 57439-2024")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46221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Gulsparv</t>
        </is>
      </c>
      <c r="V77">
        <f>HYPERLINK("https://klasma.github.io/Logging_1490/artfynd/A 23756-2025 artfynd.xlsx", "A 23756-2025")</f>
        <v/>
      </c>
      <c r="W77">
        <f>HYPERLINK("https://klasma.github.io/Logging_1490/kartor/A 23756-2025 karta.png", "A 23756-2025")</f>
        <v/>
      </c>
      <c r="Y77">
        <f>HYPERLINK("https://klasma.github.io/Logging_1490/klagomål/A 23756-2025 FSC-klagomål.docx", "A 23756-2025")</f>
        <v/>
      </c>
      <c r="Z77">
        <f>HYPERLINK("https://klasma.github.io/Logging_1490/klagomålsmail/A 23756-2025 FSC-klagomål mail.docx", "A 23756-2025")</f>
        <v/>
      </c>
      <c r="AA77">
        <f>HYPERLINK("https://klasma.github.io/Logging_1490/tillsyn/A 23756-2025 tillsynsbegäran.docx", "A 23756-2025")</f>
        <v/>
      </c>
      <c r="AB77">
        <f>HYPERLINK("https://klasma.github.io/Logging_1490/tillsynsmail/A 23756-2025 tillsynsbegäran mail.docx", "A 23756-2025")</f>
        <v/>
      </c>
      <c r="AC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46221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Vanlig groda</t>
        </is>
      </c>
      <c r="V78">
        <f>HYPERLINK("https://klasma.github.io/Logging_1490/artfynd/A 23755-2025 artfynd.xlsx", "A 23755-2025")</f>
        <v/>
      </c>
      <c r="W78">
        <f>HYPERLINK("https://klasma.github.io/Logging_1490/kartor/A 23755-2025 karta.png", "A 23755-2025")</f>
        <v/>
      </c>
      <c r="Y78">
        <f>HYPERLINK("https://klasma.github.io/Logging_1490/klagomål/A 23755-2025 FSC-klagomål.docx", "A 23755-2025")</f>
        <v/>
      </c>
      <c r="Z78">
        <f>HYPERLINK("https://klasma.github.io/Logging_1490/klagomålsmail/A 23755-2025 FSC-klagomål mail.docx", "A 23755-2025")</f>
        <v/>
      </c>
      <c r="AA78">
        <f>HYPERLINK("https://klasma.github.io/Logging_1490/tillsyn/A 23755-2025 tillsynsbegäran.docx", "A 23755-2025")</f>
        <v/>
      </c>
      <c r="AB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46221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Kungsfågel</t>
        </is>
      </c>
      <c r="V79">
        <f>HYPERLINK("https://klasma.github.io/Logging_1490/artfynd/S 6334-2022 artfynd.xlsx", "S 6334-2022")</f>
        <v/>
      </c>
      <c r="W79">
        <f>HYPERLINK("https://klasma.github.io/Logging_1490/kartor/S 6334-2022 karta.png", "S 6334-2022")</f>
        <v/>
      </c>
      <c r="Y79">
        <f>HYPERLINK("https://klasma.github.io/Logging_1490/klagomål/S 6334-2022 FSC-klagomål.docx", "S 6334-2022")</f>
        <v/>
      </c>
      <c r="Z79">
        <f>HYPERLINK("https://klasma.github.io/Logging_1490/klagomålsmail/S 6334-2022 FSC-klagomål mail.docx", "S 6334-2022")</f>
        <v/>
      </c>
      <c r="AA79">
        <f>HYPERLINK("https://klasma.github.io/Logging_1490/tillsyn/S 6334-2022 tillsynsbegäran.docx", "S 6334-2022")</f>
        <v/>
      </c>
      <c r="AB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46221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Ask</t>
        </is>
      </c>
      <c r="V80">
        <f>HYPERLINK("https://klasma.github.io/Logging_1490/artfynd/S 100-2025 artfynd.xlsx", "S 100-2025")</f>
        <v/>
      </c>
      <c r="W80">
        <f>HYPERLINK("https://klasma.github.io/Logging_1490/kartor/S 100-2025 karta.png", "S 100-2025")</f>
        <v/>
      </c>
      <c r="Y80">
        <f>HYPERLINK("https://klasma.github.io/Logging_1490/klagomål/S 100-2025 FSC-klagomål.docx", "S 100-2025")</f>
        <v/>
      </c>
      <c r="Z80">
        <f>HYPERLINK("https://klasma.github.io/Logging_1490/klagomålsmail/S 100-2025 FSC-klagomål mail.docx", "S 100-2025")</f>
        <v/>
      </c>
      <c r="AA80">
        <f>HYPERLINK("https://klasma.github.io/Logging_1490/tillsyn/S 100-2025 tillsynsbegäran.docx", "S 100-2025")</f>
        <v/>
      </c>
      <c r="AB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46221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Mindre vattensalamander</t>
        </is>
      </c>
      <c r="V81">
        <f>HYPERLINK("https://klasma.github.io/Logging_1490/artfynd/S 825-2026 artfynd.xlsx", "S 825-2026")</f>
        <v/>
      </c>
      <c r="W81">
        <f>HYPERLINK("https://klasma.github.io/Logging_1490/kartor/S 825-2026 karta.png", "S 825-2026")</f>
        <v/>
      </c>
      <c r="Y81">
        <f>HYPERLINK("https://klasma.github.io/Logging_1490/klagomål/S 825-2026 FSC-klagomål.docx", "S 825-2026")</f>
        <v/>
      </c>
      <c r="Z81">
        <f>HYPERLINK("https://klasma.github.io/Logging_1490/klagomålsmail/S 825-2026 FSC-klagomål mail.docx", "S 825-2026")</f>
        <v/>
      </c>
      <c r="AA81">
        <f>HYPERLINK("https://klasma.github.io/Logging_1490/tillsyn/S 825-2026 tillsynsbegäran.docx", "S 825-2026")</f>
        <v/>
      </c>
      <c r="AB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46221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46221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46221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44586</v>
      </c>
      <c r="E85" s="1" t="n">
        <v>46221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46221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46221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46221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46221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17976-2022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44683</v>
      </c>
      <c r="E90" s="1" t="n">
        <v>46221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Kyrkan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72137-2021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46221</v>
      </c>
      <c r="F91" t="inlineStr">
        <is>
          <t>VÄSTRA GÖTALANDS LÄN</t>
        </is>
      </c>
      <c r="G91" t="inlineStr">
        <is>
          <t>BORÅS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45247-2021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46221</v>
      </c>
      <c r="F92" t="inlineStr">
        <is>
          <t>VÄSTRA GÖTALANDS LÄN</t>
        </is>
      </c>
      <c r="G92" t="inlineStr">
        <is>
          <t>BORÅS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58405-2021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46221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46221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46221</v>
      </c>
      <c r="F95" t="inlineStr">
        <is>
          <t>VÄSTRA GÖTALANDS LÄN</t>
        </is>
      </c>
      <c r="G95" t="inlineStr">
        <is>
          <t>BORÅS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39329-2022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46221</v>
      </c>
      <c r="F96" t="inlineStr">
        <is>
          <t>VÄSTRA GÖTALANDS LÄN</t>
        </is>
      </c>
      <c r="G96" t="inlineStr">
        <is>
          <t>BORÅS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46221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51864-2021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46221</v>
      </c>
      <c r="F98" t="inlineStr">
        <is>
          <t>VÄSTRA GÖTALANDS LÄN</t>
        </is>
      </c>
      <c r="G98" t="inlineStr">
        <is>
          <t>BORÅS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44734</v>
      </c>
      <c r="E99" s="1" t="n">
        <v>46221</v>
      </c>
      <c r="F99" t="inlineStr">
        <is>
          <t>VÄSTRA GÖTALANDS LÄN</t>
        </is>
      </c>
      <c r="G99" t="inlineStr">
        <is>
          <t>BORÅS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46221</v>
      </c>
      <c r="F100" t="inlineStr">
        <is>
          <t>VÄSTRA GÖTALANDS LÄN</t>
        </is>
      </c>
      <c r="G100" t="inlineStr">
        <is>
          <t>BORÅS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46221</v>
      </c>
      <c r="F101" t="inlineStr">
        <is>
          <t>VÄSTRA GÖTALANDS LÄN</t>
        </is>
      </c>
      <c r="G101" t="inlineStr">
        <is>
          <t>BORÅS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46221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46221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52308-2022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44873</v>
      </c>
      <c r="E104" s="1" t="n">
        <v>46221</v>
      </c>
      <c r="F104" t="inlineStr">
        <is>
          <t>VÄSTRA GÖTALANDS LÄN</t>
        </is>
      </c>
      <c r="G104" t="inlineStr">
        <is>
          <t>BORÅS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64466-2021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46221</v>
      </c>
      <c r="F105" t="inlineStr">
        <is>
          <t>VÄSTRA GÖTALANDS LÄN</t>
        </is>
      </c>
      <c r="G105" t="inlineStr">
        <is>
          <t>BORÅS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72362-2021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46221</v>
      </c>
      <c r="F106" t="inlineStr">
        <is>
          <t>VÄSTRA GÖTALANDS LÄN</t>
        </is>
      </c>
      <c r="G106" t="inlineStr">
        <is>
          <t>BORÅS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55330-2022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44887</v>
      </c>
      <c r="E107" s="1" t="n">
        <v>46221</v>
      </c>
      <c r="F107" t="inlineStr">
        <is>
          <t>VÄSTRA GÖTALANDS LÄN</t>
        </is>
      </c>
      <c r="G107" t="inlineStr">
        <is>
          <t>BORÅS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62034-2021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46221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55476-2021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46221</v>
      </c>
      <c r="F109" t="inlineStr">
        <is>
          <t>VÄSTRA GÖTALANDS LÄN</t>
        </is>
      </c>
      <c r="G109" t="inlineStr">
        <is>
          <t>BORÅS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46221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51986-2021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44463</v>
      </c>
      <c r="E111" s="1" t="n">
        <v>46221</v>
      </c>
      <c r="F111" t="inlineStr">
        <is>
          <t>VÄSTRA GÖTALANDS LÄN</t>
        </is>
      </c>
      <c r="G111" t="inlineStr">
        <is>
          <t>BORÅS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67111-2021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46221</v>
      </c>
      <c r="F112" t="inlineStr">
        <is>
          <t>VÄSTRA GÖTALANDS LÄN</t>
        </is>
      </c>
      <c r="G112" t="inlineStr">
        <is>
          <t>BORÅS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47508-2021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46221</v>
      </c>
      <c r="F113" t="inlineStr">
        <is>
          <t>VÄSTRA GÖTALANDS LÄN</t>
        </is>
      </c>
      <c r="G113" t="inlineStr">
        <is>
          <t>BORÅS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47504-2021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46221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64609-2021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46221</v>
      </c>
      <c r="F115" t="inlineStr">
        <is>
          <t>VÄSTRA GÖTALANDS LÄN</t>
        </is>
      </c>
      <c r="G115" t="inlineStr">
        <is>
          <t>BORÅS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46221</v>
      </c>
      <c r="F116" t="inlineStr">
        <is>
          <t>VÄSTRA GÖTALANDS LÄN</t>
        </is>
      </c>
      <c r="G116" t="inlineStr">
        <is>
          <t>BORÅS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44605</v>
      </c>
      <c r="E117" s="1" t="n">
        <v>46221</v>
      </c>
      <c r="F117" t="inlineStr">
        <is>
          <t>VÄSTRA GÖTALANDS LÄN</t>
        </is>
      </c>
      <c r="G117" t="inlineStr">
        <is>
          <t>BORÅS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46221</v>
      </c>
      <c r="F118" t="inlineStr">
        <is>
          <t>VÄSTRA GÖTALANDS LÄN</t>
        </is>
      </c>
      <c r="G118" t="inlineStr">
        <is>
          <t>BORÅS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46221</v>
      </c>
      <c r="F119" t="inlineStr">
        <is>
          <t>VÄSTRA GÖTALANDS LÄN</t>
        </is>
      </c>
      <c r="G119" t="inlineStr">
        <is>
          <t>BORÅS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46221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45555-2022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46221</v>
      </c>
      <c r="F121" t="inlineStr">
        <is>
          <t>VÄSTRA GÖTALANDS LÄN</t>
        </is>
      </c>
      <c r="G121" t="inlineStr">
        <is>
          <t>BORÅS</t>
        </is>
      </c>
      <c r="I121" t="n">
        <v>11.3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52975-2021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46221</v>
      </c>
      <c r="F122" t="inlineStr">
        <is>
          <t>VÄSTRA GÖTALANDS LÄN</t>
        </is>
      </c>
      <c r="G122" t="inlineStr">
        <is>
          <t>BORÅS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51980-2021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44463</v>
      </c>
      <c r="E123" s="1" t="n">
        <v>46221</v>
      </c>
      <c r="F123" t="inlineStr">
        <is>
          <t>VÄSTRA GÖTALANDS LÄN</t>
        </is>
      </c>
      <c r="G123" t="inlineStr">
        <is>
          <t>BORÅS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31065-2022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44769</v>
      </c>
      <c r="E124" s="1" t="n">
        <v>46221</v>
      </c>
      <c r="F124" t="inlineStr">
        <is>
          <t>VÄSTRA GÖTALANDS LÄN</t>
        </is>
      </c>
      <c r="G124" t="inlineStr">
        <is>
          <t>BORÅS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16707-2022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44673</v>
      </c>
      <c r="E125" s="1" t="n">
        <v>46221</v>
      </c>
      <c r="F125" t="inlineStr">
        <is>
          <t>VÄSTRA GÖTALANDS LÄN</t>
        </is>
      </c>
      <c r="G125" t="inlineStr">
        <is>
          <t>BORÅS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46221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46221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44565</v>
      </c>
      <c r="E128" s="1" t="n">
        <v>46221</v>
      </c>
      <c r="F128" t="inlineStr">
        <is>
          <t>VÄSTRA GÖTALANDS LÄN</t>
        </is>
      </c>
      <c r="G128" t="inlineStr">
        <is>
          <t>BORÅS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46221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54275-2022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46221</v>
      </c>
      <c r="F130" t="inlineStr">
        <is>
          <t>VÄSTRA GÖTALANDS LÄN</t>
        </is>
      </c>
      <c r="G130" t="inlineStr">
        <is>
          <t>BORÅS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68634-2021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44529</v>
      </c>
      <c r="E131" s="1" t="n">
        <v>46221</v>
      </c>
      <c r="F131" t="inlineStr">
        <is>
          <t>VÄSTRA GÖTALANDS LÄN</t>
        </is>
      </c>
      <c r="G131" t="inlineStr">
        <is>
          <t>BORÅS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12802-2022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44642</v>
      </c>
      <c r="E132" s="1" t="n">
        <v>46221</v>
      </c>
      <c r="F132" t="inlineStr">
        <is>
          <t>VÄSTRA GÖTALANDS LÄN</t>
        </is>
      </c>
      <c r="G132" t="inlineStr">
        <is>
          <t>BORÅS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46221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17410-2022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46221</v>
      </c>
      <c r="F134" t="inlineStr">
        <is>
          <t>VÄSTRA GÖTALANDS LÄN</t>
        </is>
      </c>
      <c r="G134" t="inlineStr">
        <is>
          <t>BORÅS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45459-2023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45194</v>
      </c>
      <c r="E135" s="1" t="n">
        <v>46221</v>
      </c>
      <c r="F135" t="inlineStr">
        <is>
          <t>VÄSTRA GÖTALANDS LÄN</t>
        </is>
      </c>
      <c r="G135" t="inlineStr">
        <is>
          <t>BORÅS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46221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46221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46221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46221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46221</v>
      </c>
      <c r="F140" t="inlineStr">
        <is>
          <t>VÄSTRA GÖTALANDS LÄN</t>
        </is>
      </c>
      <c r="G140" t="inlineStr">
        <is>
          <t>BORÅS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36975-2024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46221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46538-2021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44445</v>
      </c>
      <c r="E142" s="1" t="n">
        <v>46221</v>
      </c>
      <c r="F142" t="inlineStr">
        <is>
          <t>VÄSTRA GÖTALANDS LÄN</t>
        </is>
      </c>
      <c r="G142" t="inlineStr">
        <is>
          <t>BORÅS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12439-2024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46221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46221</v>
      </c>
      <c r="F144" t="inlineStr">
        <is>
          <t>VÄSTRA GÖTALANDS LÄN</t>
        </is>
      </c>
      <c r="G144" t="inlineStr">
        <is>
          <t>BORÅS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46221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43573-2022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44837</v>
      </c>
      <c r="E146" s="1" t="n">
        <v>46221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63178-2023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46221</v>
      </c>
      <c r="F147" t="inlineStr">
        <is>
          <t>VÄSTRA GÖTALANDS LÄN</t>
        </is>
      </c>
      <c r="G147" t="inlineStr">
        <is>
          <t>BORÅS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44577</v>
      </c>
      <c r="E148" s="1" t="n">
        <v>46221</v>
      </c>
      <c r="F148" t="inlineStr">
        <is>
          <t>VÄSTRA GÖTALANDS LÄN</t>
        </is>
      </c>
      <c r="G148" t="inlineStr">
        <is>
          <t>BORÅS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46221</v>
      </c>
      <c r="F149" t="inlineStr">
        <is>
          <t>VÄSTRA GÖTALANDS LÄN</t>
        </is>
      </c>
      <c r="G149" t="inlineStr">
        <is>
          <t>BORÅS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46221</v>
      </c>
      <c r="F150" t="inlineStr">
        <is>
          <t>VÄSTRA GÖTALANDS LÄN</t>
        </is>
      </c>
      <c r="G150" t="inlineStr">
        <is>
          <t>BORÅS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46221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48886-2022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46221</v>
      </c>
      <c r="F152" t="inlineStr">
        <is>
          <t>VÄSTRA GÖTALANDS LÄN</t>
        </is>
      </c>
      <c r="G152" t="inlineStr">
        <is>
          <t>BORÅS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11362-2022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44630</v>
      </c>
      <c r="E153" s="1" t="n">
        <v>46221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46221</v>
      </c>
      <c r="F154" t="inlineStr">
        <is>
          <t>VÄSTRA GÖTALANDS LÄN</t>
        </is>
      </c>
      <c r="G154" t="inlineStr">
        <is>
          <t>BORÅS</t>
        </is>
      </c>
      <c r="H154" t="inlineStr">
        <is>
          <t>Kommuner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25667-2025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46221</v>
      </c>
      <c r="F155" t="inlineStr">
        <is>
          <t>VÄSTRA GÖTALANDS LÄN</t>
        </is>
      </c>
      <c r="G155" t="inlineStr">
        <is>
          <t>BORÅS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25705-2025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46221</v>
      </c>
      <c r="F156" t="inlineStr">
        <is>
          <t>VÄSTRA GÖTALANDS LÄN</t>
        </is>
      </c>
      <c r="G156" t="inlineStr">
        <is>
          <t>BORÅS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25666-2025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46221</v>
      </c>
      <c r="F157" t="inlineStr">
        <is>
          <t>VÄSTRA GÖTALANDS LÄN</t>
        </is>
      </c>
      <c r="G157" t="inlineStr">
        <is>
          <t>BORÅS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44956-2024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46221</v>
      </c>
      <c r="F158" t="inlineStr">
        <is>
          <t>VÄSTRA GÖTALANDS LÄN</t>
        </is>
      </c>
      <c r="G158" t="inlineStr">
        <is>
          <t>BORÅS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46221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48342-2022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46221</v>
      </c>
      <c r="F160" t="inlineStr">
        <is>
          <t>VÄSTRA GÖTALANDS LÄN</t>
        </is>
      </c>
      <c r="G160" t="inlineStr">
        <is>
          <t>BORÅS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49112-2023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46221</v>
      </c>
      <c r="F161" t="inlineStr">
        <is>
          <t>VÄSTRA GÖTALANDS LÄN</t>
        </is>
      </c>
      <c r="G161" t="inlineStr">
        <is>
          <t>BORÅS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56684-2022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44888</v>
      </c>
      <c r="E162" s="1" t="n">
        <v>46221</v>
      </c>
      <c r="F162" t="inlineStr">
        <is>
          <t>VÄSTRA GÖTALANDS LÄN</t>
        </is>
      </c>
      <c r="G162" t="inlineStr">
        <is>
          <t>BORÅS</t>
        </is>
      </c>
      <c r="H162" t="inlineStr">
        <is>
          <t>Kyrkan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46221</v>
      </c>
      <c r="F163" t="inlineStr">
        <is>
          <t>VÄSTRA GÖTALANDS LÄN</t>
        </is>
      </c>
      <c r="G163" t="inlineStr">
        <is>
          <t>BORÅS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63437-2023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46221</v>
      </c>
      <c r="F164" t="inlineStr">
        <is>
          <t>VÄSTRA GÖTALANDS LÄN</t>
        </is>
      </c>
      <c r="G164" t="inlineStr">
        <is>
          <t>BORÅS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46221</v>
      </c>
      <c r="F165" t="inlineStr">
        <is>
          <t>VÄSTRA GÖTALANDS LÄN</t>
        </is>
      </c>
      <c r="G165" t="inlineStr">
        <is>
          <t>BORÅS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46221</v>
      </c>
      <c r="F166" t="inlineStr">
        <is>
          <t>VÄSTRA GÖTALANDS LÄN</t>
        </is>
      </c>
      <c r="G166" t="inlineStr">
        <is>
          <t>BORÅS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27275-2025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46221</v>
      </c>
      <c r="F167" t="inlineStr">
        <is>
          <t>VÄSTRA GÖTALANDS LÄN</t>
        </is>
      </c>
      <c r="G167" t="inlineStr">
        <is>
          <t>BORÅS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46221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14777-2022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46221</v>
      </c>
      <c r="F169" t="inlineStr">
        <is>
          <t>VÄSTRA GÖTALANDS LÄN</t>
        </is>
      </c>
      <c r="G169" t="inlineStr">
        <is>
          <t>BORÅS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46221</v>
      </c>
      <c r="F170" t="inlineStr">
        <is>
          <t>VÄSTRA GÖTALANDS LÄN</t>
        </is>
      </c>
      <c r="G170" t="inlineStr">
        <is>
          <t>BORÅS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12588-2022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44639</v>
      </c>
      <c r="E171" s="1" t="n">
        <v>46221</v>
      </c>
      <c r="F171" t="inlineStr">
        <is>
          <t>VÄSTRA GÖTALANDS LÄN</t>
        </is>
      </c>
      <c r="G171" t="inlineStr">
        <is>
          <t>BORÅS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27370-2025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45812</v>
      </c>
      <c r="E172" s="1" t="n">
        <v>46221</v>
      </c>
      <c r="F172" t="inlineStr">
        <is>
          <t>VÄSTRA GÖTALANDS LÄN</t>
        </is>
      </c>
      <c r="G172" t="inlineStr">
        <is>
          <t>BORÅS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27356-2025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46221</v>
      </c>
      <c r="F173" t="inlineStr">
        <is>
          <t>VÄSTRA GÖTALANDS LÄN</t>
        </is>
      </c>
      <c r="G173" t="inlineStr">
        <is>
          <t>BORÅS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73822-2021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44552</v>
      </c>
      <c r="E174" s="1" t="n">
        <v>46221</v>
      </c>
      <c r="F174" t="inlineStr">
        <is>
          <t>VÄSTRA GÖTALANDS LÄN</t>
        </is>
      </c>
      <c r="G174" t="inlineStr">
        <is>
          <t>BORÅS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46221</v>
      </c>
      <c r="F175" t="inlineStr">
        <is>
          <t>VÄSTRA GÖTALANDS LÄN</t>
        </is>
      </c>
      <c r="G175" t="inlineStr">
        <is>
          <t>BORÅS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28028-2025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46221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28037-2025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46221</v>
      </c>
      <c r="F177" t="inlineStr">
        <is>
          <t>VÄSTRA GÖTALANDS LÄN</t>
        </is>
      </c>
      <c r="G177" t="inlineStr">
        <is>
          <t>BORÅS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46420-2024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46221</v>
      </c>
      <c r="F178" t="inlineStr">
        <is>
          <t>VÄSTRA GÖTALANDS LÄN</t>
        </is>
      </c>
      <c r="G178" t="inlineStr">
        <is>
          <t>BORÅS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46221</v>
      </c>
      <c r="F179" t="inlineStr">
        <is>
          <t>VÄSTRA GÖTALANDS LÄN</t>
        </is>
      </c>
      <c r="G179" t="inlineStr">
        <is>
          <t>BORÅS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13436-2025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45735</v>
      </c>
      <c r="E180" s="1" t="n">
        <v>46221</v>
      </c>
      <c r="F180" t="inlineStr">
        <is>
          <t>VÄSTRA GÖTALANDS LÄN</t>
        </is>
      </c>
      <c r="G180" t="inlineStr">
        <is>
          <t>BORÅS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46221</v>
      </c>
      <c r="F181" t="inlineStr">
        <is>
          <t>VÄSTRA GÖTALANDS LÄN</t>
        </is>
      </c>
      <c r="G181" t="inlineStr">
        <is>
          <t>BORÅS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46221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61448-2024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45646</v>
      </c>
      <c r="E183" s="1" t="n">
        <v>46221</v>
      </c>
      <c r="F183" t="inlineStr">
        <is>
          <t>VÄSTRA GÖTALANDS LÄN</t>
        </is>
      </c>
      <c r="G183" t="inlineStr">
        <is>
          <t>BORÅS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46221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46221</v>
      </c>
      <c r="F185" t="inlineStr">
        <is>
          <t>VÄSTRA GÖTALANDS LÄN</t>
        </is>
      </c>
      <c r="G185" t="inlineStr">
        <is>
          <t>BORÅS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39082-2025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46221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28536-2025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46221</v>
      </c>
      <c r="F187" t="inlineStr">
        <is>
          <t>VÄSTRA GÖTALANDS LÄN</t>
        </is>
      </c>
      <c r="G187" t="inlineStr">
        <is>
          <t>BORÅS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46221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46221</v>
      </c>
      <c r="F189" t="inlineStr">
        <is>
          <t>VÄSTRA GÖTALANDS LÄN</t>
        </is>
      </c>
      <c r="G189" t="inlineStr">
        <is>
          <t>BORÅS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60383-2022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44910</v>
      </c>
      <c r="E190" s="1" t="n">
        <v>46221</v>
      </c>
      <c r="F190" t="inlineStr">
        <is>
          <t>VÄSTRA GÖTALANDS LÄN</t>
        </is>
      </c>
      <c r="G190" t="inlineStr">
        <is>
          <t>BORÅS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27339-2024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45472</v>
      </c>
      <c r="E191" s="1" t="n">
        <v>46221</v>
      </c>
      <c r="F191" t="inlineStr">
        <is>
          <t>VÄSTRA GÖTALANDS LÄN</t>
        </is>
      </c>
      <c r="G191" t="inlineStr">
        <is>
          <t>BORÅS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46221</v>
      </c>
      <c r="F192" t="inlineStr">
        <is>
          <t>VÄSTRA GÖTALANDS LÄN</t>
        </is>
      </c>
      <c r="G192" t="inlineStr">
        <is>
          <t>BORÅS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45823</v>
      </c>
      <c r="E193" s="1" t="n">
        <v>46221</v>
      </c>
      <c r="F193" t="inlineStr">
        <is>
          <t>VÄSTRA GÖTALANDS LÄN</t>
        </is>
      </c>
      <c r="G193" t="inlineStr">
        <is>
          <t>BORÅS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29111-2025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46221</v>
      </c>
      <c r="F194" t="inlineStr">
        <is>
          <t>VÄSTRA GÖTALANDS LÄN</t>
        </is>
      </c>
      <c r="G194" t="inlineStr">
        <is>
          <t>BORÅS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46221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40321-2025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46221</v>
      </c>
      <c r="F196" t="inlineStr">
        <is>
          <t>VÄSTRA GÖTALANDS LÄN</t>
        </is>
      </c>
      <c r="G196" t="inlineStr">
        <is>
          <t>BORÅS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40322-2025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46221</v>
      </c>
      <c r="F197" t="inlineStr">
        <is>
          <t>VÄSTRA GÖTALANDS LÄN</t>
        </is>
      </c>
      <c r="G197" t="inlineStr">
        <is>
          <t>BORÅS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46221</v>
      </c>
      <c r="F198" t="inlineStr">
        <is>
          <t>VÄSTRA GÖTALANDS LÄN</t>
        </is>
      </c>
      <c r="G198" t="inlineStr">
        <is>
          <t>BORÅS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46221</v>
      </c>
      <c r="F199" t="inlineStr">
        <is>
          <t>VÄSTRA GÖTALANDS LÄN</t>
        </is>
      </c>
      <c r="G199" t="inlineStr">
        <is>
          <t>BORÅS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11755-2025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46221</v>
      </c>
      <c r="F200" t="inlineStr">
        <is>
          <t>VÄSTRA GÖTALANDS LÄN</t>
        </is>
      </c>
      <c r="G200" t="inlineStr">
        <is>
          <t>BORÅS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46221</v>
      </c>
      <c r="F201" t="inlineStr">
        <is>
          <t>VÄSTRA GÖTALANDS LÄN</t>
        </is>
      </c>
      <c r="G201" t="inlineStr">
        <is>
          <t>BORÅS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45609-2024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46221</v>
      </c>
      <c r="F202" t="inlineStr">
        <is>
          <t>VÄSTRA GÖTALANDS LÄN</t>
        </is>
      </c>
      <c r="G202" t="inlineStr">
        <is>
          <t>BORÅS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14379-2025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46221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14381-2025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46221</v>
      </c>
      <c r="F204" t="inlineStr">
        <is>
          <t>VÄSTRA GÖTALANDS LÄN</t>
        </is>
      </c>
      <c r="G204" t="inlineStr">
        <is>
          <t>BORÅS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30312-2025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45827</v>
      </c>
      <c r="E205" s="1" t="n">
        <v>46221</v>
      </c>
      <c r="F205" t="inlineStr">
        <is>
          <t>VÄSTRA GÖTALANDS LÄN</t>
        </is>
      </c>
      <c r="G205" t="inlineStr">
        <is>
          <t>BORÅS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11759-2025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46221</v>
      </c>
      <c r="F206" t="inlineStr">
        <is>
          <t>VÄSTRA GÖTALANDS LÄN</t>
        </is>
      </c>
      <c r="G206" t="inlineStr">
        <is>
          <t>BORÅS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38676-2024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46221</v>
      </c>
      <c r="F207" t="inlineStr">
        <is>
          <t>VÄSTRA GÖTALANDS LÄN</t>
        </is>
      </c>
      <c r="G207" t="inlineStr">
        <is>
          <t>BORÅS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30905-2025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46221</v>
      </c>
      <c r="F208" t="inlineStr">
        <is>
          <t>VÄSTRA GÖTALANDS LÄN</t>
        </is>
      </c>
      <c r="G208" t="inlineStr">
        <is>
          <t>BORÅS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30952-2025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46221</v>
      </c>
      <c r="F209" t="inlineStr">
        <is>
          <t>VÄSTRA GÖTALANDS LÄN</t>
        </is>
      </c>
      <c r="G209" t="inlineStr">
        <is>
          <t>BORÅS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48508-2024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45593</v>
      </c>
      <c r="E210" s="1" t="n">
        <v>46221</v>
      </c>
      <c r="F210" t="inlineStr">
        <is>
          <t>VÄSTRA GÖTALANDS LÄN</t>
        </is>
      </c>
      <c r="G210" t="inlineStr">
        <is>
          <t>BORÅS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57786-2022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46221</v>
      </c>
      <c r="F211" t="inlineStr">
        <is>
          <t>VÄSTRA GÖTALANDS LÄN</t>
        </is>
      </c>
      <c r="G211" t="inlineStr">
        <is>
          <t>BORÅS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46453-2024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45582</v>
      </c>
      <c r="E212" s="1" t="n">
        <v>46221</v>
      </c>
      <c r="F212" t="inlineStr">
        <is>
          <t>VÄSTRA GÖTALANDS LÄN</t>
        </is>
      </c>
      <c r="G212" t="inlineStr">
        <is>
          <t>BORÅS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42988-2025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46221</v>
      </c>
      <c r="F213" t="inlineStr">
        <is>
          <t>VÄSTRA GÖTALANDS LÄN</t>
        </is>
      </c>
      <c r="G213" t="inlineStr">
        <is>
          <t>BORÅS</t>
        </is>
      </c>
      <c r="H213" t="inlineStr">
        <is>
          <t>Sveaskog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32322-2025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45836</v>
      </c>
      <c r="E214" s="1" t="n">
        <v>46221</v>
      </c>
      <c r="F214" t="inlineStr">
        <is>
          <t>VÄSTRA GÖTALANDS LÄN</t>
        </is>
      </c>
      <c r="G214" t="inlineStr">
        <is>
          <t>BORÅS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32323-2025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45836</v>
      </c>
      <c r="E215" s="1" t="n">
        <v>46221</v>
      </c>
      <c r="F215" t="inlineStr">
        <is>
          <t>VÄSTRA GÖTALANDS LÄN</t>
        </is>
      </c>
      <c r="G215" t="inlineStr">
        <is>
          <t>BORÅS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52540-2023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45225</v>
      </c>
      <c r="E216" s="1" t="n">
        <v>46221</v>
      </c>
      <c r="F216" t="inlineStr">
        <is>
          <t>VÄSTRA GÖTALANDS LÄN</t>
        </is>
      </c>
      <c r="G216" t="inlineStr">
        <is>
          <t>BORÅS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42928-2025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46221</v>
      </c>
      <c r="F217" t="inlineStr">
        <is>
          <t>VÄSTRA GÖTALANDS LÄN</t>
        </is>
      </c>
      <c r="G217" t="inlineStr">
        <is>
          <t>BORÅS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10410-2023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46221</v>
      </c>
      <c r="F218" t="inlineStr">
        <is>
          <t>VÄSTRA GÖTALANDS LÄN</t>
        </is>
      </c>
      <c r="G218" t="inlineStr">
        <is>
          <t>BORÅS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28552-2022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44748</v>
      </c>
      <c r="E219" s="1" t="n">
        <v>46221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32900-2025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46221</v>
      </c>
      <c r="F220" t="inlineStr">
        <is>
          <t>VÄSTRA GÖTALANDS LÄN</t>
        </is>
      </c>
      <c r="G220" t="inlineStr">
        <is>
          <t>BORÅS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32905-2025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46221</v>
      </c>
      <c r="F221" t="inlineStr">
        <is>
          <t>VÄSTRA GÖTALANDS LÄN</t>
        </is>
      </c>
      <c r="G221" t="inlineStr">
        <is>
          <t>BORÅS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27039-2022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46221</v>
      </c>
      <c r="F222" t="inlineStr">
        <is>
          <t>VÄSTRA GÖTALANDS LÄN</t>
        </is>
      </c>
      <c r="G222" t="inlineStr">
        <is>
          <t>BORÅS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33725-2025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46221</v>
      </c>
      <c r="F223" t="inlineStr">
        <is>
          <t>VÄSTRA GÖTALANDS LÄN</t>
        </is>
      </c>
      <c r="G223" t="inlineStr">
        <is>
          <t>BORÅS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46221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13955-2024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46221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45491-2025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46221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46221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15024-2023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45015</v>
      </c>
      <c r="E228" s="1" t="n">
        <v>46221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34415-2025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46221</v>
      </c>
      <c r="F229" t="inlineStr">
        <is>
          <t>VÄSTRA GÖTALANDS LÄN</t>
        </is>
      </c>
      <c r="G229" t="inlineStr">
        <is>
          <t>BORÅS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46113-2025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46221</v>
      </c>
      <c r="F230" t="inlineStr">
        <is>
          <t>VÄSTRA GÖTALANDS LÄN</t>
        </is>
      </c>
      <c r="G230" t="inlineStr">
        <is>
          <t>BORÅS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34695-2025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45848</v>
      </c>
      <c r="E231" s="1" t="n">
        <v>46221</v>
      </c>
      <c r="F231" t="inlineStr">
        <is>
          <t>VÄSTRA GÖTALANDS LÄN</t>
        </is>
      </c>
      <c r="G231" t="inlineStr">
        <is>
          <t>BORÅS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6917-2024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46221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46221</v>
      </c>
      <c r="F233" t="inlineStr">
        <is>
          <t>VÄSTRA GÖTALANDS LÄN</t>
        </is>
      </c>
      <c r="G233" t="inlineStr">
        <is>
          <t>BORÅS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24183-2024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45456</v>
      </c>
      <c r="E234" s="1" t="n">
        <v>46221</v>
      </c>
      <c r="F234" t="inlineStr">
        <is>
          <t>VÄSTRA GÖTALANDS LÄN</t>
        </is>
      </c>
      <c r="G234" t="inlineStr">
        <is>
          <t>BORÅS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46221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28171-2022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44746</v>
      </c>
      <c r="E236" s="1" t="n">
        <v>46221</v>
      </c>
      <c r="F236" t="inlineStr">
        <is>
          <t>VÄSTRA GÖTALANDS LÄN</t>
        </is>
      </c>
      <c r="G236" t="inlineStr">
        <is>
          <t>BORÅS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46221</v>
      </c>
      <c r="F237" t="inlineStr">
        <is>
          <t>VÄSTRA GÖTALANDS LÄN</t>
        </is>
      </c>
      <c r="G237" t="inlineStr">
        <is>
          <t>BORÅS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46967-2025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46221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60127-2023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46221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Kyrkan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47594-2025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46221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8792-2024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46221</v>
      </c>
      <c r="F241" t="inlineStr">
        <is>
          <t>VÄSTRA GÖTALANDS LÄN</t>
        </is>
      </c>
      <c r="G241" t="inlineStr">
        <is>
          <t>BORÅS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13954-2024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46221</v>
      </c>
      <c r="F242" t="inlineStr">
        <is>
          <t>VÄSTRA GÖTALANDS LÄN</t>
        </is>
      </c>
      <c r="G242" t="inlineStr">
        <is>
          <t>BORÅS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46221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47613-2025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46221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Kommuner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47588-2025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46221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51160-2024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46221</v>
      </c>
      <c r="F246" t="inlineStr">
        <is>
          <t>VÄSTRA GÖTALANDS LÄN</t>
        </is>
      </c>
      <c r="G246" t="inlineStr">
        <is>
          <t>BORÅS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46221</v>
      </c>
      <c r="F247" t="inlineStr">
        <is>
          <t>VÄSTRA GÖTALANDS LÄN</t>
        </is>
      </c>
      <c r="G247" t="inlineStr">
        <is>
          <t>BORÅS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36113-2025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45866</v>
      </c>
      <c r="E248" s="1" t="n">
        <v>46221</v>
      </c>
      <c r="F248" t="inlineStr">
        <is>
          <t>VÄSTRA GÖTALANDS LÄN</t>
        </is>
      </c>
      <c r="G248" t="inlineStr">
        <is>
          <t>BORÅS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48444-2025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45935</v>
      </c>
      <c r="E249" s="1" t="n">
        <v>46221</v>
      </c>
      <c r="F249" t="inlineStr">
        <is>
          <t>VÄSTRA GÖTALANDS LÄN</t>
        </is>
      </c>
      <c r="G249" t="inlineStr">
        <is>
          <t>BORÅS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48445-2025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45935</v>
      </c>
      <c r="E250" s="1" t="n">
        <v>46221</v>
      </c>
      <c r="F250" t="inlineStr">
        <is>
          <t>VÄSTRA GÖTALANDS LÄN</t>
        </is>
      </c>
      <c r="G250" t="inlineStr">
        <is>
          <t>BORÅS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20724-2023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46221</v>
      </c>
      <c r="F251" t="inlineStr">
        <is>
          <t>VÄSTRA GÖTALANDS LÄN</t>
        </is>
      </c>
      <c r="G251" t="inlineStr">
        <is>
          <t>BORÅS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53063-2024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45611</v>
      </c>
      <c r="E252" s="1" t="n">
        <v>46221</v>
      </c>
      <c r="F252" t="inlineStr">
        <is>
          <t>VÄSTRA GÖTALANDS LÄN</t>
        </is>
      </c>
      <c r="G252" t="inlineStr">
        <is>
          <t>BORÅS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20722-2023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46221</v>
      </c>
      <c r="F253" t="inlineStr">
        <is>
          <t>VÄSTRA GÖTALANDS LÄN</t>
        </is>
      </c>
      <c r="G253" t="inlineStr">
        <is>
          <t>BORÅS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32025-2023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46221</v>
      </c>
      <c r="F254" t="inlineStr">
        <is>
          <t>VÄSTRA GÖTALANDS LÄN</t>
        </is>
      </c>
      <c r="G254" t="inlineStr">
        <is>
          <t>BORÅS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54361-2022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44882</v>
      </c>
      <c r="E255" s="1" t="n">
        <v>46221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59463-2024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46221</v>
      </c>
      <c r="F256" t="inlineStr">
        <is>
          <t>VÄSTRA GÖTALANDS LÄN</t>
        </is>
      </c>
      <c r="G256" t="inlineStr">
        <is>
          <t>BORÅS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53204-2024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45612</v>
      </c>
      <c r="E257" s="1" t="n">
        <v>46221</v>
      </c>
      <c r="F257" t="inlineStr">
        <is>
          <t>VÄSTRA GÖTALANDS LÄN</t>
        </is>
      </c>
      <c r="G257" t="inlineStr">
        <is>
          <t>BORÅS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52904-2024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45610</v>
      </c>
      <c r="E258" s="1" t="n">
        <v>46221</v>
      </c>
      <c r="F258" t="inlineStr">
        <is>
          <t>VÄSTRA GÖTALANDS LÄN</t>
        </is>
      </c>
      <c r="G258" t="inlineStr">
        <is>
          <t>BORÅS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49081-2025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46221</v>
      </c>
      <c r="F259" t="inlineStr">
        <is>
          <t>VÄSTRA GÖTALANDS LÄN</t>
        </is>
      </c>
      <c r="G259" t="inlineStr">
        <is>
          <t>BORÅS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11527-2023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44993</v>
      </c>
      <c r="E260" s="1" t="n">
        <v>46221</v>
      </c>
      <c r="F260" t="inlineStr">
        <is>
          <t>VÄSTRA GÖTALANDS LÄN</t>
        </is>
      </c>
      <c r="G260" t="inlineStr">
        <is>
          <t>BORÅS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49262-2025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46221</v>
      </c>
      <c r="F261" t="inlineStr">
        <is>
          <t>VÄSTRA GÖTALANDS LÄN</t>
        </is>
      </c>
      <c r="G261" t="inlineStr">
        <is>
          <t>BORÅS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43185-2024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45567</v>
      </c>
      <c r="E262" s="1" t="n">
        <v>46221</v>
      </c>
      <c r="F262" t="inlineStr">
        <is>
          <t>VÄSTRA GÖTALANDS LÄN</t>
        </is>
      </c>
      <c r="G262" t="inlineStr">
        <is>
          <t>BORÅS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32160-2023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46221</v>
      </c>
      <c r="F263" t="inlineStr">
        <is>
          <t>VÄSTRA GÖTALANDS LÄN</t>
        </is>
      </c>
      <c r="G263" t="inlineStr">
        <is>
          <t>BORÅS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32186-2023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46221</v>
      </c>
      <c r="F264" t="inlineStr">
        <is>
          <t>VÄSTRA GÖTALANDS LÄN</t>
        </is>
      </c>
      <c r="G264" t="inlineStr">
        <is>
          <t>BORÅS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46221</v>
      </c>
      <c r="F265" t="inlineStr">
        <is>
          <t>VÄSTRA GÖTALANDS LÄN</t>
        </is>
      </c>
      <c r="G265" t="inlineStr">
        <is>
          <t>BORÅS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37413-2025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46221</v>
      </c>
      <c r="F266" t="inlineStr">
        <is>
          <t>VÄSTRA GÖTALANDS LÄN</t>
        </is>
      </c>
      <c r="G266" t="inlineStr">
        <is>
          <t>BORÅS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25663-2025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46221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46221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46221</v>
      </c>
      <c r="F269" t="inlineStr">
        <is>
          <t>VÄSTRA GÖTALANDS LÄN</t>
        </is>
      </c>
      <c r="G269" t="inlineStr">
        <is>
          <t>BORÅS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49078-2025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46221</v>
      </c>
      <c r="F270" t="inlineStr">
        <is>
          <t>VÄSTRA GÖTALANDS LÄN</t>
        </is>
      </c>
      <c r="G270" t="inlineStr">
        <is>
          <t>BORÅS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57419-2024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46221</v>
      </c>
      <c r="F271" t="inlineStr">
        <is>
          <t>VÄSTRA GÖTALANDS LÄN</t>
        </is>
      </c>
      <c r="G271" t="inlineStr">
        <is>
          <t>BORÅS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57421-2024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46221</v>
      </c>
      <c r="F272" t="inlineStr">
        <is>
          <t>VÄSTRA GÖTALANDS LÄN</t>
        </is>
      </c>
      <c r="G272" t="inlineStr">
        <is>
          <t>BORÅS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57426-2024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46221</v>
      </c>
      <c r="F273" t="inlineStr">
        <is>
          <t>VÄSTRA GÖTALANDS LÄN</t>
        </is>
      </c>
      <c r="G273" t="inlineStr">
        <is>
          <t>BORÅS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32241-2023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46221</v>
      </c>
      <c r="F274" t="inlineStr">
        <is>
          <t>VÄSTRA GÖTALANDS LÄN</t>
        </is>
      </c>
      <c r="G274" t="inlineStr">
        <is>
          <t>BORÅS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46439-2024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46221</v>
      </c>
      <c r="F275" t="inlineStr">
        <is>
          <t>VÄSTRA GÖTALANDS LÄN</t>
        </is>
      </c>
      <c r="G275" t="inlineStr">
        <is>
          <t>BORÅS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51196-2025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46221</v>
      </c>
      <c r="F276" t="inlineStr">
        <is>
          <t>VÄSTRA GÖTALANDS LÄN</t>
        </is>
      </c>
      <c r="G276" t="inlineStr">
        <is>
          <t>BORÅS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51199-2025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45947</v>
      </c>
      <c r="E277" s="1" t="n">
        <v>46221</v>
      </c>
      <c r="F277" t="inlineStr">
        <is>
          <t>VÄSTRA GÖTALANDS LÄN</t>
        </is>
      </c>
      <c r="G277" t="inlineStr">
        <is>
          <t>BORÅS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47835-2023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46221</v>
      </c>
      <c r="F278" t="inlineStr">
        <is>
          <t>VÄSTRA GÖTALANDS LÄN</t>
        </is>
      </c>
      <c r="G278" t="inlineStr">
        <is>
          <t>BORÅS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52083-2025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46221</v>
      </c>
      <c r="F279" t="inlineStr">
        <is>
          <t>VÄSTRA GÖTALANDS LÄN</t>
        </is>
      </c>
      <c r="G279" t="inlineStr">
        <is>
          <t>BORÅS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32443-2023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45120</v>
      </c>
      <c r="E280" s="1" t="n">
        <v>46221</v>
      </c>
      <c r="F280" t="inlineStr">
        <is>
          <t>VÄSTRA GÖTALANDS LÄN</t>
        </is>
      </c>
      <c r="G280" t="inlineStr">
        <is>
          <t>BORÅS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52369-2025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46221</v>
      </c>
      <c r="F281" t="inlineStr">
        <is>
          <t>VÄSTRA GÖTALANDS LÄN</t>
        </is>
      </c>
      <c r="G281" t="inlineStr">
        <is>
          <t>BORÅS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28410-2024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45477</v>
      </c>
      <c r="E282" s="1" t="n">
        <v>46221</v>
      </c>
      <c r="F282" t="inlineStr">
        <is>
          <t>VÄSTRA GÖTALANDS LÄN</t>
        </is>
      </c>
      <c r="G282" t="inlineStr">
        <is>
          <t>BORÅS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46221</v>
      </c>
      <c r="F283" t="inlineStr">
        <is>
          <t>VÄSTRA GÖTALANDS LÄN</t>
        </is>
      </c>
      <c r="G283" t="inlineStr">
        <is>
          <t>BORÅS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53475-2025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46221</v>
      </c>
      <c r="F284" t="inlineStr">
        <is>
          <t>VÄSTRA GÖTALANDS LÄN</t>
        </is>
      </c>
      <c r="G284" t="inlineStr">
        <is>
          <t>BORÅS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52486-2023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46221</v>
      </c>
      <c r="F285" t="inlineStr">
        <is>
          <t>VÄSTRA GÖTALANDS LÄN</t>
        </is>
      </c>
      <c r="G285" t="inlineStr">
        <is>
          <t>BORÅS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51810-2025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46221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53988-2025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46221</v>
      </c>
      <c r="F287" t="inlineStr">
        <is>
          <t>VÄSTRA GÖTALANDS LÄN</t>
        </is>
      </c>
      <c r="G287" t="inlineStr">
        <is>
          <t>BORÅS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54116-2025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46221</v>
      </c>
      <c r="F288" t="inlineStr">
        <is>
          <t>VÄSTRA GÖTALANDS LÄN</t>
        </is>
      </c>
      <c r="G288" t="inlineStr">
        <is>
          <t>BORÅS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53942-2025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45961</v>
      </c>
      <c r="E289" s="1" t="n">
        <v>46221</v>
      </c>
      <c r="F289" t="inlineStr">
        <is>
          <t>VÄSTRA GÖTALANDS LÄN</t>
        </is>
      </c>
      <c r="G289" t="inlineStr">
        <is>
          <t>BORÅS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31943-2024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45510</v>
      </c>
      <c r="E290" s="1" t="n">
        <v>46221</v>
      </c>
      <c r="F290" t="inlineStr">
        <is>
          <t>VÄSTRA GÖTALANDS LÄN</t>
        </is>
      </c>
      <c r="G290" t="inlineStr">
        <is>
          <t>BORÅS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10218-2026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46221</v>
      </c>
      <c r="F291" t="inlineStr">
        <is>
          <t>VÄSTRA GÖTALANDS LÄN</t>
        </is>
      </c>
      <c r="G291" t="inlineStr">
        <is>
          <t>BORÅS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41838-2023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46221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10212-2026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46221</v>
      </c>
      <c r="F293" t="inlineStr">
        <is>
          <t>VÄSTRA GÖTALANDS LÄN</t>
        </is>
      </c>
      <c r="G293" t="inlineStr">
        <is>
          <t>BORÅS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38674-2024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46221</v>
      </c>
      <c r="F294" t="inlineStr">
        <is>
          <t>VÄSTRA GÖTALANDS LÄN</t>
        </is>
      </c>
      <c r="G294" t="inlineStr">
        <is>
          <t>BORÅS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46221</v>
      </c>
      <c r="F295" t="inlineStr">
        <is>
          <t>VÄSTRA GÖTALANDS LÄN</t>
        </is>
      </c>
      <c r="G295" t="inlineStr">
        <is>
          <t>BORÅS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30861-2023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46221</v>
      </c>
      <c r="F296" t="inlineStr">
        <is>
          <t>VÄSTRA GÖTALANDS LÄN</t>
        </is>
      </c>
      <c r="G296" t="inlineStr">
        <is>
          <t>BORÅS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47262-2023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46221</v>
      </c>
      <c r="F297" t="inlineStr">
        <is>
          <t>VÄSTRA GÖTALANDS LÄN</t>
        </is>
      </c>
      <c r="G297" t="inlineStr">
        <is>
          <t>BORÅS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56376-2025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45974</v>
      </c>
      <c r="E298" s="1" t="n">
        <v>46221</v>
      </c>
      <c r="F298" t="inlineStr">
        <is>
          <t>VÄSTRA GÖTALANDS LÄN</t>
        </is>
      </c>
      <c r="G298" t="inlineStr">
        <is>
          <t>BORÅS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11446-2026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46083</v>
      </c>
      <c r="E299" s="1" t="n">
        <v>46221</v>
      </c>
      <c r="F299" t="inlineStr">
        <is>
          <t>VÄSTRA GÖTALANDS LÄN</t>
        </is>
      </c>
      <c r="G299" t="inlineStr">
        <is>
          <t>BORÅS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52827-2021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44467</v>
      </c>
      <c r="E300" s="1" t="n">
        <v>46221</v>
      </c>
      <c r="F300" t="inlineStr">
        <is>
          <t>VÄSTRA GÖTALANDS LÄN</t>
        </is>
      </c>
      <c r="G300" t="inlineStr">
        <is>
          <t>BORÅS</t>
        </is>
      </c>
      <c r="I300" t="n">
        <v>19.4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28065-2025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46221</v>
      </c>
      <c r="F301" t="inlineStr">
        <is>
          <t>VÄSTRA GÖTALANDS LÄN</t>
        </is>
      </c>
      <c r="G301" t="inlineStr">
        <is>
          <t>BORÅS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46382-2023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46221</v>
      </c>
      <c r="F302" t="inlineStr">
        <is>
          <t>VÄSTRA GÖTALANDS LÄN</t>
        </is>
      </c>
      <c r="G302" t="inlineStr">
        <is>
          <t>BORÅS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46221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Kommuner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19862-2023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45053</v>
      </c>
      <c r="E304" s="1" t="n">
        <v>46221</v>
      </c>
      <c r="F304" t="inlineStr">
        <is>
          <t>VÄSTRA GÖTALANDS LÄN</t>
        </is>
      </c>
      <c r="G304" t="inlineStr">
        <is>
          <t>BORÅS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58304-2025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45982</v>
      </c>
      <c r="E305" s="1" t="n">
        <v>46221</v>
      </c>
      <c r="F305" t="inlineStr">
        <is>
          <t>VÄSTRA GÖTALANDS LÄN</t>
        </is>
      </c>
      <c r="G305" t="inlineStr">
        <is>
          <t>BORÅS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  <c r="W305">
        <f>HYPERLINK("https://klasma.github.io/Logging_1490/kartor/A 58304-2025 karta.png", "A 58304-2025")</f>
        <v/>
      </c>
      <c r="Y305">
        <f>HYPERLINK("https://klasma.github.io/Logging_1490/klagomål/A 58304-2025 FSC-klagomål.docx", "A 58304-2025")</f>
        <v/>
      </c>
      <c r="Z305">
        <f>HYPERLINK("https://klasma.github.io/Logging_1490/klagomålsmail/A 58304-2025 FSC-klagomål mail.docx", "A 58304-2025")</f>
        <v/>
      </c>
      <c r="AA305">
        <f>HYPERLINK("https://klasma.github.io/Logging_1490/tillsyn/A 58304-2025 tillsynsbegäran.docx", "A 58304-2025")</f>
        <v/>
      </c>
      <c r="AB305">
        <f>HYPERLINK("https://klasma.github.io/Logging_1490/tillsynsmail/A 58304-2025 tillsynsbegäran mail.docx", "A 58304-2025")</f>
        <v/>
      </c>
    </row>
    <row r="306" ht="15" customHeight="1">
      <c r="A306" t="inlineStr">
        <is>
          <t>A 40118-2023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46221</v>
      </c>
      <c r="F306" t="inlineStr">
        <is>
          <t>VÄSTRA GÖTALANDS LÄN</t>
        </is>
      </c>
      <c r="G306" t="inlineStr">
        <is>
          <t>BORÅS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11996-2026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46221</v>
      </c>
      <c r="F307" t="inlineStr">
        <is>
          <t>VÄSTRA GÖTALANDS LÄN</t>
        </is>
      </c>
      <c r="G307" t="inlineStr">
        <is>
          <t>BORÅS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11874-2026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46221</v>
      </c>
      <c r="F308" t="inlineStr">
        <is>
          <t>VÄSTRA GÖTALANDS LÄN</t>
        </is>
      </c>
      <c r="G308" t="inlineStr">
        <is>
          <t>BORÅS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58303-2025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46221</v>
      </c>
      <c r="F309" t="inlineStr">
        <is>
          <t>VÄSTRA GÖTALANDS LÄN</t>
        </is>
      </c>
      <c r="G309" t="inlineStr">
        <is>
          <t>BORÅS</t>
        </is>
      </c>
      <c r="H309" t="inlineStr">
        <is>
          <t>Kommuner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11773-2026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46221</v>
      </c>
      <c r="F310" t="inlineStr">
        <is>
          <t>VÄSTRA GÖTALANDS LÄN</t>
        </is>
      </c>
      <c r="G310" t="inlineStr">
        <is>
          <t>BORÅS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58339-2025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46221</v>
      </c>
      <c r="F311" t="inlineStr">
        <is>
          <t>VÄSTRA GÖTALANDS LÄN</t>
        </is>
      </c>
      <c r="G311" t="inlineStr">
        <is>
          <t>BORÅS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46221</v>
      </c>
      <c r="F312" t="inlineStr">
        <is>
          <t>VÄSTRA GÖTALANDS LÄN</t>
        </is>
      </c>
      <c r="G312" t="inlineStr">
        <is>
          <t>BORÅS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44571</v>
      </c>
      <c r="E313" s="1" t="n">
        <v>46221</v>
      </c>
      <c r="F313" t="inlineStr">
        <is>
          <t>VÄSTRA GÖTALANDS LÄN</t>
        </is>
      </c>
      <c r="G313" t="inlineStr">
        <is>
          <t>BORÅS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59831-2025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46221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59392-2025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46221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Kyrkan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12635-2026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46091</v>
      </c>
      <c r="E316" s="1" t="n">
        <v>46221</v>
      </c>
      <c r="F316" t="inlineStr">
        <is>
          <t>VÄSTRA GÖTALANDS LÄN</t>
        </is>
      </c>
      <c r="G316" t="inlineStr">
        <is>
          <t>BORÅS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12516-2026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46221</v>
      </c>
      <c r="F317" t="inlineStr">
        <is>
          <t>VÄSTRA GÖTALANDS LÄN</t>
        </is>
      </c>
      <c r="G317" t="inlineStr">
        <is>
          <t>BORÅS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24852-2023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46221</v>
      </c>
      <c r="F318" t="inlineStr">
        <is>
          <t>VÄSTRA GÖTALANDS LÄN</t>
        </is>
      </c>
      <c r="G318" t="inlineStr">
        <is>
          <t>BORÅS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36781-2024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45538</v>
      </c>
      <c r="E319" s="1" t="n">
        <v>46221</v>
      </c>
      <c r="F319" t="inlineStr">
        <is>
          <t>VÄSTRA GÖTALANDS LÄN</t>
        </is>
      </c>
      <c r="G319" t="inlineStr">
        <is>
          <t>BORÅS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60195-2025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46221</v>
      </c>
      <c r="F320" t="inlineStr">
        <is>
          <t>VÄSTRA GÖTALANDS LÄN</t>
        </is>
      </c>
      <c r="G320" t="inlineStr">
        <is>
          <t>BORÅS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60204-2025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46221</v>
      </c>
      <c r="F321" t="inlineStr">
        <is>
          <t>VÄSTRA GÖTALANDS LÄN</t>
        </is>
      </c>
      <c r="G321" t="inlineStr">
        <is>
          <t>BORÅS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18937-2023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45044</v>
      </c>
      <c r="E322" s="1" t="n">
        <v>46221</v>
      </c>
      <c r="F322" t="inlineStr">
        <is>
          <t>VÄSTRA GÖTALANDS LÄN</t>
        </is>
      </c>
      <c r="G322" t="inlineStr">
        <is>
          <t>BORÅS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13729-2026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46097</v>
      </c>
      <c r="E323" s="1" t="n">
        <v>46221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60617-2025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45996</v>
      </c>
      <c r="E324" s="1" t="n">
        <v>46221</v>
      </c>
      <c r="F324" t="inlineStr">
        <is>
          <t>VÄSTRA GÖTALANDS LÄN</t>
        </is>
      </c>
      <c r="G324" t="inlineStr">
        <is>
          <t>BORÅS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14230-2026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46221</v>
      </c>
      <c r="F325" t="inlineStr">
        <is>
          <t>VÄSTRA GÖTALANDS LÄN</t>
        </is>
      </c>
      <c r="G325" t="inlineStr">
        <is>
          <t>BORÅS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57670-2022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46221</v>
      </c>
      <c r="F326" t="inlineStr">
        <is>
          <t>VÄSTRA GÖTALANDS LÄN</t>
        </is>
      </c>
      <c r="G326" t="inlineStr">
        <is>
          <t>BORÅS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61453-2024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45646</v>
      </c>
      <c r="E327" s="1" t="n">
        <v>46221</v>
      </c>
      <c r="F327" t="inlineStr">
        <is>
          <t>VÄSTRA GÖTALANDS LÄN</t>
        </is>
      </c>
      <c r="G327" t="inlineStr">
        <is>
          <t>BORÅS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14275-2026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46099</v>
      </c>
      <c r="E328" s="1" t="n">
        <v>46221</v>
      </c>
      <c r="F328" t="inlineStr">
        <is>
          <t>VÄSTRA GÖTALANDS LÄN</t>
        </is>
      </c>
      <c r="G328" t="inlineStr">
        <is>
          <t>BORÅS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49477-2023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46221</v>
      </c>
      <c r="F329" t="inlineStr">
        <is>
          <t>VÄSTRA GÖTALANDS LÄN</t>
        </is>
      </c>
      <c r="G329" t="inlineStr">
        <is>
          <t>BORÅS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27146-2023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46221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57365-2022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44896</v>
      </c>
      <c r="E331" s="1" t="n">
        <v>46221</v>
      </c>
      <c r="F331" t="inlineStr">
        <is>
          <t>VÄSTRA GÖTALANDS LÄN</t>
        </is>
      </c>
      <c r="G331" t="inlineStr">
        <is>
          <t>BORÅS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50359-2023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45216</v>
      </c>
      <c r="E332" s="1" t="n">
        <v>46221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30078-2023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45110</v>
      </c>
      <c r="E333" s="1" t="n">
        <v>46221</v>
      </c>
      <c r="F333" t="inlineStr">
        <is>
          <t>VÄSTRA GÖTALANDS LÄN</t>
        </is>
      </c>
      <c r="G333" t="inlineStr">
        <is>
          <t>BORÅS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47616-2022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44854</v>
      </c>
      <c r="E334" s="1" t="n">
        <v>46221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19852-2025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45771</v>
      </c>
      <c r="E335" s="1" t="n">
        <v>46221</v>
      </c>
      <c r="F335" t="inlineStr">
        <is>
          <t>VÄSTRA GÖTALANDS LÄN</t>
        </is>
      </c>
      <c r="G335" t="inlineStr">
        <is>
          <t>BORÅS</t>
        </is>
      </c>
      <c r="I335" t="n">
        <v>8.6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11770-2025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46221</v>
      </c>
      <c r="F336" t="inlineStr">
        <is>
          <t>VÄSTRA GÖTALANDS LÄN</t>
        </is>
      </c>
      <c r="G336" t="inlineStr">
        <is>
          <t>BORÅS</t>
        </is>
      </c>
      <c r="H336" t="inlineStr">
        <is>
          <t>Kyrkan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62692-2025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46221</v>
      </c>
      <c r="F337" t="inlineStr">
        <is>
          <t>VÄSTRA GÖTALANDS LÄN</t>
        </is>
      </c>
      <c r="G337" t="inlineStr">
        <is>
          <t>BORÅS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62850-2025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46221</v>
      </c>
      <c r="F338" t="inlineStr">
        <is>
          <t>VÄSTRA GÖTALANDS LÄN</t>
        </is>
      </c>
      <c r="G338" t="inlineStr">
        <is>
          <t>BORÅS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45097</v>
      </c>
      <c r="E339" s="1" t="n">
        <v>46221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44949</v>
      </c>
      <c r="E340" s="1" t="n">
        <v>46221</v>
      </c>
      <c r="F340" t="inlineStr">
        <is>
          <t>VÄSTRA GÖTALANDS LÄN</t>
        </is>
      </c>
      <c r="G340" t="inlineStr">
        <is>
          <t>BORÅS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19537-2025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46221</v>
      </c>
      <c r="F341" t="inlineStr">
        <is>
          <t>VÄSTRA GÖTALANDS LÄN</t>
        </is>
      </c>
      <c r="G341" t="inlineStr">
        <is>
          <t>BORÅS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50382-2022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44866</v>
      </c>
      <c r="E342" s="1" t="n">
        <v>46221</v>
      </c>
      <c r="F342" t="inlineStr">
        <is>
          <t>VÄSTRA GÖTALANDS LÄN</t>
        </is>
      </c>
      <c r="G342" t="inlineStr">
        <is>
          <t>BORÅS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54875-2022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44886</v>
      </c>
      <c r="E343" s="1" t="n">
        <v>46221</v>
      </c>
      <c r="F343" t="inlineStr">
        <is>
          <t>VÄSTRA GÖTALANDS LÄN</t>
        </is>
      </c>
      <c r="G343" t="inlineStr">
        <is>
          <t>BORÅS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54871-2022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44886</v>
      </c>
      <c r="E344" s="1" t="n">
        <v>46221</v>
      </c>
      <c r="F344" t="inlineStr">
        <is>
          <t>VÄSTRA GÖTALANDS LÄN</t>
        </is>
      </c>
      <c r="G344" t="inlineStr">
        <is>
          <t>BORÅS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54878-2022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46221</v>
      </c>
      <c r="F345" t="inlineStr">
        <is>
          <t>VÄSTRA GÖTALANDS LÄN</t>
        </is>
      </c>
      <c r="G345" t="inlineStr">
        <is>
          <t>BORÅS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4757-2025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45688</v>
      </c>
      <c r="E346" s="1" t="n">
        <v>46221</v>
      </c>
      <c r="F346" t="inlineStr">
        <is>
          <t>VÄSTRA GÖTALANDS LÄN</t>
        </is>
      </c>
      <c r="G346" t="inlineStr">
        <is>
          <t>BORÅS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46221</v>
      </c>
      <c r="F347" t="inlineStr">
        <is>
          <t>VÄSTRA GÖTALANDS LÄN</t>
        </is>
      </c>
      <c r="G347" t="inlineStr">
        <is>
          <t>BORÅS</t>
        </is>
      </c>
      <c r="I347" t="n">
        <v>12.8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53930-2024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45615</v>
      </c>
      <c r="E348" s="1" t="n">
        <v>46221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58771-2021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44489</v>
      </c>
      <c r="E349" s="1" t="n">
        <v>46221</v>
      </c>
      <c r="F349" t="inlineStr">
        <is>
          <t>VÄSTRA GÖTALANDS LÄN</t>
        </is>
      </c>
      <c r="G349" t="inlineStr">
        <is>
          <t>BORÅS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46221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9096-2025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46221</v>
      </c>
      <c r="F351" t="inlineStr">
        <is>
          <t>VÄSTRA GÖTALANDS LÄN</t>
        </is>
      </c>
      <c r="G351" t="inlineStr">
        <is>
          <t>BORÅS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45715</v>
      </c>
      <c r="E352" s="1" t="n">
        <v>46221</v>
      </c>
      <c r="F352" t="inlineStr">
        <is>
          <t>VÄSTRA GÖTALANDS LÄN</t>
        </is>
      </c>
      <c r="G352" t="inlineStr">
        <is>
          <t>BORÅS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46221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15365-2026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46221</v>
      </c>
      <c r="F354" t="inlineStr">
        <is>
          <t>VÄSTRA GÖTALANDS LÄN</t>
        </is>
      </c>
      <c r="G354" t="inlineStr">
        <is>
          <t>BORÅS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46221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14913-2026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46221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15193-2026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46105</v>
      </c>
      <c r="E357" s="1" t="n">
        <v>46221</v>
      </c>
      <c r="F357" t="inlineStr">
        <is>
          <t>VÄSTRA GÖTALANDS LÄN</t>
        </is>
      </c>
      <c r="G357" t="inlineStr">
        <is>
          <t>BORÅS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29854-2023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45099</v>
      </c>
      <c r="E358" s="1" t="n">
        <v>46221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72566-2021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44546</v>
      </c>
      <c r="E359" s="1" t="n">
        <v>46221</v>
      </c>
      <c r="F359" t="inlineStr">
        <is>
          <t>VÄSTRA GÖTALANDS LÄN</t>
        </is>
      </c>
      <c r="G359" t="inlineStr">
        <is>
          <t>BORÅS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47624-2021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44448</v>
      </c>
      <c r="E360" s="1" t="n">
        <v>46221</v>
      </c>
      <c r="F360" t="inlineStr">
        <is>
          <t>VÄSTRA GÖTALANDS LÄN</t>
        </is>
      </c>
      <c r="G360" t="inlineStr">
        <is>
          <t>BORÅS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46221</v>
      </c>
      <c r="F361" t="inlineStr">
        <is>
          <t>VÄSTRA GÖTALANDS LÄN</t>
        </is>
      </c>
      <c r="G361" t="inlineStr">
        <is>
          <t>BORÅS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32472-2023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46221</v>
      </c>
      <c r="F362" t="inlineStr">
        <is>
          <t>VÄSTRA GÖTALANDS LÄN</t>
        </is>
      </c>
      <c r="G362" t="inlineStr">
        <is>
          <t>BORÅS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32482-2023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45120</v>
      </c>
      <c r="E363" s="1" t="n">
        <v>46221</v>
      </c>
      <c r="F363" t="inlineStr">
        <is>
          <t>VÄSTRA GÖTALANDS LÄN</t>
        </is>
      </c>
      <c r="G363" t="inlineStr">
        <is>
          <t>BORÅS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29318-2024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45483</v>
      </c>
      <c r="E364" s="1" t="n">
        <v>46221</v>
      </c>
      <c r="F364" t="inlineStr">
        <is>
          <t>VÄSTRA GÖTALANDS LÄN</t>
        </is>
      </c>
      <c r="G364" t="inlineStr">
        <is>
          <t>BORÅS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32450-2023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45120</v>
      </c>
      <c r="E365" s="1" t="n">
        <v>46221</v>
      </c>
      <c r="F365" t="inlineStr">
        <is>
          <t>VÄSTRA GÖTALANDS LÄN</t>
        </is>
      </c>
      <c r="G365" t="inlineStr">
        <is>
          <t>BORÅS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45329</v>
      </c>
      <c r="E366" s="1" t="n">
        <v>46221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45483</v>
      </c>
      <c r="E367" s="1" t="n">
        <v>46221</v>
      </c>
      <c r="F367" t="inlineStr">
        <is>
          <t>VÄSTRA GÖTALANDS LÄN</t>
        </is>
      </c>
      <c r="G367" t="inlineStr">
        <is>
          <t>BORÅS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62773-2023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46221</v>
      </c>
      <c r="F368" t="inlineStr">
        <is>
          <t>VÄSTRA GÖTALANDS LÄN</t>
        </is>
      </c>
      <c r="G368" t="inlineStr">
        <is>
          <t>BORÅS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46221</v>
      </c>
      <c r="F369" t="inlineStr">
        <is>
          <t>VÄSTRA GÖTALANDS LÄN</t>
        </is>
      </c>
      <c r="G369" t="inlineStr">
        <is>
          <t>BORÅS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2198-2026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46221</v>
      </c>
      <c r="F370" t="inlineStr">
        <is>
          <t>VÄSTRA GÖTALANDS LÄN</t>
        </is>
      </c>
      <c r="G370" t="inlineStr">
        <is>
          <t>BORÅS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46221</v>
      </c>
      <c r="F371" t="inlineStr">
        <is>
          <t>VÄSTRA GÖTALANDS LÄN</t>
        </is>
      </c>
      <c r="G371" t="inlineStr">
        <is>
          <t>BORÅS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20062-2025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45772</v>
      </c>
      <c r="E372" s="1" t="n">
        <v>46221</v>
      </c>
      <c r="F372" t="inlineStr">
        <is>
          <t>VÄSTRA GÖTALANDS LÄN</t>
        </is>
      </c>
      <c r="G372" t="inlineStr">
        <is>
          <t>BORÅS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25165-2024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45462</v>
      </c>
      <c r="E373" s="1" t="n">
        <v>46221</v>
      </c>
      <c r="F373" t="inlineStr">
        <is>
          <t>VÄSTRA GÖTALANDS LÄN</t>
        </is>
      </c>
      <c r="G373" t="inlineStr">
        <is>
          <t>BORÅS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46221</v>
      </c>
      <c r="F374" t="inlineStr">
        <is>
          <t>VÄSTRA GÖTALANDS LÄN</t>
        </is>
      </c>
      <c r="G374" t="inlineStr">
        <is>
          <t>BORÅS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21331-2023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46221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46221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38355-2024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45545</v>
      </c>
      <c r="E377" s="1" t="n">
        <v>46221</v>
      </c>
      <c r="F377" t="inlineStr">
        <is>
          <t>VÄSTRA GÖTALANDS LÄN</t>
        </is>
      </c>
      <c r="G377" t="inlineStr">
        <is>
          <t>BORÅS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16406-2026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46221</v>
      </c>
      <c r="F378" t="inlineStr">
        <is>
          <t>VÄSTRA GÖTALANDS LÄN</t>
        </is>
      </c>
      <c r="G378" t="inlineStr">
        <is>
          <t>BORÅS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45294</v>
      </c>
      <c r="E379" s="1" t="n">
        <v>46221</v>
      </c>
      <c r="F379" t="inlineStr">
        <is>
          <t>VÄSTRA GÖTALANDS LÄN</t>
        </is>
      </c>
      <c r="G379" t="inlineStr">
        <is>
          <t>BORÅS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55959-2022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44889</v>
      </c>
      <c r="E380" s="1" t="n">
        <v>46221</v>
      </c>
      <c r="F380" t="inlineStr">
        <is>
          <t>VÄSTRA GÖTALANDS LÄN</t>
        </is>
      </c>
      <c r="G380" t="inlineStr">
        <is>
          <t>BORÅS</t>
        </is>
      </c>
      <c r="H380" t="inlineStr">
        <is>
          <t>Kyrkan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44703-2021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44438</v>
      </c>
      <c r="E381" s="1" t="n">
        <v>46221</v>
      </c>
      <c r="F381" t="inlineStr">
        <is>
          <t>VÄSTRA GÖTALANDS LÄN</t>
        </is>
      </c>
      <c r="G381" t="inlineStr">
        <is>
          <t>BORÅS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17234-2026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46119</v>
      </c>
      <c r="E382" s="1" t="n">
        <v>46221</v>
      </c>
      <c r="F382" t="inlineStr">
        <is>
          <t>VÄSTRA GÖTALANDS LÄN</t>
        </is>
      </c>
      <c r="G382" t="inlineStr">
        <is>
          <t>BORÅS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32473-2023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45120</v>
      </c>
      <c r="E383" s="1" t="n">
        <v>46221</v>
      </c>
      <c r="F383" t="inlineStr">
        <is>
          <t>VÄSTRA GÖTALANDS LÄN</t>
        </is>
      </c>
      <c r="G383" t="inlineStr">
        <is>
          <t>BORÅS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3103-2024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46221</v>
      </c>
      <c r="F384" t="inlineStr">
        <is>
          <t>VÄSTRA GÖTALANDS LÄN</t>
        </is>
      </c>
      <c r="G384" t="inlineStr">
        <is>
          <t>BORÅS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59217-2024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45637</v>
      </c>
      <c r="E385" s="1" t="n">
        <v>46221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48504-2024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46221</v>
      </c>
      <c r="F386" t="inlineStr">
        <is>
          <t>VÄSTRA GÖTALANDS LÄN</t>
        </is>
      </c>
      <c r="G386" t="inlineStr">
        <is>
          <t>BORÅS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38509-2023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46221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53125-2024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45611</v>
      </c>
      <c r="E388" s="1" t="n">
        <v>46221</v>
      </c>
      <c r="F388" t="inlineStr">
        <is>
          <t>VÄSTRA GÖTALANDS LÄN</t>
        </is>
      </c>
      <c r="G388" t="inlineStr">
        <is>
          <t>BORÅS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19112-2026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46221</v>
      </c>
      <c r="F389" t="inlineStr">
        <is>
          <t>VÄSTRA GÖTALANDS LÄN</t>
        </is>
      </c>
      <c r="G389" t="inlineStr">
        <is>
          <t>BORÅS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18695-2026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46221</v>
      </c>
      <c r="F390" t="inlineStr">
        <is>
          <t>VÄSTRA GÖTALANDS LÄN</t>
        </is>
      </c>
      <c r="G390" t="inlineStr">
        <is>
          <t>BORÅS</t>
        </is>
      </c>
      <c r="I390" t="n">
        <v>9.199999999999999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42117-2024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45562</v>
      </c>
      <c r="E391" s="1" t="n">
        <v>46221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8240-2022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44609</v>
      </c>
      <c r="E392" s="1" t="n">
        <v>46221</v>
      </c>
      <c r="F392" t="inlineStr">
        <is>
          <t>VÄSTRA GÖTALANDS LÄN</t>
        </is>
      </c>
      <c r="G392" t="inlineStr">
        <is>
          <t>BORÅS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1514-2025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45670</v>
      </c>
      <c r="E393" s="1" t="n">
        <v>46221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46221</v>
      </c>
      <c r="F394" t="inlineStr">
        <is>
          <t>VÄSTRA GÖTALANDS LÄN</t>
        </is>
      </c>
      <c r="G394" t="inlineStr">
        <is>
          <t>BORÅS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65064-2021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44515</v>
      </c>
      <c r="E395" s="1" t="n">
        <v>46221</v>
      </c>
      <c r="F395" t="inlineStr">
        <is>
          <t>VÄSTRA GÖTALANDS LÄN</t>
        </is>
      </c>
      <c r="G395" t="inlineStr">
        <is>
          <t>BORÅS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32237-2023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46221</v>
      </c>
      <c r="F396" t="inlineStr">
        <is>
          <t>VÄSTRA GÖTALANDS LÄN</t>
        </is>
      </c>
      <c r="G396" t="inlineStr">
        <is>
          <t>BORÅS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19345-2026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46221</v>
      </c>
      <c r="F397" t="inlineStr">
        <is>
          <t>VÄSTRA GÖTALANDS LÄN</t>
        </is>
      </c>
      <c r="G397" t="inlineStr">
        <is>
          <t>BORÅS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57429-2024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46221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45217</v>
      </c>
      <c r="E399" s="1" t="n">
        <v>46221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46134-2023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46221</v>
      </c>
      <c r="F400" t="inlineStr">
        <is>
          <t>VÄSTRA GÖTALANDS LÄN</t>
        </is>
      </c>
      <c r="G400" t="inlineStr">
        <is>
          <t>BORÅS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72806-2021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44547</v>
      </c>
      <c r="E401" s="1" t="n">
        <v>46221</v>
      </c>
      <c r="F401" t="inlineStr">
        <is>
          <t>VÄSTRA GÖTALANDS LÄN</t>
        </is>
      </c>
      <c r="G401" t="inlineStr">
        <is>
          <t>BORÅS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9056-2024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46221</v>
      </c>
      <c r="F402" t="inlineStr">
        <is>
          <t>VÄSTRA GÖTALANDS LÄN</t>
        </is>
      </c>
      <c r="G402" t="inlineStr">
        <is>
          <t>BORÅS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19936-2023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45054</v>
      </c>
      <c r="E403" s="1" t="n">
        <v>46221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58000-2024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45631</v>
      </c>
      <c r="E404" s="1" t="n">
        <v>46221</v>
      </c>
      <c r="F404" t="inlineStr">
        <is>
          <t>VÄSTRA GÖTALANDS LÄN</t>
        </is>
      </c>
      <c r="G404" t="inlineStr">
        <is>
          <t>BORÅS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46221</v>
      </c>
      <c r="F405" t="inlineStr">
        <is>
          <t>VÄSTRA GÖTALANDS LÄN</t>
        </is>
      </c>
      <c r="G405" t="inlineStr">
        <is>
          <t>BORÅS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13107-2022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44644</v>
      </c>
      <c r="E406" s="1" t="n">
        <v>46221</v>
      </c>
      <c r="F406" t="inlineStr">
        <is>
          <t>VÄSTRA GÖTALANDS LÄN</t>
        </is>
      </c>
      <c r="G406" t="inlineStr">
        <is>
          <t>BORÅS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46221</v>
      </c>
      <c r="F407" t="inlineStr">
        <is>
          <t>VÄSTRA GÖTALANDS LÄN</t>
        </is>
      </c>
      <c r="G407" t="inlineStr">
        <is>
          <t>BORÅS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27335-2024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45472</v>
      </c>
      <c r="E408" s="1" t="n">
        <v>46221</v>
      </c>
      <c r="F408" t="inlineStr">
        <is>
          <t>VÄSTRA GÖTALANDS LÄN</t>
        </is>
      </c>
      <c r="G408" t="inlineStr">
        <is>
          <t>BORÅS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45618-2024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45579</v>
      </c>
      <c r="E409" s="1" t="n">
        <v>46221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32051-2023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46221</v>
      </c>
      <c r="F410" t="inlineStr">
        <is>
          <t>VÄSTRA GÖTALANDS LÄN</t>
        </is>
      </c>
      <c r="G410" t="inlineStr">
        <is>
          <t>BORÅS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23325-2024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46221</v>
      </c>
      <c r="F411" t="inlineStr">
        <is>
          <t>VÄSTRA GÖTALANDS LÄN</t>
        </is>
      </c>
      <c r="G411" t="inlineStr">
        <is>
          <t>BORÅS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19691-2024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45432</v>
      </c>
      <c r="E412" s="1" t="n">
        <v>46221</v>
      </c>
      <c r="F412" t="inlineStr">
        <is>
          <t>VÄSTRA GÖTALANDS LÄN</t>
        </is>
      </c>
      <c r="G412" t="inlineStr">
        <is>
          <t>BORÅS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12584-2022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44639</v>
      </c>
      <c r="E413" s="1" t="n">
        <v>46221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46221</v>
      </c>
      <c r="F414" t="inlineStr">
        <is>
          <t>VÄSTRA GÖTALANDS LÄN</t>
        </is>
      </c>
      <c r="G414" t="inlineStr">
        <is>
          <t>BORÅS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70988-2021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44538</v>
      </c>
      <c r="E415" s="1" t="n">
        <v>46221</v>
      </c>
      <c r="F415" t="inlineStr">
        <is>
          <t>VÄSTRA GÖTALANDS LÄN</t>
        </is>
      </c>
      <c r="G415" t="inlineStr">
        <is>
          <t>BORÅS</t>
        </is>
      </c>
      <c r="H415" t="inlineStr">
        <is>
          <t>Kommuner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46158-2023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45196</v>
      </c>
      <c r="E416" s="1" t="n">
        <v>46221</v>
      </c>
      <c r="F416" t="inlineStr">
        <is>
          <t>VÄSTRA GÖTALANDS LÄN</t>
        </is>
      </c>
      <c r="G416" t="inlineStr">
        <is>
          <t>BORÅS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41778-2023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46221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46221</v>
      </c>
      <c r="F418" t="inlineStr">
        <is>
          <t>VÄSTRA GÖTALANDS LÄN</t>
        </is>
      </c>
      <c r="G418" t="inlineStr">
        <is>
          <t>BORÅS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28002-2023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45098</v>
      </c>
      <c r="E419" s="1" t="n">
        <v>46221</v>
      </c>
      <c r="F419" t="inlineStr">
        <is>
          <t>VÄSTRA GÖTALANDS LÄN</t>
        </is>
      </c>
      <c r="G419" t="inlineStr">
        <is>
          <t>BORÅS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44879-2023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45190</v>
      </c>
      <c r="E420" s="1" t="n">
        <v>46221</v>
      </c>
      <c r="F420" t="inlineStr">
        <is>
          <t>VÄSTRA GÖTALANDS LÄN</t>
        </is>
      </c>
      <c r="G420" t="inlineStr">
        <is>
          <t>BORÅS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8182-2024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45351</v>
      </c>
      <c r="E421" s="1" t="n">
        <v>46221</v>
      </c>
      <c r="F421" t="inlineStr">
        <is>
          <t>VÄSTRA GÖTALANDS LÄN</t>
        </is>
      </c>
      <c r="G421" t="inlineStr">
        <is>
          <t>BORÅS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21739-2026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46147</v>
      </c>
      <c r="E422" s="1" t="n">
        <v>46221</v>
      </c>
      <c r="F422" t="inlineStr">
        <is>
          <t>VÄSTRA GÖTALANDS LÄN</t>
        </is>
      </c>
      <c r="G422" t="inlineStr">
        <is>
          <t>BORÅS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58895-2024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45636</v>
      </c>
      <c r="E423" s="1" t="n">
        <v>46221</v>
      </c>
      <c r="F423" t="inlineStr">
        <is>
          <t>VÄSTRA GÖTALANDS LÄN</t>
        </is>
      </c>
      <c r="G423" t="inlineStr">
        <is>
          <t>BORÅS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36016-2025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45863</v>
      </c>
      <c r="E424" s="1" t="n">
        <v>46221</v>
      </c>
      <c r="F424" t="inlineStr">
        <is>
          <t>VÄSTRA GÖTALANDS LÄN</t>
        </is>
      </c>
      <c r="G424" t="inlineStr">
        <is>
          <t>BORÅS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35480-2025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46221</v>
      </c>
      <c r="F425" t="inlineStr">
        <is>
          <t>VÄSTRA GÖTALANDS LÄN</t>
        </is>
      </c>
      <c r="G425" t="inlineStr">
        <is>
          <t>BORÅS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46221</v>
      </c>
      <c r="F426" t="inlineStr">
        <is>
          <t>VÄSTRA GÖTALANDS LÄN</t>
        </is>
      </c>
      <c r="G426" t="inlineStr">
        <is>
          <t>BORÅS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46221</v>
      </c>
      <c r="F427" t="inlineStr">
        <is>
          <t>VÄSTRA GÖTALANDS LÄN</t>
        </is>
      </c>
      <c r="G427" t="inlineStr">
        <is>
          <t>BORÅS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26233-2026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46221</v>
      </c>
      <c r="F428" t="inlineStr">
        <is>
          <t>VÄSTRA GÖTALANDS LÄN</t>
        </is>
      </c>
      <c r="G428" t="inlineStr">
        <is>
          <t>BORÅS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28539-2025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46221</v>
      </c>
      <c r="F429" t="inlineStr">
        <is>
          <t>VÄSTRA GÖTALANDS LÄN</t>
        </is>
      </c>
      <c r="G429" t="inlineStr">
        <is>
          <t>BORÅS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52367-2025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46221</v>
      </c>
      <c r="F430" t="inlineStr">
        <is>
          <t>VÄSTRA GÖTALANDS LÄN</t>
        </is>
      </c>
      <c r="G430" t="inlineStr">
        <is>
          <t>BORÅS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53973-2023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45231</v>
      </c>
      <c r="E431" s="1" t="n">
        <v>46221</v>
      </c>
      <c r="F431" t="inlineStr">
        <is>
          <t>VÄSTRA GÖTALANDS LÄN</t>
        </is>
      </c>
      <c r="G431" t="inlineStr">
        <is>
          <t>BORÅS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26133-2025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46221</v>
      </c>
      <c r="F432" t="inlineStr">
        <is>
          <t>VÄSTRA GÖTALANDS LÄN</t>
        </is>
      </c>
      <c r="G432" t="inlineStr">
        <is>
          <t>BORÅS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48150-2023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45205</v>
      </c>
      <c r="E433" s="1" t="n">
        <v>46221</v>
      </c>
      <c r="F433" t="inlineStr">
        <is>
          <t>VÄSTRA GÖTALANDS LÄN</t>
        </is>
      </c>
      <c r="G433" t="inlineStr">
        <is>
          <t>BORÅS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49729-2023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45212</v>
      </c>
      <c r="E434" s="1" t="n">
        <v>46221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33837-2025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45842</v>
      </c>
      <c r="E435" s="1" t="n">
        <v>46221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57422-2024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46221</v>
      </c>
      <c r="F436" t="inlineStr">
        <is>
          <t>VÄSTRA GÖTALANDS LÄN</t>
        </is>
      </c>
      <c r="G436" t="inlineStr">
        <is>
          <t>BORÅS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35800-2023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45148</v>
      </c>
      <c r="E437" s="1" t="n">
        <v>46221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36635-2025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45870</v>
      </c>
      <c r="E438" s="1" t="n">
        <v>46221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28219-2023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46221</v>
      </c>
      <c r="F439" t="inlineStr">
        <is>
          <t>VÄSTRA GÖTALANDS LÄN</t>
        </is>
      </c>
      <c r="G439" t="inlineStr">
        <is>
          <t>BORÅS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36605-2025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45870</v>
      </c>
      <c r="E440" s="1" t="n">
        <v>46221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33150-2023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46221</v>
      </c>
      <c r="F441" t="inlineStr">
        <is>
          <t>VÄSTRA GÖTALANDS LÄN</t>
        </is>
      </c>
      <c r="G441" t="inlineStr">
        <is>
          <t>BORÅS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32198-2023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45119</v>
      </c>
      <c r="E442" s="1" t="n">
        <v>46221</v>
      </c>
      <c r="F442" t="inlineStr">
        <is>
          <t>VÄSTRA GÖTALANDS LÄN</t>
        </is>
      </c>
      <c r="G442" t="inlineStr">
        <is>
          <t>BORÅS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32234-2023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45119</v>
      </c>
      <c r="E443" s="1" t="n">
        <v>46221</v>
      </c>
      <c r="F443" t="inlineStr">
        <is>
          <t>VÄSTRA GÖTALANDS LÄN</t>
        </is>
      </c>
      <c r="G443" t="inlineStr">
        <is>
          <t>BORÅS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45685</v>
      </c>
      <c r="E444" s="1" t="n">
        <v>46221</v>
      </c>
      <c r="F444" t="inlineStr">
        <is>
          <t>VÄSTRA GÖTALANDS LÄN</t>
        </is>
      </c>
      <c r="G444" t="inlineStr">
        <is>
          <t>BORÅS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32742-2024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45516</v>
      </c>
      <c r="E445" s="1" t="n">
        <v>46221</v>
      </c>
      <c r="F445" t="inlineStr">
        <is>
          <t>VÄSTRA GÖTALANDS LÄN</t>
        </is>
      </c>
      <c r="G445" t="inlineStr">
        <is>
          <t>BORÅS</t>
        </is>
      </c>
      <c r="I445" t="n">
        <v>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55146-2025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46221</v>
      </c>
      <c r="F446" t="inlineStr">
        <is>
          <t>VÄSTRA GÖTALANDS LÄN</t>
        </is>
      </c>
      <c r="G446" t="inlineStr">
        <is>
          <t>BORÅS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14396-2025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45741</v>
      </c>
      <c r="E447" s="1" t="n">
        <v>46221</v>
      </c>
      <c r="F447" t="inlineStr">
        <is>
          <t>VÄSTRA GÖTALANDS LÄN</t>
        </is>
      </c>
      <c r="G447" t="inlineStr">
        <is>
          <t>BORÅS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46183</v>
      </c>
      <c r="E448" s="1" t="n">
        <v>46221</v>
      </c>
      <c r="F448" t="inlineStr">
        <is>
          <t>VÄSTRA GÖTALANDS LÄN</t>
        </is>
      </c>
      <c r="G448" t="inlineStr">
        <is>
          <t>BORÅS</t>
        </is>
      </c>
      <c r="H448" t="inlineStr">
        <is>
          <t>Kyrkan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26562-2026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46221</v>
      </c>
      <c r="F449" t="inlineStr">
        <is>
          <t>VÄSTRA GÖTALANDS LÄN</t>
        </is>
      </c>
      <c r="G449" t="inlineStr">
        <is>
          <t>BORÅS</t>
        </is>
      </c>
      <c r="H449" t="inlineStr">
        <is>
          <t>Kyrkan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61681-2023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46221</v>
      </c>
      <c r="F450" t="inlineStr">
        <is>
          <t>VÄSTRA GÖTALANDS LÄN</t>
        </is>
      </c>
      <c r="G450" t="inlineStr">
        <is>
          <t>BORÅS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26540-2026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46221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20601-2026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46221</v>
      </c>
      <c r="F452" t="inlineStr">
        <is>
          <t>VÄSTRA GÖTALANDS LÄN</t>
        </is>
      </c>
      <c r="G452" t="inlineStr">
        <is>
          <t>BORÅS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32483-2023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45120</v>
      </c>
      <c r="E453" s="1" t="n">
        <v>46221</v>
      </c>
      <c r="F453" t="inlineStr">
        <is>
          <t>VÄSTRA GÖTALANDS LÄN</t>
        </is>
      </c>
      <c r="G453" t="inlineStr">
        <is>
          <t>BORÅS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55952-2023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46221</v>
      </c>
      <c r="F454" t="inlineStr">
        <is>
          <t>VÄSTRA GÖTALANDS LÄN</t>
        </is>
      </c>
      <c r="G454" t="inlineStr">
        <is>
          <t>BORÅS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45302</v>
      </c>
      <c r="E455" s="1" t="n">
        <v>46221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Sveaskog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21168-2022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44704</v>
      </c>
      <c r="E456" s="1" t="n">
        <v>46221</v>
      </c>
      <c r="F456" t="inlineStr">
        <is>
          <t>VÄSTRA GÖTALANDS LÄN</t>
        </is>
      </c>
      <c r="G456" t="inlineStr">
        <is>
          <t>BORÅS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45294</v>
      </c>
      <c r="E457" s="1" t="n">
        <v>46221</v>
      </c>
      <c r="F457" t="inlineStr">
        <is>
          <t>VÄSTRA GÖTALANDS LÄN</t>
        </is>
      </c>
      <c r="G457" t="inlineStr">
        <is>
          <t>BORÅS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46221</v>
      </c>
      <c r="F458" t="inlineStr">
        <is>
          <t>VÄSTRA GÖTALANDS LÄN</t>
        </is>
      </c>
      <c r="G458" t="inlineStr">
        <is>
          <t>BORÅS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20653-2026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46141</v>
      </c>
      <c r="E459" s="1" t="n">
        <v>46221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26559-2026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46221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Kyrkan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26683-2026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46221</v>
      </c>
      <c r="F461" t="inlineStr">
        <is>
          <t>VÄSTRA GÖTALANDS LÄN</t>
        </is>
      </c>
      <c r="G461" t="inlineStr">
        <is>
          <t>BORÅS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15966-2025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45749</v>
      </c>
      <c r="E462" s="1" t="n">
        <v>46221</v>
      </c>
      <c r="F462" t="inlineStr">
        <is>
          <t>VÄSTRA GÖTALANDS LÄN</t>
        </is>
      </c>
      <c r="G462" t="inlineStr">
        <is>
          <t>BORÅS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55806-2023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45239</v>
      </c>
      <c r="E463" s="1" t="n">
        <v>46221</v>
      </c>
      <c r="F463" t="inlineStr">
        <is>
          <t>VÄSTRA GÖTALANDS LÄN</t>
        </is>
      </c>
      <c r="G463" t="inlineStr">
        <is>
          <t>BORÅS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45315</v>
      </c>
      <c r="E464" s="1" t="n">
        <v>46221</v>
      </c>
      <c r="F464" t="inlineStr">
        <is>
          <t>VÄSTRA GÖTALANDS LÄN</t>
        </is>
      </c>
      <c r="G464" t="inlineStr">
        <is>
          <t>BORÅS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43645-2023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45186</v>
      </c>
      <c r="E465" s="1" t="n">
        <v>46221</v>
      </c>
      <c r="F465" t="inlineStr">
        <is>
          <t>VÄSTRA GÖTALANDS LÄN</t>
        </is>
      </c>
      <c r="G465" t="inlineStr">
        <is>
          <t>BORÅS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54365-2023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45233</v>
      </c>
      <c r="E466" s="1" t="n">
        <v>46221</v>
      </c>
      <c r="F466" t="inlineStr">
        <is>
          <t>VÄSTRA GÖTALANDS LÄN</t>
        </is>
      </c>
      <c r="G466" t="inlineStr">
        <is>
          <t>BORÅS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17837-2025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45758</v>
      </c>
      <c r="E467" s="1" t="n">
        <v>46221</v>
      </c>
      <c r="F467" t="inlineStr">
        <is>
          <t>VÄSTRA GÖTALANDS LÄN</t>
        </is>
      </c>
      <c r="G467" t="inlineStr">
        <is>
          <t>BORÅS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62446-2023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45268</v>
      </c>
      <c r="E468" s="1" t="n">
        <v>46221</v>
      </c>
      <c r="F468" t="inlineStr">
        <is>
          <t>VÄSTRA GÖTALANDS LÄN</t>
        </is>
      </c>
      <c r="G468" t="inlineStr">
        <is>
          <t>BORÅS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17263-2025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45756</v>
      </c>
      <c r="E469" s="1" t="n">
        <v>46221</v>
      </c>
      <c r="F469" t="inlineStr">
        <is>
          <t>VÄSTRA GÖTALANDS LÄN</t>
        </is>
      </c>
      <c r="G469" t="inlineStr">
        <is>
          <t>BORÅS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65200-2023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45289</v>
      </c>
      <c r="E470" s="1" t="n">
        <v>46221</v>
      </c>
      <c r="F470" t="inlineStr">
        <is>
          <t>VÄSTRA GÖTALANDS LÄN</t>
        </is>
      </c>
      <c r="G470" t="inlineStr">
        <is>
          <t>BORÅS</t>
        </is>
      </c>
      <c r="I470" t="n">
        <v>12.5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27206-2026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46221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20279-2026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46136</v>
      </c>
      <c r="E472" s="1" t="n">
        <v>46221</v>
      </c>
      <c r="F472" t="inlineStr">
        <is>
          <t>VÄSTRA GÖTALANDS LÄN</t>
        </is>
      </c>
      <c r="G472" t="inlineStr">
        <is>
          <t>BORÅS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36577-2022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44804</v>
      </c>
      <c r="E473" s="1" t="n">
        <v>46221</v>
      </c>
      <c r="F473" t="inlineStr">
        <is>
          <t>VÄSTRA GÖTALANDS LÄN</t>
        </is>
      </c>
      <c r="G473" t="inlineStr">
        <is>
          <t>BORÅS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3766-2024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45321</v>
      </c>
      <c r="E474" s="1" t="n">
        <v>46221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Kommuner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44155-2022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44839</v>
      </c>
      <c r="E475" s="1" t="n">
        <v>46221</v>
      </c>
      <c r="F475" t="inlineStr">
        <is>
          <t>VÄSTRA GÖTALANDS LÄN</t>
        </is>
      </c>
      <c r="G475" t="inlineStr">
        <is>
          <t>BORÅS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3784-2024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45321</v>
      </c>
      <c r="E476" s="1" t="n">
        <v>46221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45316</v>
      </c>
      <c r="E477" s="1" t="n">
        <v>46221</v>
      </c>
      <c r="F477" t="inlineStr">
        <is>
          <t>VÄSTRA GÖTALANDS LÄN</t>
        </is>
      </c>
      <c r="G477" t="inlineStr">
        <is>
          <t>BORÅS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56007-2023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45240</v>
      </c>
      <c r="E478" s="1" t="n">
        <v>46221</v>
      </c>
      <c r="F478" t="inlineStr">
        <is>
          <t>VÄSTRA GÖTALANDS LÄN</t>
        </is>
      </c>
      <c r="G478" t="inlineStr">
        <is>
          <t>BORÅS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56023-2023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46221</v>
      </c>
      <c r="F479" t="inlineStr">
        <is>
          <t>VÄSTRA GÖTALANDS LÄN</t>
        </is>
      </c>
      <c r="G479" t="inlineStr">
        <is>
          <t>BORÅS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62532-2022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46221</v>
      </c>
      <c r="F480" t="inlineStr">
        <is>
          <t>VÄSTRA GÖTALANDS LÄN</t>
        </is>
      </c>
      <c r="G480" t="inlineStr">
        <is>
          <t>BORÅS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45294</v>
      </c>
      <c r="E481" s="1" t="n">
        <v>46221</v>
      </c>
      <c r="F481" t="inlineStr">
        <is>
          <t>VÄSTRA GÖTALANDS LÄN</t>
        </is>
      </c>
      <c r="G481" t="inlineStr">
        <is>
          <t>BORÅS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57782-2022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44897</v>
      </c>
      <c r="E482" s="1" t="n">
        <v>46221</v>
      </c>
      <c r="F482" t="inlineStr">
        <is>
          <t>VÄSTRA GÖTALANDS LÄN</t>
        </is>
      </c>
      <c r="G482" t="inlineStr">
        <is>
          <t>BORÅS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45321</v>
      </c>
      <c r="E483" s="1" t="n">
        <v>46221</v>
      </c>
      <c r="F483" t="inlineStr">
        <is>
          <t>VÄSTRA GÖTALANDS LÄN</t>
        </is>
      </c>
      <c r="G483" t="inlineStr">
        <is>
          <t>BORÅS</t>
        </is>
      </c>
      <c r="H483" t="inlineStr">
        <is>
          <t>Kommuner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48449-2025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45935</v>
      </c>
      <c r="E484" s="1" t="n">
        <v>46221</v>
      </c>
      <c r="F484" t="inlineStr">
        <is>
          <t>VÄSTRA GÖTALANDS LÄN</t>
        </is>
      </c>
      <c r="G484" t="inlineStr">
        <is>
          <t>BORÅS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44506-2023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45189</v>
      </c>
      <c r="E485" s="1" t="n">
        <v>46221</v>
      </c>
      <c r="F485" t="inlineStr">
        <is>
          <t>VÄSTRA GÖTALANDS LÄN</t>
        </is>
      </c>
      <c r="G485" t="inlineStr">
        <is>
          <t>BORÅS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22104-2026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46153</v>
      </c>
      <c r="E486" s="1" t="n">
        <v>46221</v>
      </c>
      <c r="F486" t="inlineStr">
        <is>
          <t>VÄSTRA GÖTALANDS LÄN</t>
        </is>
      </c>
      <c r="G486" t="inlineStr">
        <is>
          <t>BORÅS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38970-2024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45548</v>
      </c>
      <c r="E487" s="1" t="n">
        <v>46221</v>
      </c>
      <c r="F487" t="inlineStr">
        <is>
          <t>VÄSTRA GÖTALANDS LÄN</t>
        </is>
      </c>
      <c r="G487" t="inlineStr">
        <is>
          <t>BORÅS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22013-2026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46153</v>
      </c>
      <c r="E488" s="1" t="n">
        <v>46221</v>
      </c>
      <c r="F488" t="inlineStr">
        <is>
          <t>VÄSTRA GÖTALANDS LÄN</t>
        </is>
      </c>
      <c r="G488" t="inlineStr">
        <is>
          <t>BORÅS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47850-2024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46221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46380-2023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45197</v>
      </c>
      <c r="E490" s="1" t="n">
        <v>46221</v>
      </c>
      <c r="F490" t="inlineStr">
        <is>
          <t>VÄSTRA GÖTALANDS LÄN</t>
        </is>
      </c>
      <c r="G490" t="inlineStr">
        <is>
          <t>BORÅS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52410-2023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45224</v>
      </c>
      <c r="E491" s="1" t="n">
        <v>46221</v>
      </c>
      <c r="F491" t="inlineStr">
        <is>
          <t>VÄSTRA GÖTALANDS LÄN</t>
        </is>
      </c>
      <c r="G491" t="inlineStr">
        <is>
          <t>BORÅS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46426-2023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45197</v>
      </c>
      <c r="E492" s="1" t="n">
        <v>46221</v>
      </c>
      <c r="F492" t="inlineStr">
        <is>
          <t>VÄSTRA GÖTALANDS LÄN</t>
        </is>
      </c>
      <c r="G492" t="inlineStr">
        <is>
          <t>BORÅS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42435-2023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45180</v>
      </c>
      <c r="E493" s="1" t="n">
        <v>46221</v>
      </c>
      <c r="F493" t="inlineStr">
        <is>
          <t>VÄSTRA GÖTALANDS LÄN</t>
        </is>
      </c>
      <c r="G493" t="inlineStr">
        <is>
          <t>BORÅS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5964-2023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44964</v>
      </c>
      <c r="E494" s="1" t="n">
        <v>46221</v>
      </c>
      <c r="F494" t="inlineStr">
        <is>
          <t>VÄSTRA GÖTALANDS LÄN</t>
        </is>
      </c>
      <c r="G494" t="inlineStr">
        <is>
          <t>BORÅS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49948-2023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45215</v>
      </c>
      <c r="E495" s="1" t="n">
        <v>46221</v>
      </c>
      <c r="F495" t="inlineStr">
        <is>
          <t>VÄSTRA GÖTALANDS LÄN</t>
        </is>
      </c>
      <c r="G495" t="inlineStr">
        <is>
          <t>BORÅS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22015-2026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46221</v>
      </c>
      <c r="F496" t="inlineStr">
        <is>
          <t>VÄSTRA GÖTALANDS LÄN</t>
        </is>
      </c>
      <c r="G496" t="inlineStr">
        <is>
          <t>BORÅS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22016-2026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46153</v>
      </c>
      <c r="E497" s="1" t="n">
        <v>46221</v>
      </c>
      <c r="F497" t="inlineStr">
        <is>
          <t>VÄSTRA GÖTALANDS LÄN</t>
        </is>
      </c>
      <c r="G497" t="inlineStr">
        <is>
          <t>BORÅS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22090-2026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46221</v>
      </c>
      <c r="F498" t="inlineStr">
        <is>
          <t>VÄSTRA GÖTALANDS LÄN</t>
        </is>
      </c>
      <c r="G498" t="inlineStr">
        <is>
          <t>BORÅS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22098-2026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46221</v>
      </c>
      <c r="F499" t="inlineStr">
        <is>
          <t>VÄSTRA GÖTALANDS LÄN</t>
        </is>
      </c>
      <c r="G499" t="inlineStr">
        <is>
          <t>BORÅS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52957-2022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44875</v>
      </c>
      <c r="E500" s="1" t="n">
        <v>46221</v>
      </c>
      <c r="F500" t="inlineStr">
        <is>
          <t>VÄSTRA GÖTALANDS LÄN</t>
        </is>
      </c>
      <c r="G500" t="inlineStr">
        <is>
          <t>BORÅS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41981-2024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46221</v>
      </c>
      <c r="F501" t="inlineStr">
        <is>
          <t>VÄSTRA GÖTALANDS LÄN</t>
        </is>
      </c>
      <c r="G501" t="inlineStr">
        <is>
          <t>BORÅS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22371-2026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46221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25317-2024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45462</v>
      </c>
      <c r="E503" s="1" t="n">
        <v>46221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22369-2026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46221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60931-2022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44914</v>
      </c>
      <c r="E505" s="1" t="n">
        <v>46221</v>
      </c>
      <c r="F505" t="inlineStr">
        <is>
          <t>VÄSTRA GÖTALANDS LÄN</t>
        </is>
      </c>
      <c r="G505" t="inlineStr">
        <is>
          <t>BORÅS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46221</v>
      </c>
      <c r="F506" t="inlineStr">
        <is>
          <t>VÄSTRA GÖTALANDS LÄN</t>
        </is>
      </c>
      <c r="G506" t="inlineStr">
        <is>
          <t>BORÅS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57906-2022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44900</v>
      </c>
      <c r="E507" s="1" t="n">
        <v>46221</v>
      </c>
      <c r="F507" t="inlineStr">
        <is>
          <t>VÄSTRA GÖTALANDS LÄN</t>
        </is>
      </c>
      <c r="G507" t="inlineStr">
        <is>
          <t>BORÅS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28627-2026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46221</v>
      </c>
      <c r="F508" t="inlineStr">
        <is>
          <t>VÄSTRA GÖTALANDS LÄN</t>
        </is>
      </c>
      <c r="G508" t="inlineStr">
        <is>
          <t>BORÅS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46221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58734-2021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44489</v>
      </c>
      <c r="E510" s="1" t="n">
        <v>46221</v>
      </c>
      <c r="F510" t="inlineStr">
        <is>
          <t>VÄSTRA GÖTALANDS LÄN</t>
        </is>
      </c>
      <c r="G510" t="inlineStr">
        <is>
          <t>BORÅS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14990-2023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45015</v>
      </c>
      <c r="E511" s="1" t="n">
        <v>46221</v>
      </c>
      <c r="F511" t="inlineStr">
        <is>
          <t>VÄSTRA GÖTALANDS LÄN</t>
        </is>
      </c>
      <c r="G511" t="inlineStr">
        <is>
          <t>BORÅS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11903-2023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44995</v>
      </c>
      <c r="E512" s="1" t="n">
        <v>46221</v>
      </c>
      <c r="F512" t="inlineStr">
        <is>
          <t>VÄSTRA GÖTALANDS LÄN</t>
        </is>
      </c>
      <c r="G512" t="inlineStr">
        <is>
          <t>BORÅS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40611-2021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44420</v>
      </c>
      <c r="E513" s="1" t="n">
        <v>46221</v>
      </c>
      <c r="F513" t="inlineStr">
        <is>
          <t>VÄSTRA GÖTALANDS LÄN</t>
        </is>
      </c>
      <c r="G513" t="inlineStr">
        <is>
          <t>BORÅS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29224-2026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46221</v>
      </c>
      <c r="F514" t="inlineStr">
        <is>
          <t>VÄSTRA GÖTALANDS LÄN</t>
        </is>
      </c>
      <c r="G514" t="inlineStr">
        <is>
          <t>BORÅS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4617-2022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44592</v>
      </c>
      <c r="E515" s="1" t="n">
        <v>46221</v>
      </c>
      <c r="F515" t="inlineStr">
        <is>
          <t>VÄSTRA GÖTALANDS LÄN</t>
        </is>
      </c>
      <c r="G515" t="inlineStr">
        <is>
          <t>BORÅS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45048</v>
      </c>
      <c r="E516" s="1" t="n">
        <v>46221</v>
      </c>
      <c r="F516" t="inlineStr">
        <is>
          <t>VÄSTRA GÖTALANDS LÄN</t>
        </is>
      </c>
      <c r="G516" t="inlineStr">
        <is>
          <t>BORÅS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46221</v>
      </c>
      <c r="F517" t="inlineStr">
        <is>
          <t>VÄSTRA GÖTALANDS LÄN</t>
        </is>
      </c>
      <c r="G517" t="inlineStr">
        <is>
          <t>BORÅS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31213-2022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46221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Kyrkan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38424-2024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46221</v>
      </c>
      <c r="F519" t="inlineStr">
        <is>
          <t>VÄSTRA GÖTALANDS LÄN</t>
        </is>
      </c>
      <c r="G519" t="inlineStr">
        <is>
          <t>BORÅS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6203-2024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45337</v>
      </c>
      <c r="E520" s="1" t="n">
        <v>46221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48711-2024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45593</v>
      </c>
      <c r="E521" s="1" t="n">
        <v>46221</v>
      </c>
      <c r="F521" t="inlineStr">
        <is>
          <t>VÄSTRA GÖTALANDS LÄN</t>
        </is>
      </c>
      <c r="G521" t="inlineStr">
        <is>
          <t>BORÅS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2008-2024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45308</v>
      </c>
      <c r="E522" s="1" t="n">
        <v>46221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14783-2022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44656</v>
      </c>
      <c r="E523" s="1" t="n">
        <v>46221</v>
      </c>
      <c r="F523" t="inlineStr">
        <is>
          <t>VÄSTRA GÖTALANDS LÄN</t>
        </is>
      </c>
      <c r="G523" t="inlineStr">
        <is>
          <t>BORÅS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46221</v>
      </c>
      <c r="F524" t="inlineStr">
        <is>
          <t>VÄSTRA GÖTALANDS LÄN</t>
        </is>
      </c>
      <c r="G524" t="inlineStr">
        <is>
          <t>BORÅS</t>
        </is>
      </c>
      <c r="H524" t="inlineStr">
        <is>
          <t>Kommuner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7898-2024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46221</v>
      </c>
      <c r="F525" t="inlineStr">
        <is>
          <t>VÄSTRA GÖTALANDS LÄN</t>
        </is>
      </c>
      <c r="G525" t="inlineStr">
        <is>
          <t>BORÅS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45670</v>
      </c>
      <c r="E526" s="1" t="n">
        <v>46221</v>
      </c>
      <c r="F526" t="inlineStr">
        <is>
          <t>VÄSTRA GÖTALANDS LÄN</t>
        </is>
      </c>
      <c r="G526" t="inlineStr">
        <is>
          <t>BORÅS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29628-2026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46221</v>
      </c>
      <c r="F527" t="inlineStr">
        <is>
          <t>VÄSTRA GÖTALANDS LÄN</t>
        </is>
      </c>
      <c r="G527" t="inlineStr">
        <is>
          <t>BORÅS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29383-2026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46221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29513-2026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46221</v>
      </c>
      <c r="F529" t="inlineStr">
        <is>
          <t>VÄSTRA GÖTALANDS LÄN</t>
        </is>
      </c>
      <c r="G529" t="inlineStr">
        <is>
          <t>BORÅS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41048-2022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44825</v>
      </c>
      <c r="E530" s="1" t="n">
        <v>46221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29509-2026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46221</v>
      </c>
      <c r="F531" t="inlineStr">
        <is>
          <t>VÄSTRA GÖTALANDS LÄN</t>
        </is>
      </c>
      <c r="G531" t="inlineStr">
        <is>
          <t>BORÅS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29626-2026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46221</v>
      </c>
      <c r="F532" t="inlineStr">
        <is>
          <t>VÄSTRA GÖTALANDS LÄN</t>
        </is>
      </c>
      <c r="G532" t="inlineStr">
        <is>
          <t>BORÅS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29627-2026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46221</v>
      </c>
      <c r="F533" t="inlineStr">
        <is>
          <t>VÄSTRA GÖTALANDS LÄN</t>
        </is>
      </c>
      <c r="G533" t="inlineStr">
        <is>
          <t>BORÅS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29477-2026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46221</v>
      </c>
      <c r="F534" t="inlineStr">
        <is>
          <t>VÄSTRA GÖTALANDS LÄN</t>
        </is>
      </c>
      <c r="G534" t="inlineStr">
        <is>
          <t>BORÅS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29606-2026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46221</v>
      </c>
      <c r="F535" t="inlineStr">
        <is>
          <t>VÄSTRA GÖTALANDS LÄN</t>
        </is>
      </c>
      <c r="G535" t="inlineStr">
        <is>
          <t>BORÅS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31940-2024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45510</v>
      </c>
      <c r="E536" s="1" t="n">
        <v>46221</v>
      </c>
      <c r="F536" t="inlineStr">
        <is>
          <t>VÄSTRA GÖTALANDS LÄN</t>
        </is>
      </c>
      <c r="G536" t="inlineStr">
        <is>
          <t>BORÅS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4934-2023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44958</v>
      </c>
      <c r="E537" s="1" t="n">
        <v>46221</v>
      </c>
      <c r="F537" t="inlineStr">
        <is>
          <t>VÄSTRA GÖTALANDS LÄN</t>
        </is>
      </c>
      <c r="G537" t="inlineStr">
        <is>
          <t>BORÅS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14309-2022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44652</v>
      </c>
      <c r="E538" s="1" t="n">
        <v>46221</v>
      </c>
      <c r="F538" t="inlineStr">
        <is>
          <t>VÄSTRA GÖTALANDS LÄN</t>
        </is>
      </c>
      <c r="G538" t="inlineStr">
        <is>
          <t>BORÅS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45678</v>
      </c>
      <c r="E539" s="1" t="n">
        <v>46221</v>
      </c>
      <c r="F539" t="inlineStr">
        <is>
          <t>VÄSTRA GÖTALANDS LÄN</t>
        </is>
      </c>
      <c r="G539" t="inlineStr">
        <is>
          <t>BORÅS</t>
        </is>
      </c>
      <c r="H539" t="inlineStr">
        <is>
          <t>Sveaskog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49191-2021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44454</v>
      </c>
      <c r="E540" s="1" t="n">
        <v>46221</v>
      </c>
      <c r="F540" t="inlineStr">
        <is>
          <t>VÄSTRA GÖTALANDS LÄN</t>
        </is>
      </c>
      <c r="G540" t="inlineStr">
        <is>
          <t>BORÅS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30152-2026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46221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11153-2023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44992</v>
      </c>
      <c r="E542" s="1" t="n">
        <v>46221</v>
      </c>
      <c r="F542" t="inlineStr">
        <is>
          <t>VÄSTRA GÖTALANDS LÄN</t>
        </is>
      </c>
      <c r="G542" t="inlineStr">
        <is>
          <t>BORÅS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32452-2023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45120</v>
      </c>
      <c r="E543" s="1" t="n">
        <v>46221</v>
      </c>
      <c r="F543" t="inlineStr">
        <is>
          <t>VÄSTRA GÖTALANDS LÄN</t>
        </is>
      </c>
      <c r="G543" t="inlineStr">
        <is>
          <t>BORÅS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32453-2023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45120</v>
      </c>
      <c r="E544" s="1" t="n">
        <v>46221</v>
      </c>
      <c r="F544" t="inlineStr">
        <is>
          <t>VÄSTRA GÖTALANDS LÄN</t>
        </is>
      </c>
      <c r="G544" t="inlineStr">
        <is>
          <t>BORÅS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10147-2024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45364</v>
      </c>
      <c r="E545" s="1" t="n">
        <v>46221</v>
      </c>
      <c r="F545" t="inlineStr">
        <is>
          <t>VÄSTRA GÖTALANDS LÄN</t>
        </is>
      </c>
      <c r="G545" t="inlineStr">
        <is>
          <t>BORÅS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12840-2023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45000</v>
      </c>
      <c r="E546" s="1" t="n">
        <v>46221</v>
      </c>
      <c r="F546" t="inlineStr">
        <is>
          <t>VÄSTRA GÖTALANDS LÄN</t>
        </is>
      </c>
      <c r="G546" t="inlineStr">
        <is>
          <t>BORÅS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46574-2022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44848</v>
      </c>
      <c r="E547" s="1" t="n">
        <v>46221</v>
      </c>
      <c r="F547" t="inlineStr">
        <is>
          <t>VÄSTRA GÖTALANDS LÄN</t>
        </is>
      </c>
      <c r="G547" t="inlineStr">
        <is>
          <t>BORÅS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27334-2024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45472</v>
      </c>
      <c r="E548" s="1" t="n">
        <v>46221</v>
      </c>
      <c r="F548" t="inlineStr">
        <is>
          <t>VÄSTRA GÖTALANDS LÄN</t>
        </is>
      </c>
      <c r="G548" t="inlineStr">
        <is>
          <t>BORÅS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34355-2024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46221</v>
      </c>
      <c r="F549" t="inlineStr">
        <is>
          <t>VÄSTRA GÖTALANDS LÄN</t>
        </is>
      </c>
      <c r="G549" t="inlineStr">
        <is>
          <t>BORÅS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19481-2023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45050</v>
      </c>
      <c r="E550" s="1" t="n">
        <v>46221</v>
      </c>
      <c r="F550" t="inlineStr">
        <is>
          <t>VÄSTRA GÖTALANDS LÄN</t>
        </is>
      </c>
      <c r="G550" t="inlineStr">
        <is>
          <t>BORÅS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19483-2023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45050</v>
      </c>
      <c r="E551" s="1" t="n">
        <v>46221</v>
      </c>
      <c r="F551" t="inlineStr">
        <is>
          <t>VÄSTRA GÖTALANDS LÄN</t>
        </is>
      </c>
      <c r="G551" t="inlineStr">
        <is>
          <t>BORÅS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61452-2023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46221</v>
      </c>
      <c r="F552" t="inlineStr">
        <is>
          <t>VÄSTRA GÖTALANDS LÄN</t>
        </is>
      </c>
      <c r="G552" t="inlineStr">
        <is>
          <t>BORÅS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32446-2023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45120</v>
      </c>
      <c r="E553" s="1" t="n">
        <v>46221</v>
      </c>
      <c r="F553" t="inlineStr">
        <is>
          <t>VÄSTRA GÖTALANDS LÄN</t>
        </is>
      </c>
      <c r="G553" t="inlineStr">
        <is>
          <t>BORÅS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61863-2024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45650</v>
      </c>
      <c r="E554" s="1" t="n">
        <v>46221</v>
      </c>
      <c r="F554" t="inlineStr">
        <is>
          <t>VÄSTRA GÖTALANDS LÄN</t>
        </is>
      </c>
      <c r="G554" t="inlineStr">
        <is>
          <t>BORÅS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44958</v>
      </c>
      <c r="E555" s="1" t="n">
        <v>46221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32163-2023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46221</v>
      </c>
      <c r="F556" t="inlineStr">
        <is>
          <t>VÄSTRA GÖTALANDS LÄN</t>
        </is>
      </c>
      <c r="G556" t="inlineStr">
        <is>
          <t>BORÅS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45294</v>
      </c>
      <c r="E557" s="1" t="n">
        <v>46221</v>
      </c>
      <c r="F557" t="inlineStr">
        <is>
          <t>VÄSTRA GÖTALANDS LÄN</t>
        </is>
      </c>
      <c r="G557" t="inlineStr">
        <is>
          <t>BORÅS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43574-2023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45184</v>
      </c>
      <c r="E558" s="1" t="n">
        <v>46221</v>
      </c>
      <c r="F558" t="inlineStr">
        <is>
          <t>VÄSTRA GÖTALANDS LÄN</t>
        </is>
      </c>
      <c r="G558" t="inlineStr">
        <is>
          <t>BORÅS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45666</v>
      </c>
      <c r="E559" s="1" t="n">
        <v>46221</v>
      </c>
      <c r="F559" t="inlineStr">
        <is>
          <t>VÄSTRA GÖTALANDS LÄN</t>
        </is>
      </c>
      <c r="G559" t="inlineStr">
        <is>
          <t>BORÅS</t>
        </is>
      </c>
      <c r="H559" t="inlineStr">
        <is>
          <t>Sveaskog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44782-2025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45917</v>
      </c>
      <c r="E560" s="1" t="n">
        <v>46221</v>
      </c>
      <c r="F560" t="inlineStr">
        <is>
          <t>VÄSTRA GÖTALANDS LÄN</t>
        </is>
      </c>
      <c r="G560" t="inlineStr">
        <is>
          <t>BORÅS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18248-2024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45421</v>
      </c>
      <c r="E561" s="1" t="n">
        <v>46221</v>
      </c>
      <c r="F561" t="inlineStr">
        <is>
          <t>VÄSTRA GÖTALANDS LÄN</t>
        </is>
      </c>
      <c r="G561" t="inlineStr">
        <is>
          <t>BORÅS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34195-2025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45845</v>
      </c>
      <c r="E562" s="1" t="n">
        <v>46221</v>
      </c>
      <c r="F562" t="inlineStr">
        <is>
          <t>VÄSTRA GÖTALANDS LÄN</t>
        </is>
      </c>
      <c r="G562" t="inlineStr">
        <is>
          <t>BORÅS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24860-2022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44728</v>
      </c>
      <c r="E563" s="1" t="n">
        <v>46221</v>
      </c>
      <c r="F563" t="inlineStr">
        <is>
          <t>VÄSTRA GÖTALANDS LÄN</t>
        </is>
      </c>
      <c r="G563" t="inlineStr">
        <is>
          <t>BORÅS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31118-2026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46216</v>
      </c>
      <c r="E564" s="1" t="n">
        <v>46221</v>
      </c>
      <c r="F564" t="inlineStr">
        <is>
          <t>VÄSTRA GÖTALANDS LÄN</t>
        </is>
      </c>
      <c r="G564" t="inlineStr">
        <is>
          <t>BORÅS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31171-2026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46221</v>
      </c>
      <c r="F565" t="inlineStr">
        <is>
          <t>VÄSTRA GÖTALANDS LÄN</t>
        </is>
      </c>
      <c r="G565" t="inlineStr">
        <is>
          <t>BORÅS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33148-2023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45126</v>
      </c>
      <c r="E566" s="1" t="n">
        <v>46221</v>
      </c>
      <c r="F566" t="inlineStr">
        <is>
          <t>VÄSTRA GÖTALANDS LÄN</t>
        </is>
      </c>
      <c r="G566" t="inlineStr">
        <is>
          <t>BORÅS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45486-2023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45194</v>
      </c>
      <c r="E567" s="1" t="n">
        <v>46221</v>
      </c>
      <c r="F567" t="inlineStr">
        <is>
          <t>VÄSTRA GÖTALANDS LÄN</t>
        </is>
      </c>
      <c r="G567" t="inlineStr">
        <is>
          <t>BORÅS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57430-2024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46221</v>
      </c>
      <c r="F568" t="inlineStr">
        <is>
          <t>VÄSTRA GÖTALANDS LÄN</t>
        </is>
      </c>
      <c r="G568" t="inlineStr">
        <is>
          <t>BORÅS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32193-2023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46221</v>
      </c>
      <c r="F569" t="inlineStr">
        <is>
          <t>VÄSTRA GÖTALANDS LÄN</t>
        </is>
      </c>
      <c r="G569" t="inlineStr">
        <is>
          <t>BORÅS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31206-2026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46217</v>
      </c>
      <c r="E570" s="1" t="n">
        <v>46221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32170-2023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46221</v>
      </c>
      <c r="F571" t="inlineStr">
        <is>
          <t>VÄSTRA GÖTALANDS LÄN</t>
        </is>
      </c>
      <c r="G571" t="inlineStr">
        <is>
          <t>BORÅS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50605-2022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44866</v>
      </c>
      <c r="E572" s="1" t="n">
        <v>46221</v>
      </c>
      <c r="F572" t="inlineStr">
        <is>
          <t>VÄSTRA GÖTALANDS LÄN</t>
        </is>
      </c>
      <c r="G572" t="inlineStr">
        <is>
          <t>BORÅS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45308</v>
      </c>
      <c r="E573" s="1" t="n">
        <v>46221</v>
      </c>
      <c r="F573" t="inlineStr">
        <is>
          <t>VÄSTRA GÖTALANDS LÄN</t>
        </is>
      </c>
      <c r="G573" t="inlineStr">
        <is>
          <t>BORÅS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45294</v>
      </c>
      <c r="E574" s="1" t="n">
        <v>46221</v>
      </c>
      <c r="F574" t="inlineStr">
        <is>
          <t>VÄSTRA GÖTALANDS LÄN</t>
        </is>
      </c>
      <c r="G574" t="inlineStr">
        <is>
          <t>BORÅS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45294</v>
      </c>
      <c r="E575" s="1" t="n">
        <v>46221</v>
      </c>
      <c r="F575" t="inlineStr">
        <is>
          <t>VÄSTRA GÖTALANDS LÄN</t>
        </is>
      </c>
      <c r="G575" t="inlineStr">
        <is>
          <t>BORÅS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45294</v>
      </c>
      <c r="E576" s="1" t="n">
        <v>46221</v>
      </c>
      <c r="F576" t="inlineStr">
        <is>
          <t>VÄSTRA GÖTALANDS LÄN</t>
        </is>
      </c>
      <c r="G576" t="inlineStr">
        <is>
          <t>BORÅS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25238-2026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46175</v>
      </c>
      <c r="E577" s="1" t="n">
        <v>46221</v>
      </c>
      <c r="F577" t="inlineStr">
        <is>
          <t>VÄSTRA GÖTALANDS LÄN</t>
        </is>
      </c>
      <c r="G577" t="inlineStr">
        <is>
          <t>BORÅS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54246-2023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45232</v>
      </c>
      <c r="E578" s="1" t="n">
        <v>46221</v>
      </c>
      <c r="F578" t="inlineStr">
        <is>
          <t>VÄSTRA GÖTALANDS LÄN</t>
        </is>
      </c>
      <c r="G578" t="inlineStr">
        <is>
          <t>BORÅS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36574-2024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45537</v>
      </c>
      <c r="E579" s="1" t="n">
        <v>46221</v>
      </c>
      <c r="F579" t="inlineStr">
        <is>
          <t>VÄSTRA GÖTALANDS LÄN</t>
        </is>
      </c>
      <c r="G579" t="inlineStr">
        <is>
          <t>BORÅS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17032-2024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45412</v>
      </c>
      <c r="E580" s="1" t="n">
        <v>46221</v>
      </c>
      <c r="F580" t="inlineStr">
        <is>
          <t>VÄSTRA GÖTALANDS LÄN</t>
        </is>
      </c>
      <c r="G580" t="inlineStr">
        <is>
          <t>BORÅS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21180-2024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46221</v>
      </c>
      <c r="F581" t="inlineStr">
        <is>
          <t>VÄSTRA GÖTALANDS LÄN</t>
        </is>
      </c>
      <c r="G581" t="inlineStr">
        <is>
          <t>BORÅS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48358-2023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45205</v>
      </c>
      <c r="E582" s="1" t="n">
        <v>46221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56002-2023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45240</v>
      </c>
      <c r="E583" s="1" t="n">
        <v>46221</v>
      </c>
      <c r="F583" t="inlineStr">
        <is>
          <t>VÄSTRA GÖTALANDS LÄN</t>
        </is>
      </c>
      <c r="G583" t="inlineStr">
        <is>
          <t>BORÅS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9127-2023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44980</v>
      </c>
      <c r="E584" s="1" t="n">
        <v>46221</v>
      </c>
      <c r="F584" t="inlineStr">
        <is>
          <t>VÄSTRA GÖTALANDS LÄN</t>
        </is>
      </c>
      <c r="G584" t="inlineStr">
        <is>
          <t>BORÅS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25268-2026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46221</v>
      </c>
      <c r="F585" t="inlineStr">
        <is>
          <t>VÄSTRA GÖTALANDS LÄN</t>
        </is>
      </c>
      <c r="G585" t="inlineStr">
        <is>
          <t>BORÅS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17095-2023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45034</v>
      </c>
      <c r="E586" s="1" t="n">
        <v>46221</v>
      </c>
      <c r="F586" t="inlineStr">
        <is>
          <t>VÄSTRA GÖTALANDS LÄN</t>
        </is>
      </c>
      <c r="G586" t="inlineStr">
        <is>
          <t>BORÅS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60923-2022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44914</v>
      </c>
      <c r="E587" s="1" t="n">
        <v>46221</v>
      </c>
      <c r="F587" t="inlineStr">
        <is>
          <t>VÄSTRA GÖTALANDS LÄN</t>
        </is>
      </c>
      <c r="G587" t="inlineStr">
        <is>
          <t>BORÅS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62448-2023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46221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49471-2023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46221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46221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48619-2023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45208</v>
      </c>
      <c r="E591" s="1" t="n">
        <v>46221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18533-2025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46221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32158-2023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46221</v>
      </c>
      <c r="F593" t="inlineStr">
        <is>
          <t>VÄSTRA GÖTALANDS LÄN</t>
        </is>
      </c>
      <c r="G593" t="inlineStr">
        <is>
          <t>BORÅS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58483-2024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46221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20635-2025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45776</v>
      </c>
      <c r="E595" s="1" t="n">
        <v>46221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21388-2025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45782</v>
      </c>
      <c r="E596" s="1" t="n">
        <v>46221</v>
      </c>
      <c r="F596" t="inlineStr">
        <is>
          <t>VÄSTRA GÖTALANDS LÄN</t>
        </is>
      </c>
      <c r="G596" t="inlineStr">
        <is>
          <t>BORÅS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27752-2024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45475</v>
      </c>
      <c r="E597" s="1" t="n">
        <v>46221</v>
      </c>
      <c r="F597" t="inlineStr">
        <is>
          <t>VÄSTRA GÖTALANDS LÄN</t>
        </is>
      </c>
      <c r="G597" t="inlineStr">
        <is>
          <t>BORÅS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47358-2024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45587</v>
      </c>
      <c r="E598" s="1" t="n">
        <v>46221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21903-2025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46221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21673-2025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46221</v>
      </c>
      <c r="F600" t="inlineStr">
        <is>
          <t>VÄSTRA GÖTALANDS LÄN</t>
        </is>
      </c>
      <c r="G600" t="inlineStr">
        <is>
          <t>BORÅS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21671-2025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46221</v>
      </c>
      <c r="F601" t="inlineStr">
        <is>
          <t>VÄSTRA GÖTALANDS LÄN</t>
        </is>
      </c>
      <c r="G601" t="inlineStr">
        <is>
          <t>BORÅS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49584-2024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46221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10681-2025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46221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49004-2023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46221</v>
      </c>
      <c r="F604" t="inlineStr">
        <is>
          <t>VÄSTRA GÖTALANDS LÄN</t>
        </is>
      </c>
      <c r="G604" t="inlineStr">
        <is>
          <t>BORÅS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22734-2025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45789</v>
      </c>
      <c r="E605" s="1" t="n">
        <v>46221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22736-2025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45789</v>
      </c>
      <c r="E606" s="1" t="n">
        <v>46221</v>
      </c>
      <c r="F606" t="inlineStr">
        <is>
          <t>VÄSTRA GÖTALANDS LÄN</t>
        </is>
      </c>
      <c r="G606" t="inlineStr">
        <is>
          <t>BORÅS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23504-2025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46221</v>
      </c>
      <c r="F607" t="inlineStr">
        <is>
          <t>VÄSTRA GÖTALANDS LÄN</t>
        </is>
      </c>
      <c r="G607" t="inlineStr">
        <is>
          <t>BORÅS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11445-2025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46221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34984-2023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45142</v>
      </c>
      <c r="E609" s="1" t="n">
        <v>46221</v>
      </c>
      <c r="F609" t="inlineStr">
        <is>
          <t>VÄSTRA GÖTALANDS LÄN</t>
        </is>
      </c>
      <c r="G609" t="inlineStr">
        <is>
          <t>BORÅS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25103-2025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45798</v>
      </c>
      <c r="E610" s="1" t="n">
        <v>46221</v>
      </c>
      <c r="F610" t="inlineStr">
        <is>
          <t>VÄSTRA GÖTALANDS LÄN</t>
        </is>
      </c>
      <c r="G610" t="inlineStr">
        <is>
          <t>BORÅS</t>
        </is>
      </c>
      <c r="H610" t="inlineStr">
        <is>
          <t>Kommuner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25338-2025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45800</v>
      </c>
      <c r="E611" s="1" t="n">
        <v>46221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46221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46221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46221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46221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46221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4427-2021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44399</v>
      </c>
      <c r="E617" s="1" t="n">
        <v>46221</v>
      </c>
      <c r="F617" t="inlineStr">
        <is>
          <t>VÄSTRA GÖTALANDS LÄN</t>
        </is>
      </c>
      <c r="G617" t="inlineStr">
        <is>
          <t>BORÅS</t>
        </is>
      </c>
      <c r="I617" t="n">
        <v>70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46221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46221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46221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7239-2021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44466</v>
      </c>
      <c r="E621" s="1" t="n">
        <v>46221</v>
      </c>
      <c r="F621" t="inlineStr">
        <is>
          <t>VÄSTRA GÖTALANDS LÄN</t>
        </is>
      </c>
      <c r="G621" t="inlineStr">
        <is>
          <t>BORÅS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6936-2022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46221</v>
      </c>
      <c r="F622" t="inlineStr">
        <is>
          <t>VÄSTRA GÖTALANDS LÄN</t>
        </is>
      </c>
      <c r="G622" t="inlineStr">
        <is>
          <t>BORÅS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6156-2022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44865</v>
      </c>
      <c r="E623" s="1" t="n">
        <v>46221</v>
      </c>
      <c r="F623" t="inlineStr">
        <is>
          <t>VÄSTRA GÖTALANDS LÄN</t>
        </is>
      </c>
      <c r="G623" t="inlineStr">
        <is>
          <t>BORÅS</t>
        </is>
      </c>
      <c r="I623" t="n">
        <v>15.6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4259-2023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45257</v>
      </c>
      <c r="E624" s="1" t="n">
        <v>46221</v>
      </c>
      <c r="F624" t="inlineStr">
        <is>
          <t>VÄSTRA GÖTALANDS LÄN</t>
        </is>
      </c>
      <c r="G624" t="inlineStr">
        <is>
          <t>BORÅS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2970-2023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46221</v>
      </c>
      <c r="F625" t="inlineStr">
        <is>
          <t>VÄSTRA GÖTALANDS LÄN</t>
        </is>
      </c>
      <c r="G625" t="inlineStr">
        <is>
          <t>BORÅS</t>
        </is>
      </c>
      <c r="I625" t="n">
        <v>12.7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46221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2972-2023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45173</v>
      </c>
      <c r="E627" s="1" t="n">
        <v>46221</v>
      </c>
      <c r="F627" t="inlineStr">
        <is>
          <t>VÄSTRA GÖTALANDS LÄN</t>
        </is>
      </c>
      <c r="G627" t="inlineStr">
        <is>
          <t>BORÅS</t>
        </is>
      </c>
      <c r="I627" t="n">
        <v>30.4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6937-2022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46221</v>
      </c>
      <c r="F628" t="inlineStr">
        <is>
          <t>VÄSTRA GÖTALANDS LÄN</t>
        </is>
      </c>
      <c r="G628" t="inlineStr">
        <is>
          <t>BORÅS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3398-2024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45534</v>
      </c>
      <c r="E629" s="1" t="n">
        <v>46221</v>
      </c>
      <c r="F629" t="inlineStr">
        <is>
          <t>VÄSTRA GÖTALANDS LÄN</t>
        </is>
      </c>
      <c r="G629" t="inlineStr">
        <is>
          <t>BORÅS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7266-2021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44468</v>
      </c>
      <c r="E630" s="1" t="n">
        <v>46221</v>
      </c>
      <c r="F630" t="inlineStr">
        <is>
          <t>VÄSTRA GÖTALANDS LÄN</t>
        </is>
      </c>
      <c r="G630" t="inlineStr">
        <is>
          <t>BORÅS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1800-2025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45814</v>
      </c>
      <c r="E631" s="1" t="n">
        <v>46221</v>
      </c>
      <c r="F631" t="inlineStr">
        <is>
          <t>VÄSTRA GÖTALANDS LÄN</t>
        </is>
      </c>
      <c r="G631" t="inlineStr">
        <is>
          <t>BORÅS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1640-2024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45429</v>
      </c>
      <c r="E632" s="1" t="n">
        <v>46221</v>
      </c>
      <c r="F632" t="inlineStr">
        <is>
          <t>VÄSTRA GÖTALANDS LÄN</t>
        </is>
      </c>
      <c r="G632" t="inlineStr">
        <is>
          <t>BORÅS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1979-2025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45831</v>
      </c>
      <c r="E633" s="1" t="n">
        <v>46221</v>
      </c>
      <c r="F633" t="inlineStr">
        <is>
          <t>VÄSTRA GÖTALANDS LÄN</t>
        </is>
      </c>
      <c r="G633" t="inlineStr">
        <is>
          <t>BORÅS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2374-2025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45890</v>
      </c>
      <c r="E634" s="1" t="n">
        <v>46221</v>
      </c>
      <c r="F634" t="inlineStr">
        <is>
          <t>VÄSTRA GÖTALANDS LÄN</t>
        </is>
      </c>
      <c r="G634" t="inlineStr">
        <is>
          <t>BORÅS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3201-2025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45979</v>
      </c>
      <c r="E635" s="1" t="n">
        <v>46221</v>
      </c>
      <c r="F635" t="inlineStr">
        <is>
          <t>VÄSTRA GÖTALANDS LÄN</t>
        </is>
      </c>
      <c r="G635" t="inlineStr">
        <is>
          <t>BORÅS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944-2025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46221</v>
      </c>
      <c r="F636" t="inlineStr">
        <is>
          <t>VÄSTRA GÖTALANDS LÄN</t>
        </is>
      </c>
      <c r="G636" t="inlineStr">
        <is>
          <t>BORÅS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943-2025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46221</v>
      </c>
      <c r="F637" t="inlineStr">
        <is>
          <t>VÄSTRA GÖTALANDS LÄN</t>
        </is>
      </c>
      <c r="G637" t="inlineStr">
        <is>
          <t>BORÅS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2453-2023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45127</v>
      </c>
      <c r="E638" s="1" t="n">
        <v>46221</v>
      </c>
      <c r="F638" t="inlineStr">
        <is>
          <t>VÄSTRA GÖTALANDS LÄN</t>
        </is>
      </c>
      <c r="G638" t="inlineStr">
        <is>
          <t>BORÅS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471-2026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46073</v>
      </c>
      <c r="E639" s="1" t="n">
        <v>46221</v>
      </c>
      <c r="F639" t="inlineStr">
        <is>
          <t>VÄSTRA GÖTALANDS LÄN</t>
        </is>
      </c>
      <c r="G639" t="inlineStr">
        <is>
          <t>BORÅS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>
      <c r="A640" t="inlineStr">
        <is>
          <t>S 560-2026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46083</v>
      </c>
      <c r="E640" s="1" t="n">
        <v>46221</v>
      </c>
      <c r="F640" t="inlineStr">
        <is>
          <t>VÄSTRA GÖTALANDS LÄN</t>
        </is>
      </c>
      <c r="G640" t="inlineStr">
        <is>
          <t>BORÅS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2026-07-18T01:20:52Z</dcterms:created>
  <dcterms:modified xmlns:dcterms="http://purl.org/dc/terms/" xmlns:xsi="http://www.w3.org/2001/XMLSchema-instance" xsi:type="dcterms:W3CDTF">2026-07-18T01:20:52Z</dcterms:modified>
</cp:coreProperties>
</file>