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45340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45340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45340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45340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45340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45340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45340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45340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45340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45340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45340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45340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45340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3777-2024</t>
        </is>
      </c>
      <c r="B15" s="1" t="n">
        <v>45321</v>
      </c>
      <c r="C15" s="1" t="n">
        <v>45340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7.8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Mandelriska</t>
        </is>
      </c>
      <c r="S15">
        <f>HYPERLINK("https://klasma.github.io/Logging_1490/artfynd/A 3777-2024 artfynd.xlsx", "A 3777-2024")</f>
        <v/>
      </c>
      <c r="T15">
        <f>HYPERLINK("https://klasma.github.io/Logging_1490/kartor/A 3777-2024 karta.png", "A 3777-2024")</f>
        <v/>
      </c>
      <c r="V15">
        <f>HYPERLINK("https://klasma.github.io/Logging_1490/klagomål/A 3777-2024 FSC-klagomål.docx", "A 3777-2024")</f>
        <v/>
      </c>
      <c r="W15">
        <f>HYPERLINK("https://klasma.github.io/Logging_1490/klagomålsmail/A 3777-2024 FSC-klagomål mail.docx", "A 3777-2024")</f>
        <v/>
      </c>
      <c r="X15">
        <f>HYPERLINK("https://klasma.github.io/Logging_1490/tillsyn/A 3777-2024 tillsynsbegäran.docx", "A 3777-2024")</f>
        <v/>
      </c>
      <c r="Y15">
        <f>HYPERLINK("https://klasma.github.io/Logging_1490/tillsynsmail/A 3777-2024 tillsynsbegäran mail.docx", "A 3777-2024")</f>
        <v/>
      </c>
    </row>
    <row r="16" ht="15" customHeight="1">
      <c r="A16" t="inlineStr">
        <is>
          <t>A 36698-2018</t>
        </is>
      </c>
      <c r="B16" s="1" t="n">
        <v>43329</v>
      </c>
      <c r="C16" s="1" t="n">
        <v>45340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HYPERLINK("https://klasma.github.io/Logging_1490/artfynd/A 36698-2018 artfynd.xlsx", "A 36698-2018")</f>
        <v/>
      </c>
      <c r="T16">
        <f>HYPERLINK("https://klasma.github.io/Logging_1490/kartor/A 36698-2018 karta.png", "A 36698-2018")</f>
        <v/>
      </c>
      <c r="V16">
        <f>HYPERLINK("https://klasma.github.io/Logging_1490/klagomål/A 36698-2018 FSC-klagomål.docx", "A 36698-2018")</f>
        <v/>
      </c>
      <c r="W16">
        <f>HYPERLINK("https://klasma.github.io/Logging_1490/klagomålsmail/A 36698-2018 FSC-klagomål mail.docx", "A 36698-2018")</f>
        <v/>
      </c>
      <c r="X16">
        <f>HYPERLINK("https://klasma.github.io/Logging_1490/tillsyn/A 36698-2018 tillsynsbegäran.docx", "A 36698-2018")</f>
        <v/>
      </c>
      <c r="Y16">
        <f>HYPERLINK("https://klasma.github.io/Logging_1490/tillsynsmail/A 36698-2018 tillsynsbegäran mail.docx", "A 36698-2018")</f>
        <v/>
      </c>
    </row>
    <row r="17" ht="15" customHeight="1">
      <c r="A17" t="inlineStr">
        <is>
          <t>A 40206-2018</t>
        </is>
      </c>
      <c r="B17" s="1" t="n">
        <v>43343</v>
      </c>
      <c r="C17" s="1" t="n">
        <v>45340</v>
      </c>
      <c r="D17" t="inlineStr">
        <is>
          <t>VÄSTRA GÖTALANDS LÄN</t>
        </is>
      </c>
      <c r="E17" t="inlineStr">
        <is>
          <t>BORÅS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HYPERLINK("https://klasma.github.io/Logging_1490/artfynd/A 40206-2018 artfynd.xlsx", "A 40206-2018")</f>
        <v/>
      </c>
      <c r="T17">
        <f>HYPERLINK("https://klasma.github.io/Logging_1490/kartor/A 40206-2018 karta.png", "A 40206-2018")</f>
        <v/>
      </c>
      <c r="V17">
        <f>HYPERLINK("https://klasma.github.io/Logging_1490/klagomål/A 40206-2018 FSC-klagomål.docx", "A 40206-2018")</f>
        <v/>
      </c>
      <c r="W17">
        <f>HYPERLINK("https://klasma.github.io/Logging_1490/klagomålsmail/A 40206-2018 FSC-klagomål mail.docx", "A 40206-2018")</f>
        <v/>
      </c>
      <c r="X17">
        <f>HYPERLINK("https://klasma.github.io/Logging_1490/tillsyn/A 40206-2018 tillsynsbegäran.docx", "A 40206-2018")</f>
        <v/>
      </c>
      <c r="Y17">
        <f>HYPERLINK("https://klasma.github.io/Logging_1490/tillsynsmail/A 40206-2018 tillsynsbegäran mail.docx", "A 40206-2018")</f>
        <v/>
      </c>
    </row>
    <row r="18" ht="15" customHeight="1">
      <c r="A18" t="inlineStr">
        <is>
          <t>A 47017-2018</t>
        </is>
      </c>
      <c r="B18" s="1" t="n">
        <v>43369</v>
      </c>
      <c r="C18" s="1" t="n">
        <v>45340</v>
      </c>
      <c r="D18" t="inlineStr">
        <is>
          <t>VÄSTRA GÖTALANDS LÄN</t>
        </is>
      </c>
      <c r="E18" t="inlineStr">
        <is>
          <t>BORÅS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HYPERLINK("https://klasma.github.io/Logging_1490/artfynd/A 47017-2018 artfynd.xlsx", "A 47017-2018")</f>
        <v/>
      </c>
      <c r="T18">
        <f>HYPERLINK("https://klasma.github.io/Logging_1490/kartor/A 47017-2018 karta.png", "A 47017-2018")</f>
        <v/>
      </c>
      <c r="V18">
        <f>HYPERLINK("https://klasma.github.io/Logging_1490/klagomål/A 47017-2018 FSC-klagomål.docx", "A 47017-2018")</f>
        <v/>
      </c>
      <c r="W18">
        <f>HYPERLINK("https://klasma.github.io/Logging_1490/klagomålsmail/A 47017-2018 FSC-klagomål mail.docx", "A 47017-2018")</f>
        <v/>
      </c>
      <c r="X18">
        <f>HYPERLINK("https://klasma.github.io/Logging_1490/tillsyn/A 47017-2018 tillsynsbegäran.docx", "A 47017-2018")</f>
        <v/>
      </c>
      <c r="Y18">
        <f>HYPERLINK("https://klasma.github.io/Logging_1490/tillsynsmail/A 47017-2018 tillsynsbegäran mail.docx", "A 47017-2018")</f>
        <v/>
      </c>
    </row>
    <row r="19" ht="15" customHeight="1">
      <c r="A19" t="inlineStr">
        <is>
          <t>A 48410-2018</t>
        </is>
      </c>
      <c r="B19" s="1" t="n">
        <v>43370</v>
      </c>
      <c r="C19" s="1" t="n">
        <v>45340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Buskskvätta</t>
        </is>
      </c>
      <c r="S19">
        <f>HYPERLINK("https://klasma.github.io/Logging_1490/artfynd/A 48410-2018 artfynd.xlsx", "A 48410-2018")</f>
        <v/>
      </c>
      <c r="T19">
        <f>HYPERLINK("https://klasma.github.io/Logging_1490/kartor/A 48410-2018 karta.png", "A 48410-2018")</f>
        <v/>
      </c>
      <c r="V19">
        <f>HYPERLINK("https://klasma.github.io/Logging_1490/klagomål/A 48410-2018 FSC-klagomål.docx", "A 48410-2018")</f>
        <v/>
      </c>
      <c r="W19">
        <f>HYPERLINK("https://klasma.github.io/Logging_1490/klagomålsmail/A 48410-2018 FSC-klagomål mail.docx", "A 48410-2018")</f>
        <v/>
      </c>
      <c r="X19">
        <f>HYPERLINK("https://klasma.github.io/Logging_1490/tillsyn/A 48410-2018 tillsynsbegäran.docx", "A 48410-2018")</f>
        <v/>
      </c>
      <c r="Y19">
        <f>HYPERLINK("https://klasma.github.io/Logging_1490/tillsynsmail/A 48410-2018 tillsynsbegäran mail.docx", "A 48410-2018")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45340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45340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23726-2020</t>
        </is>
      </c>
      <c r="B22" s="1" t="n">
        <v>43970</v>
      </c>
      <c r="C22" s="1" t="n">
        <v>45340</v>
      </c>
      <c r="D22" t="inlineStr">
        <is>
          <t>VÄSTRA GÖTALANDS LÄN</t>
        </is>
      </c>
      <c r="E22" t="inlineStr">
        <is>
          <t>BORÅS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23726-2020 artfynd.xlsx", "A 23726-2020")</f>
        <v/>
      </c>
      <c r="T22">
        <f>HYPERLINK("https://klasma.github.io/Logging_1490/kartor/A 23726-2020 karta.png", "A 23726-2020")</f>
        <v/>
      </c>
      <c r="V22">
        <f>HYPERLINK("https://klasma.github.io/Logging_1490/klagomål/A 23726-2020 FSC-klagomål.docx", "A 23726-2020")</f>
        <v/>
      </c>
      <c r="W22">
        <f>HYPERLINK("https://klasma.github.io/Logging_1490/klagomålsmail/A 23726-2020 FSC-klagomål mail.docx", "A 23726-2020")</f>
        <v/>
      </c>
      <c r="X22">
        <f>HYPERLINK("https://klasma.github.io/Logging_1490/tillsyn/A 23726-2020 tillsynsbegäran.docx", "A 23726-2020")</f>
        <v/>
      </c>
      <c r="Y22">
        <f>HYPERLINK("https://klasma.github.io/Logging_1490/tillsynsmail/A 23726-2020 tillsynsbegäran mail.docx", "A 23726-2020")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45340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45340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45340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62027-2021</t>
        </is>
      </c>
      <c r="B26" s="1" t="n">
        <v>44501</v>
      </c>
      <c r="C26" s="1" t="n">
        <v>45340</v>
      </c>
      <c r="D26" t="inlineStr">
        <is>
          <t>VÄSTRA GÖTALANDS LÄN</t>
        </is>
      </c>
      <c r="E26" t="inlineStr">
        <is>
          <t>BORÅS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HYPERLINK("https://klasma.github.io/Logging_1490/artfynd/A 62027-2021 artfynd.xlsx", "A 62027-2021")</f>
        <v/>
      </c>
      <c r="T26">
        <f>HYPERLINK("https://klasma.github.io/Logging_1490/kartor/A 62027-2021 karta.png", "A 62027-2021")</f>
        <v/>
      </c>
      <c r="V26">
        <f>HYPERLINK("https://klasma.github.io/Logging_1490/klagomål/A 62027-2021 FSC-klagomål.docx", "A 62027-2021")</f>
        <v/>
      </c>
      <c r="W26">
        <f>HYPERLINK("https://klasma.github.io/Logging_1490/klagomålsmail/A 62027-2021 FSC-klagomål mail.docx", "A 62027-2021")</f>
        <v/>
      </c>
      <c r="X26">
        <f>HYPERLINK("https://klasma.github.io/Logging_1490/tillsyn/A 62027-2021 tillsynsbegäran.docx", "A 62027-2021")</f>
        <v/>
      </c>
      <c r="Y26">
        <f>HYPERLINK("https://klasma.github.io/Logging_1490/tillsynsmail/A 62027-2021 tillsynsbegäran mail.docx", "A 62027-2021")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45340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45340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45340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45340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45340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45340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45340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45340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45340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45340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45340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45340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45340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45340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45340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45340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45340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45340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45340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45340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45340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45340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45340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45340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45340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45340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45340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45340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45340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45340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45340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45340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45340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45340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45340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45340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45340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45340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45340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45340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45340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45340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45340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45340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45340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45340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45340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45340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45340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45340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45340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45340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45340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45340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45340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45340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45340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45340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45340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45340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45340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45340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45340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45340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45340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45340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45340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45340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45340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45340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45340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45340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45340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45340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45340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45340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45340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45340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45340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45340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45340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45340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45340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45340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45340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45340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45340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45340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45340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45340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45340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45340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45340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45340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45340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45340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45340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45340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45340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45340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45340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45340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45340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45340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45340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45340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45340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45340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45340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45340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45340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45340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45340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45340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45340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45340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45340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45340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45340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45340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45340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45340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45340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45340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45340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45340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45340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45340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45340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45340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45340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45340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45340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45340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45340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45340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45340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45340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45340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45340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45340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45340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45340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45340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45340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45340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45340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45340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45340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45340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45340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45340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45340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45340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45340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45340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45340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45340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45340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45340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45340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45340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45340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45340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45340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45340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45340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45340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45340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45340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45340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45340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45340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45340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45340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45340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45340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45340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45340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45340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45340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45340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45340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45340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45340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45340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45340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45340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45340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45340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45340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45340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45340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45340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45340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45340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45340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45340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45340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45340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45340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45340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45340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45340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45340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45340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45340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45340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45340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45340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45340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45340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45340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45340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45340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45340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45340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45340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45340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45340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45340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45340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45340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45340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45340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45340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45340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45340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45340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45340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45340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45340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45340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45340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45340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45340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45340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45340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45340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45340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45340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45340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45340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45340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45340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45340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45340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45340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45340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45340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45340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45340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45340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45340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45340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45340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45340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45340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45340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45340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45340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45340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45340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45340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45340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45340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45340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45340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45340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45340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45340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45340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45340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45340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45340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45340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45340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45340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45340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45340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45340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45340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45340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45340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45340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45340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45340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45340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45340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45340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45340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45340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45340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45340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45340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45340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45340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45340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45340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45340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45340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45340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45340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45340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45340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45340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45340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45340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45340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45340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45340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45340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45340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45340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45340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45340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45340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45340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45340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45340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45340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45340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45340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45340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45340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45340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45340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45340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45340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45340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45340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45340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45340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45340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45340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45340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45340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45340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45340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45340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45340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45340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45340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45340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45340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45340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45340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45340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45340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45340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45340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45340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45340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45340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45340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45340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45340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45340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45340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45340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45340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45340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45340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45340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45340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45340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45340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45340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45340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45340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45340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45340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45340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45340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45340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45340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45340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45340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45340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45340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45340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45340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45340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45340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45340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45340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45340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45340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45340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45340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45340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45340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45340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45340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45340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45340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45340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45340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45340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45340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45340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45340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45340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45340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45340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45340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45340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45340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45340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45340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45340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45340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45340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45340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45340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45340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45340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45340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45340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45340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45340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45340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45340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45340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45340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45340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45340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45340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45340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45340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45340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45340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45340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45340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45340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45340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45340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45340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45340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45340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45340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45340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45340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45340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45340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45340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45340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45340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45340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45340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45340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45340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45340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45340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45340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45340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45340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45340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45340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45340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45340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45340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45340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45340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45340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45340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45340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45340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45340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45340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45340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45340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45340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45340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45340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45340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45340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45340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45340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45340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45340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45340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45340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45340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45340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45340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45340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45340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45340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45340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45340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45340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45340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45340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45340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45340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45340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45340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45340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45340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45340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45340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45340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45340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45340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45340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45340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45340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45340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45340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45340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45340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45340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45340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45340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45340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45340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45340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45340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45340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45340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45340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45340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45340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45340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45340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45340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45340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45340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45340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45340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45340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45340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45340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45340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45340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45340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45340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45340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45340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45340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45340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45340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45340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45340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45340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45340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45340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45340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45340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45340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45340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45340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45340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45340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45340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45340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45340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45340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45340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45340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45340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45340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45340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45340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45340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45340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45340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45340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45340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45340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45340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45340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45340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45340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45340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45340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45340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45340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45340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45340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45340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45340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45340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45340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45340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45340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45340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45340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45340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45340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45340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45340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45340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45340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45340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45340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45340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45340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45340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45340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45340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45340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45340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45340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45340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45340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45340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45340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45340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45340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45340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45340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45340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45340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45340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45340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45340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45340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45340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45340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45340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45340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45340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45340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45340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45340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45340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45340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45340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45340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45340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45340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45340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45340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45340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45340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45340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45340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45340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45340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45340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45340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45340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45340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45340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45340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45340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45340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45340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45340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45340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45340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45340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45340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45340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45340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45340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45340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45340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45340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45340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45340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45340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45340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45340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45340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45340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45340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45340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45340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45340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45340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45340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45340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45340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45340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45340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45340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45340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45340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45340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45340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45340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45340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45340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45340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45340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45340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45340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45340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45340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45340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45340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45340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45340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45340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45340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45340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45340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45340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45340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45340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45340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45340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45340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45340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45340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45340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45340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45340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45340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45340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45340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45340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45340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45340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45340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45340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45340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45340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45340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45340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45340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45340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45340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45340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45340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45340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45340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45340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45340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45340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45340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45340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45340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45340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45340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45340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45340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45340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45340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45340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45340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45340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45340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45340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45340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45340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45340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45340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45340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45340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45340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45340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45340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45340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45340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45340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45340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45340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45340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45340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45340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45340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45340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45340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45340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45340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45340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45340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45340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45340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45340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45340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45340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45340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45340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45340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45340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45340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45340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45340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45340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45340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45340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45340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45340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45340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45340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45340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45340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2008-2024</t>
        </is>
      </c>
      <c r="B819" s="1" t="n">
        <v>45308</v>
      </c>
      <c r="C819" s="1" t="n">
        <v>45340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45340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1992-2024</t>
        </is>
      </c>
      <c r="B821" s="1" t="n">
        <v>45308</v>
      </c>
      <c r="C821" s="1" t="n">
        <v>45340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45340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2876-2024</t>
        </is>
      </c>
      <c r="B823" s="1" t="n">
        <v>45315</v>
      </c>
      <c r="C823" s="1" t="n">
        <v>45340</v>
      </c>
      <c r="D823" t="inlineStr">
        <is>
          <t>VÄSTRA GÖTALANDS LÄN</t>
        </is>
      </c>
      <c r="E823" t="inlineStr">
        <is>
          <t>BORÅS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2875-2024</t>
        </is>
      </c>
      <c r="B824" s="1" t="n">
        <v>45315</v>
      </c>
      <c r="C824" s="1" t="n">
        <v>45340</v>
      </c>
      <c r="D824" t="inlineStr">
        <is>
          <t>VÄSTRA GÖTALANDS LÄN</t>
        </is>
      </c>
      <c r="E824" t="inlineStr">
        <is>
          <t>BORÅS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3021-2024</t>
        </is>
      </c>
      <c r="B825" s="1" t="n">
        <v>45316</v>
      </c>
      <c r="C825" s="1" t="n">
        <v>45340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3022-2024</t>
        </is>
      </c>
      <c r="B826" s="1" t="n">
        <v>45316</v>
      </c>
      <c r="C826" s="1" t="n">
        <v>45340</v>
      </c>
      <c r="D826" t="inlineStr">
        <is>
          <t>VÄSTRA GÖTALANDS LÄN</t>
        </is>
      </c>
      <c r="E826" t="inlineStr">
        <is>
          <t>BORÅS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3095-2024</t>
        </is>
      </c>
      <c r="B827" s="1" t="n">
        <v>45316</v>
      </c>
      <c r="C827" s="1" t="n">
        <v>45340</v>
      </c>
      <c r="D827" t="inlineStr">
        <is>
          <t>VÄSTRA GÖTALANDS LÄN</t>
        </is>
      </c>
      <c r="E827" t="inlineStr">
        <is>
          <t>BORÅS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3103-2024</t>
        </is>
      </c>
      <c r="B828" s="1" t="n">
        <v>45316</v>
      </c>
      <c r="C828" s="1" t="n">
        <v>45340</v>
      </c>
      <c r="D828" t="inlineStr">
        <is>
          <t>VÄSTRA GÖTALANDS LÄN</t>
        </is>
      </c>
      <c r="E828" t="inlineStr">
        <is>
          <t>BORÅS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3190-2024</t>
        </is>
      </c>
      <c r="B829" s="1" t="n">
        <v>45316</v>
      </c>
      <c r="C829" s="1" t="n">
        <v>45340</v>
      </c>
      <c r="D829" t="inlineStr">
        <is>
          <t>VÄSTRA GÖTALANDS LÄN</t>
        </is>
      </c>
      <c r="E829" t="inlineStr">
        <is>
          <t>BORÅS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3703-2024</t>
        </is>
      </c>
      <c r="B830" s="1" t="n">
        <v>45321</v>
      </c>
      <c r="C830" s="1" t="n">
        <v>45340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3719-2024</t>
        </is>
      </c>
      <c r="B831" s="1" t="n">
        <v>45321</v>
      </c>
      <c r="C831" s="1" t="n">
        <v>45340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3728-2024</t>
        </is>
      </c>
      <c r="B832" s="1" t="n">
        <v>45321</v>
      </c>
      <c r="C832" s="1" t="n">
        <v>45340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3766-2024</t>
        </is>
      </c>
      <c r="B833" s="1" t="n">
        <v>45321</v>
      </c>
      <c r="C833" s="1" t="n">
        <v>45340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3712-2024</t>
        </is>
      </c>
      <c r="B834" s="1" t="n">
        <v>45321</v>
      </c>
      <c r="C834" s="1" t="n">
        <v>45340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3721-2024</t>
        </is>
      </c>
      <c r="B835" s="1" t="n">
        <v>45321</v>
      </c>
      <c r="C835" s="1" t="n">
        <v>45340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3733-2024</t>
        </is>
      </c>
      <c r="B836" s="1" t="n">
        <v>45321</v>
      </c>
      <c r="C836" s="1" t="n">
        <v>45340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3784-2024</t>
        </is>
      </c>
      <c r="B837" s="1" t="n">
        <v>45321</v>
      </c>
      <c r="C837" s="1" t="n">
        <v>45340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45340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45340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5037-2024</t>
        </is>
      </c>
      <c r="B840" s="1" t="n">
        <v>45329</v>
      </c>
      <c r="C840" s="1" t="n">
        <v>45340</v>
      </c>
      <c r="D840" t="inlineStr">
        <is>
          <t>VÄSTRA GÖTALANDS LÄN</t>
        </is>
      </c>
      <c r="E840" t="inlineStr">
        <is>
          <t>BORÅS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5039-2024</t>
        </is>
      </c>
      <c r="B841" s="1" t="n">
        <v>45329</v>
      </c>
      <c r="C841" s="1" t="n">
        <v>45340</v>
      </c>
      <c r="D841" t="inlineStr">
        <is>
          <t>VÄSTRA GÖTALANDS LÄN</t>
        </is>
      </c>
      <c r="E841" t="inlineStr">
        <is>
          <t>BORÅS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>
      <c r="A842" t="inlineStr">
        <is>
          <t>A 6203-2024</t>
        </is>
      </c>
      <c r="B842" s="1" t="n">
        <v>45337</v>
      </c>
      <c r="C842" s="1" t="n">
        <v>45340</v>
      </c>
      <c r="D842" t="inlineStr">
        <is>
          <t>VÄSTRA GÖTALANDS LÄN</t>
        </is>
      </c>
      <c r="E842" t="inlineStr">
        <is>
          <t>BORÅS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2024-02-18T23:30:43Z</dcterms:created>
  <dcterms:modified xmlns:dcterms="http://purl.org/dc/terms/" xmlns:xsi="http://www.w3.org/2001/XMLSchema-instance" xsi:type="dcterms:W3CDTF">2024-02-18T23:30:43Z</dcterms:modified>
</cp:coreProperties>
</file>