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46290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46290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46290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46290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46290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46290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46290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46290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46290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46290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46290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46290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46290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46290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46290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46290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46290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46290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46290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46290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46290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46290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46290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46290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46290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46290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64578-2023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46290</v>
      </c>
      <c r="F37" t="inlineStr">
        <is>
          <t>VÄSTRA GÖTALANDS LÄN</t>
        </is>
      </c>
      <c r="G37" t="inlineStr">
        <is>
          <t>BORÅS</t>
        </is>
      </c>
      <c r="I37" t="n">
        <v>3.9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Skuggmossa
Blåsippa</t>
        </is>
      </c>
      <c r="W37">
        <f>HYPERLINK("https://klasma.github.io/Logging_1490/artfynd/A 64578-2023 artfynd.xlsx", "A 64578-2023")</f>
        <v/>
      </c>
      <c r="X37">
        <f>HYPERLINK("https://klasma.github.io/Logging_1490/kartor/A 64578-2023 karta.png", "A 64578-2023")</f>
        <v/>
      </c>
      <c r="Y37">
        <f>HYPERLINK("https://klasma.github.io/Logging_1490/kartor_geotiff/A 64578-2023 georefererad karta.tif", "A 64578-2023")</f>
        <v/>
      </c>
      <c r="AA37">
        <f>HYPERLINK("https://klasma.github.io/Logging_1490/klagomål/A 64578-2023 FSC-klagomål.docx", "A 64578-2023")</f>
        <v/>
      </c>
      <c r="AB37">
        <f>HYPERLINK("https://klasma.github.io/Logging_1490/klagomålsmail/A 64578-2023 FSC-klagomål mail.docx", "A 64578-2023")</f>
        <v/>
      </c>
      <c r="AC37">
        <f>HYPERLINK("https://klasma.github.io/Logging_1490/tillsyn/A 64578-2023 tillsynsbegäran.docx", "A 64578-2023")</f>
        <v/>
      </c>
      <c r="AD37">
        <f>HYPERLINK("https://klasma.github.io/Logging_1490/tillsynsmail/A 64578-2023 tillsynsbegäran mail.docx", "A 64578-2023")</f>
        <v/>
      </c>
    </row>
    <row r="38" ht="15" customHeight="1">
      <c r="A38" t="inlineStr">
        <is>
          <t>A 55712-2021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44476</v>
      </c>
      <c r="E38" s="1" t="n">
        <v>46290</v>
      </c>
      <c r="F38" t="inlineStr">
        <is>
          <t>VÄSTRA GÖTALANDS LÄN</t>
        </is>
      </c>
      <c r="G38" t="inlineStr">
        <is>
          <t>BORÅS</t>
        </is>
      </c>
      <c r="H38" t="inlineStr">
        <is>
          <t>Kommuner</t>
        </is>
      </c>
      <c r="I38" t="n">
        <v>3.6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1</v>
      </c>
      <c r="V38" s="2" t="inlineStr">
        <is>
          <t>Skogsalm
Knärot</t>
        </is>
      </c>
      <c r="W38">
        <f>HYPERLINK("https://klasma.github.io/Logging_1490/artfynd/A 55712-2021 artfynd.xlsx", "A 55712-2021")</f>
        <v/>
      </c>
      <c r="X38">
        <f>HYPERLINK("https://klasma.github.io/Logging_1490/kartor/A 55712-2021 karta.png", "A 55712-2021")</f>
        <v/>
      </c>
      <c r="Y38">
        <f>HYPERLINK("https://klasma.github.io/Logging_1490/kartor_geotiff/A 55712-2021 georefererad karta.tif", "A 55712-2021")</f>
        <v/>
      </c>
      <c r="Z38">
        <f>HYPERLINK("https://klasma.github.io/Logging_1490/knärot/A 55712-2021 karta knärot.png", "A 55712-2021")</f>
        <v/>
      </c>
      <c r="AA38">
        <f>HYPERLINK("https://klasma.github.io/Logging_1490/klagomål/A 55712-2021 FSC-klagomål.docx", "A 55712-2021")</f>
        <v/>
      </c>
      <c r="AB38">
        <f>HYPERLINK("https://klasma.github.io/Logging_1490/klagomålsmail/A 55712-2021 FSC-klagomål mail.docx", "A 55712-2021")</f>
        <v/>
      </c>
      <c r="AC38">
        <f>HYPERLINK("https://klasma.github.io/Logging_1490/tillsyn/A 55712-2021 tillsynsbegäran.docx", "A 55712-2021")</f>
        <v/>
      </c>
      <c r="AD38">
        <f>HYPERLINK("https://klasma.github.io/Logging_1490/tillsynsmail/A 55712-2021 tillsynsbegäran mail.docx", "A 55712-2021")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46290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6042-2026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46290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Talltita
Kungsfågel</t>
        </is>
      </c>
      <c r="W40">
        <f>HYPERLINK("https://klasma.github.io/Logging_1490/artfynd/A 6042-2026 artfynd.xlsx", "A 6042-2026")</f>
        <v/>
      </c>
      <c r="X40">
        <f>HYPERLINK("https://klasma.github.io/Logging_1490/kartor/A 6042-2026 karta.png", "A 6042-2026")</f>
        <v/>
      </c>
      <c r="Y40">
        <f>HYPERLINK("https://klasma.github.io/Logging_1490/kartor_geotiff/A 6042-2026 georefererad karta.tif", "A 6042-2026")</f>
        <v/>
      </c>
      <c r="AA40">
        <f>HYPERLINK("https://klasma.github.io/Logging_1490/klagomål/A 6042-2026 FSC-klagomål.docx", "A 6042-2026")</f>
        <v/>
      </c>
      <c r="AB40">
        <f>HYPERLINK("https://klasma.github.io/Logging_1490/klagomålsmail/A 6042-2026 FSC-klagomål mail.docx", "A 6042-2026")</f>
        <v/>
      </c>
      <c r="AC40">
        <f>HYPERLINK("https://klasma.github.io/Logging_1490/tillsyn/A 6042-2026 tillsynsbegäran.docx", "A 6042-2026")</f>
        <v/>
      </c>
      <c r="AD40">
        <f>HYPERLINK("https://klasma.github.io/Logging_1490/tillsynsmail/A 6042-2026 tillsynsbegäran mail.docx", "A 6042-2026")</f>
        <v/>
      </c>
      <c r="AE40">
        <f>HYPERLINK("https://klasma.github.io/Logging_1490/fåglar/A 6042-2026 prioriterade fågelarter.docx", "A 6042-2026")</f>
        <v/>
      </c>
    </row>
    <row r="41" ht="15" customHeight="1">
      <c r="A41" t="inlineStr">
        <is>
          <t>A 13913-2023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46290</v>
      </c>
      <c r="F41" t="inlineStr">
        <is>
          <t>VÄSTRA GÖTALANDS LÄN</t>
        </is>
      </c>
      <c r="G41" t="inlineStr">
        <is>
          <t>BORÅS</t>
        </is>
      </c>
      <c r="I41" t="n">
        <v>1.2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Gulnål
Vågbandad barkbock</t>
        </is>
      </c>
      <c r="W41">
        <f>HYPERLINK("https://klasma.github.io/Logging_1490/artfynd/A 13913-2023 artfynd.xlsx", "A 13913-2023")</f>
        <v/>
      </c>
      <c r="X41">
        <f>HYPERLINK("https://klasma.github.io/Logging_1490/kartor/A 13913-2023 karta.png", "A 13913-2023")</f>
        <v/>
      </c>
      <c r="Y41">
        <f>HYPERLINK("https://klasma.github.io/Logging_1490/kartor_geotiff/A 13913-2023 georefererad karta.tif", "A 13913-2023")</f>
        <v/>
      </c>
      <c r="AA41">
        <f>HYPERLINK("https://klasma.github.io/Logging_1490/klagomål/A 13913-2023 FSC-klagomål.docx", "A 13913-2023")</f>
        <v/>
      </c>
      <c r="AB41">
        <f>HYPERLINK("https://klasma.github.io/Logging_1490/klagomålsmail/A 13913-2023 FSC-klagomål mail.docx", "A 13913-2023")</f>
        <v/>
      </c>
      <c r="AC41">
        <f>HYPERLINK("https://klasma.github.io/Logging_1490/tillsyn/A 13913-2023 tillsynsbegäran.docx", "A 13913-2023")</f>
        <v/>
      </c>
      <c r="AD41">
        <f>HYPERLINK("https://klasma.github.io/Logging_1490/tillsynsmail/A 13913-2023 tillsynsbegäran mail.docx", "A 13913-2023")</f>
        <v/>
      </c>
    </row>
    <row r="42" ht="15" customHeight="1">
      <c r="A42" t="inlineStr">
        <is>
          <t>A 3469-2023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44949</v>
      </c>
      <c r="E42" s="1" t="n">
        <v>46290</v>
      </c>
      <c r="F42" t="inlineStr">
        <is>
          <t>VÄSTRA GÖTALANDS LÄN</t>
        </is>
      </c>
      <c r="G42" t="inlineStr">
        <is>
          <t>BORÅS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Ask
Fällmossa</t>
        </is>
      </c>
      <c r="W42">
        <f>HYPERLINK("https://klasma.github.io/Logging_1490/artfynd/A 3469-2023 artfynd.xlsx", "A 3469-2023")</f>
        <v/>
      </c>
      <c r="X42">
        <f>HYPERLINK("https://klasma.github.io/Logging_1490/kartor/A 3469-2023 karta.png", "A 3469-2023")</f>
        <v/>
      </c>
      <c r="Y42">
        <f>HYPERLINK("https://klasma.github.io/Logging_1490/kartor_geotiff/A 3469-2023 georefererad karta.tif", "A 3469-2023")</f>
        <v/>
      </c>
      <c r="AA42">
        <f>HYPERLINK("https://klasma.github.io/Logging_1490/klagomål/A 3469-2023 FSC-klagomål.docx", "A 3469-2023")</f>
        <v/>
      </c>
      <c r="AB42">
        <f>HYPERLINK("https://klasma.github.io/Logging_1490/klagomålsmail/A 3469-2023 FSC-klagomål mail.docx", "A 3469-2023")</f>
        <v/>
      </c>
      <c r="AC42">
        <f>HYPERLINK("https://klasma.github.io/Logging_1490/tillsyn/A 3469-2023 tillsynsbegäran.docx", "A 3469-2023")</f>
        <v/>
      </c>
      <c r="AD42">
        <f>HYPERLINK("https://klasma.github.io/Logging_1490/tillsynsmail/A 3469-2023 tillsynsbegäran mail.docx", "A 3469-2023")</f>
        <v/>
      </c>
    </row>
    <row r="43" ht="15" customHeight="1">
      <c r="A43" t="inlineStr">
        <is>
          <t>A 4362-2022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44589</v>
      </c>
      <c r="E43" s="1" t="n">
        <v>46290</v>
      </c>
      <c r="F43" t="inlineStr">
        <is>
          <t>VÄSTRA GÖTALANDS LÄN</t>
        </is>
      </c>
      <c r="G43" t="inlineStr">
        <is>
          <t>BORÅS</t>
        </is>
      </c>
      <c r="I43" t="n">
        <v>3.7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Gröngöling
Svartvit flugsnappare</t>
        </is>
      </c>
      <c r="W43">
        <f>HYPERLINK("https://klasma.github.io/Logging_1490/artfynd/A 4362-2022 artfynd.xlsx", "A 4362-2022")</f>
        <v/>
      </c>
      <c r="X43">
        <f>HYPERLINK("https://klasma.github.io/Logging_1490/kartor/A 4362-2022 karta.png", "A 4362-2022")</f>
        <v/>
      </c>
      <c r="Y43">
        <f>HYPERLINK("https://klasma.github.io/Logging_1490/kartor_geotiff/A 4362-2022 georefererad karta.tif", "A 4362-2022")</f>
        <v/>
      </c>
      <c r="AA43">
        <f>HYPERLINK("https://klasma.github.io/Logging_1490/klagomål/A 4362-2022 FSC-klagomål.docx", "A 4362-2022")</f>
        <v/>
      </c>
      <c r="AB43">
        <f>HYPERLINK("https://klasma.github.io/Logging_1490/klagomålsmail/A 4362-2022 FSC-klagomål mail.docx", "A 4362-2022")</f>
        <v/>
      </c>
      <c r="AC43">
        <f>HYPERLINK("https://klasma.github.io/Logging_1490/tillsyn/A 4362-2022 tillsynsbegäran.docx", "A 4362-2022")</f>
        <v/>
      </c>
      <c r="AD43">
        <f>HYPERLINK("https://klasma.github.io/Logging_1490/tillsynsmail/A 4362-2022 tillsynsbegäran mail.docx", "A 4362-2022")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46290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46290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46290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46290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46290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46290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46290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46290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46290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46290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1922-2025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46290</v>
      </c>
      <c r="F54" t="inlineStr">
        <is>
          <t>VÄSTRA GÖTALANDS LÄN</t>
        </is>
      </c>
      <c r="G54" t="inlineStr">
        <is>
          <t>BORÅS</t>
        </is>
      </c>
      <c r="H54" t="inlineStr">
        <is>
          <t>Kyrkan</t>
        </is>
      </c>
      <c r="I54" t="n">
        <v>5.9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HYPERLINK("https://klasma.github.io/Logging_1490/artfynd/A 1922-2025 artfynd.xlsx", "A 1922-2025")</f>
        <v/>
      </c>
      <c r="X54">
        <f>HYPERLINK("https://klasma.github.io/Logging_1490/kartor/A 1922-2025 karta.png", "A 1922-2025")</f>
        <v/>
      </c>
      <c r="Y54">
        <f>HYPERLINK("https://klasma.github.io/Logging_1490/kartor_geotiff/A 1922-2025 georefererad karta.tif", "A 1922-2025")</f>
        <v/>
      </c>
      <c r="AA54">
        <f>HYPERLINK("https://klasma.github.io/Logging_1490/klagomål/A 1922-2025 FSC-klagomål.docx", "A 1922-2025")</f>
        <v/>
      </c>
      <c r="AB54">
        <f>HYPERLINK("https://klasma.github.io/Logging_1490/klagomålsmail/A 1922-2025 FSC-klagomål mail.docx", "A 1922-2025")</f>
        <v/>
      </c>
      <c r="AC54">
        <f>HYPERLINK("https://klasma.github.io/Logging_1490/tillsyn/A 1922-2025 tillsynsbegäran.docx", "A 1922-2025")</f>
        <v/>
      </c>
      <c r="AD54">
        <f>HYPERLINK("https://klasma.github.io/Logging_1490/tillsynsmail/A 1922-2025 tillsynsbegäran mail.docx", "A 1922-2025")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46290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46290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3760-2024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46290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6.8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Kråka</t>
        </is>
      </c>
      <c r="W57">
        <f>HYPERLINK("https://klasma.github.io/Logging_1490/artfynd/A 3760-2024 artfynd.xlsx", "A 3760-2024")</f>
        <v/>
      </c>
      <c r="X57">
        <f>HYPERLINK("https://klasma.github.io/Logging_1490/kartor/A 3760-2024 karta.png", "A 3760-2024")</f>
        <v/>
      </c>
      <c r="Y57">
        <f>HYPERLINK("https://klasma.github.io/Logging_1490/kartor_geotiff/A 3760-2024 georefererad karta.tif", "A 3760-2024")</f>
        <v/>
      </c>
      <c r="AA57">
        <f>HYPERLINK("https://klasma.github.io/Logging_1490/klagomål/A 3760-2024 FSC-klagomål.docx", "A 3760-2024")</f>
        <v/>
      </c>
      <c r="AB57">
        <f>HYPERLINK("https://klasma.github.io/Logging_1490/klagomålsmail/A 3760-2024 FSC-klagomål mail.docx", "A 3760-2024")</f>
        <v/>
      </c>
      <c r="AC57">
        <f>HYPERLINK("https://klasma.github.io/Logging_1490/tillsyn/A 3760-2024 tillsynsbegäran.docx", "A 3760-2024")</f>
        <v/>
      </c>
      <c r="AD57">
        <f>HYPERLINK("https://klasma.github.io/Logging_1490/tillsynsmail/A 3760-2024 tillsynsbegäran mail.docx", "A 3760-2024")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46290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61684-2023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46290</v>
      </c>
      <c r="F59" t="inlineStr">
        <is>
          <t>VÄSTRA GÖTALANDS LÄN</t>
        </is>
      </c>
      <c r="G59" t="inlineStr">
        <is>
          <t>BORÅS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Fällmossa</t>
        </is>
      </c>
      <c r="W59">
        <f>HYPERLINK("https://klasma.github.io/Logging_1490/artfynd/A 61684-2023 artfynd.xlsx", "A 61684-2023")</f>
        <v/>
      </c>
      <c r="X59">
        <f>HYPERLINK("https://klasma.github.io/Logging_1490/kartor/A 61684-2023 karta.png", "A 61684-2023")</f>
        <v/>
      </c>
      <c r="Y59">
        <f>HYPERLINK("https://klasma.github.io/Logging_1490/kartor_geotiff/A 61684-2023 georefererad karta.tif", "A 61684-2023")</f>
        <v/>
      </c>
      <c r="AA59">
        <f>HYPERLINK("https://klasma.github.io/Logging_1490/klagomål/A 61684-2023 FSC-klagomål.docx", "A 61684-2023")</f>
        <v/>
      </c>
      <c r="AB59">
        <f>HYPERLINK("https://klasma.github.io/Logging_1490/klagomålsmail/A 61684-2023 FSC-klagomål mail.docx", "A 61684-2023")</f>
        <v/>
      </c>
      <c r="AC59">
        <f>HYPERLINK("https://klasma.github.io/Logging_1490/tillsyn/A 61684-2023 tillsynsbegäran.docx", "A 61684-2023")</f>
        <v/>
      </c>
      <c r="AD59">
        <f>HYPERLINK("https://klasma.github.io/Logging_1490/tillsynsmail/A 61684-2023 tillsynsbegäran mail.docx", "A 61684-2023")</f>
        <v/>
      </c>
    </row>
    <row r="60" ht="15" customHeight="1">
      <c r="A60" t="inlineStr">
        <is>
          <t>A 27342-2022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46290</v>
      </c>
      <c r="F60" t="inlineStr">
        <is>
          <t>VÄSTRA GÖTALANDS LÄN</t>
        </is>
      </c>
      <c r="G60" t="inlineStr">
        <is>
          <t>BORÅS</t>
        </is>
      </c>
      <c r="I60" t="n">
        <v>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HYPERLINK("https://klasma.github.io/Logging_1490/artfynd/A 27342-2022 artfynd.xlsx", "A 27342-2022")</f>
        <v/>
      </c>
      <c r="X60">
        <f>HYPERLINK("https://klasma.github.io/Logging_1490/kartor/A 27342-2022 karta.png", "A 27342-2022")</f>
        <v/>
      </c>
      <c r="Y60">
        <f>HYPERLINK("https://klasma.github.io/Logging_1490/kartor_geotiff/A 27342-2022 georefererad karta.tif", "A 27342-2022")</f>
        <v/>
      </c>
      <c r="AA60">
        <f>HYPERLINK("https://klasma.github.io/Logging_1490/klagomål/A 27342-2022 FSC-klagomål.docx", "A 27342-2022")</f>
        <v/>
      </c>
      <c r="AB60">
        <f>HYPERLINK("https://klasma.github.io/Logging_1490/klagomålsmail/A 27342-2022 FSC-klagomål mail.docx", "A 27342-2022")</f>
        <v/>
      </c>
      <c r="AC60">
        <f>HYPERLINK("https://klasma.github.io/Logging_1490/tillsyn/A 27342-2022 tillsynsbegäran.docx", "A 27342-2022")</f>
        <v/>
      </c>
      <c r="AD60">
        <f>HYPERLINK("https://klasma.github.io/Logging_1490/tillsynsmail/A 27342-2022 tillsynsbegäran mail.docx", "A 27342-2022")</f>
        <v/>
      </c>
      <c r="AE60">
        <f>HYPERLINK("https://klasma.github.io/Logging_1490/fåglar/A 27342-2022 prioriterade fågelarter.docx", "A 27342-2022")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46290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46290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19911-2023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46290</v>
      </c>
      <c r="F63" t="inlineStr">
        <is>
          <t>VÄSTRA GÖTALANDS LÄN</t>
        </is>
      </c>
      <c r="G63" t="inlineStr">
        <is>
          <t>BORÅS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padda</t>
        </is>
      </c>
      <c r="W63">
        <f>HYPERLINK("https://klasma.github.io/Logging_1490/artfynd/A 19911-2023 artfynd.xlsx", "A 19911-2023")</f>
        <v/>
      </c>
      <c r="X63">
        <f>HYPERLINK("https://klasma.github.io/Logging_1490/kartor/A 19911-2023 karta.png", "A 19911-2023")</f>
        <v/>
      </c>
      <c r="Y63">
        <f>HYPERLINK("https://klasma.github.io/Logging_1490/kartor_geotiff/A 19911-2023 georefererad karta.tif", "A 19911-2023")</f>
        <v/>
      </c>
      <c r="AA63">
        <f>HYPERLINK("https://klasma.github.io/Logging_1490/klagomål/A 19911-2023 FSC-klagomål.docx", "A 19911-2023")</f>
        <v/>
      </c>
      <c r="AB63">
        <f>HYPERLINK("https://klasma.github.io/Logging_1490/klagomålsmail/A 19911-2023 FSC-klagomål mail.docx", "A 19911-2023")</f>
        <v/>
      </c>
      <c r="AC63">
        <f>HYPERLINK("https://klasma.github.io/Logging_1490/tillsyn/A 19911-2023 tillsynsbegäran.docx", "A 19911-2023")</f>
        <v/>
      </c>
      <c r="AD63">
        <f>HYPERLINK("https://klasma.github.io/Logging_1490/tillsynsmail/A 19911-2023 tillsynsbegäran mail.docx", "A 19911-2023")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46290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Hasselmus</t>
        </is>
      </c>
      <c r="W64">
        <f>HYPERLINK("https://klasma.github.io/Logging_1490/artfynd/A 3719-2024 artfynd.xlsx", "A 3719-2024")</f>
        <v/>
      </c>
      <c r="X64">
        <f>HYPERLINK("https://klasma.github.io/Logging_1490/kartor/A 3719-2024 karta.png", "A 3719-2024")</f>
        <v/>
      </c>
      <c r="Y64">
        <f>HYPERLINK("https://klasma.github.io/Logging_1490/kartor_geotiff/A 3719-2024 georefererad karta.tif", "A 3719-2024")</f>
        <v/>
      </c>
      <c r="AA64">
        <f>HYPERLINK("https://klasma.github.io/Logging_1490/klagomål/A 3719-2024 FSC-klagomål.docx", "A 3719-2024")</f>
        <v/>
      </c>
      <c r="AB64">
        <f>HYPERLINK("https://klasma.github.io/Logging_1490/klagomålsmail/A 3719-2024 FSC-klagomål mail.docx", "A 3719-2024")</f>
        <v/>
      </c>
      <c r="AC64">
        <f>HYPERLINK("https://klasma.github.io/Logging_1490/tillsyn/A 3719-2024 tillsynsbegäran.docx", "A 3719-2024")</f>
        <v/>
      </c>
      <c r="AD64">
        <f>HYPERLINK("https://klasma.github.io/Logging_1490/tillsynsmail/A 3719-2024 tillsynsbegäran mail.docx", "A 3719-2024")</f>
        <v/>
      </c>
    </row>
    <row r="65" ht="15" customHeight="1">
      <c r="A65" t="inlineStr">
        <is>
          <t>A 53533-2022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46290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HYPERLINK("https://klasma.github.io/Logging_1490/artfynd/A 53533-2022 artfynd.xlsx", "A 53533-2022")</f>
        <v/>
      </c>
      <c r="X65">
        <f>HYPERLINK("https://klasma.github.io/Logging_1490/kartor/A 53533-2022 karta.png", "A 53533-2022")</f>
        <v/>
      </c>
      <c r="Y65">
        <f>HYPERLINK("https://klasma.github.io/Logging_1490/kartor_geotiff/A 53533-2022 georefererad karta.tif", "A 53533-2022")</f>
        <v/>
      </c>
      <c r="AA65">
        <f>HYPERLINK("https://klasma.github.io/Logging_1490/klagomål/A 53533-2022 FSC-klagomål.docx", "A 53533-2022")</f>
        <v/>
      </c>
      <c r="AB65">
        <f>HYPERLINK("https://klasma.github.io/Logging_1490/klagomålsmail/A 53533-2022 FSC-klagomål mail.docx", "A 53533-2022")</f>
        <v/>
      </c>
      <c r="AC65">
        <f>HYPERLINK("https://klasma.github.io/Logging_1490/tillsyn/A 53533-2022 tillsynsbegäran.docx", "A 53533-2022")</f>
        <v/>
      </c>
      <c r="AD65">
        <f>HYPERLINK("https://klasma.github.io/Logging_1490/tillsynsmail/A 53533-2022 tillsynsbegäran mail.docx", "A 53533-2022")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46290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33140-2023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46290</v>
      </c>
      <c r="F67" t="inlineStr">
        <is>
          <t>VÄSTRA GÖTALANDS LÄN</t>
        </is>
      </c>
      <c r="G67" t="inlineStr">
        <is>
          <t>BORÅS</t>
        </is>
      </c>
      <c r="I67" t="n">
        <v>5.1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HYPERLINK("https://klasma.github.io/Logging_1490/artfynd/A 33140-2023 artfynd.xlsx", "A 33140-2023")</f>
        <v/>
      </c>
      <c r="X67">
        <f>HYPERLINK("https://klasma.github.io/Logging_1490/kartor/A 33140-2023 karta.png", "A 33140-2023")</f>
        <v/>
      </c>
      <c r="Y67">
        <f>HYPERLINK("https://klasma.github.io/Logging_1490/kartor_geotiff/A 33140-2023 georefererad karta.tif", "A 33140-2023")</f>
        <v/>
      </c>
      <c r="AA67">
        <f>HYPERLINK("https://klasma.github.io/Logging_1490/klagomål/A 33140-2023 FSC-klagomål.docx", "A 33140-2023")</f>
        <v/>
      </c>
      <c r="AB67">
        <f>HYPERLINK("https://klasma.github.io/Logging_1490/klagomålsmail/A 33140-2023 FSC-klagomål mail.docx", "A 33140-2023")</f>
        <v/>
      </c>
      <c r="AC67">
        <f>HYPERLINK("https://klasma.github.io/Logging_1490/tillsyn/A 33140-2023 tillsynsbegäran.docx", "A 33140-2023")</f>
        <v/>
      </c>
      <c r="AD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46290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Vågbandad barkbock</t>
        </is>
      </c>
      <c r="W68">
        <f>HYPERLINK("https://klasma.github.io/Logging_1490/artfynd/A 3772-2024 artfynd.xlsx", "A 3772-2024")</f>
        <v/>
      </c>
      <c r="X68">
        <f>HYPERLINK("https://klasma.github.io/Logging_1490/kartor/A 3772-2024 karta.png", "A 3772-2024")</f>
        <v/>
      </c>
      <c r="Y68">
        <f>HYPERLINK("https://klasma.github.io/Logging_1490/kartor_geotiff/A 3772-2024 georefererad karta.tif", "A 3772-2024")</f>
        <v/>
      </c>
      <c r="AA68">
        <f>HYPERLINK("https://klasma.github.io/Logging_1490/klagomål/A 3772-2024 FSC-klagomål.docx", "A 3772-2024")</f>
        <v/>
      </c>
      <c r="AB68">
        <f>HYPERLINK("https://klasma.github.io/Logging_1490/klagomålsmail/A 3772-2024 FSC-klagomål mail.docx", "A 3772-2024")</f>
        <v/>
      </c>
      <c r="AC68">
        <f>HYPERLINK("https://klasma.github.io/Logging_1490/tillsyn/A 3772-2024 tillsynsbegäran.docx", "A 3772-2024")</f>
        <v/>
      </c>
      <c r="AD68">
        <f>HYPERLINK("https://klasma.github.io/Logging_1490/tillsynsmail/A 3772-2024 tillsynsbegäran mail.docx", "A 3772-2024")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46290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46290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57439-2024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46290</v>
      </c>
      <c r="F72" t="inlineStr">
        <is>
          <t>VÄSTRA GÖTALANDS LÄN</t>
        </is>
      </c>
      <c r="G72" t="inlineStr">
        <is>
          <t>BORÅS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Tofsmes</t>
        </is>
      </c>
      <c r="W72">
        <f>HYPERLINK("https://klasma.github.io/Logging_1490/artfynd/A 57439-2024 artfynd.xlsx", "A 57439-2024")</f>
        <v/>
      </c>
      <c r="X72">
        <f>HYPERLINK("https://klasma.github.io/Logging_1490/kartor/A 57439-2024 karta.png", "A 57439-2024")</f>
        <v/>
      </c>
      <c r="Y72">
        <f>HYPERLINK("https://klasma.github.io/Logging_1490/kartor_geotiff/A 57439-2024 georefererad karta.tif", "A 57439-2024")</f>
        <v/>
      </c>
      <c r="AA72">
        <f>HYPERLINK("https://klasma.github.io/Logging_1490/klagomål/A 57439-2024 FSC-klagomål.docx", "A 57439-2024")</f>
        <v/>
      </c>
      <c r="AB72">
        <f>HYPERLINK("https://klasma.github.io/Logging_1490/klagomålsmail/A 57439-2024 FSC-klagomål mail.docx", "A 57439-2024")</f>
        <v/>
      </c>
      <c r="AC72">
        <f>HYPERLINK("https://klasma.github.io/Logging_1490/tillsyn/A 57439-2024 tillsynsbegäran.docx", "A 57439-2024")</f>
        <v/>
      </c>
      <c r="AD72">
        <f>HYPERLINK("https://klasma.github.io/Logging_1490/tillsynsmail/A 57439-2024 tillsynsbegäran mail.docx", "A 57439-2024")</f>
        <v/>
      </c>
    </row>
    <row r="73" ht="15" customHeight="1">
      <c r="A73" t="inlineStr">
        <is>
          <t>A 38108-2026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46280</v>
      </c>
      <c r="E73" s="1" t="n">
        <v>46290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HYPERLINK("https://klasma.github.io/Logging_1490/artfynd/A 38108-2026 artfynd.xlsx", "A 38108-2026")</f>
        <v/>
      </c>
      <c r="X73">
        <f>HYPERLINK("https://klasma.github.io/Logging_1490/kartor/A 38108-2026 karta.png", "A 38108-2026")</f>
        <v/>
      </c>
      <c r="Y73">
        <f>HYPERLINK("https://klasma.github.io/Logging_1490/kartor_geotiff/A 38108-2026 georefererad karta.tif", "A 38108-2026")</f>
        <v/>
      </c>
      <c r="AA73">
        <f>HYPERLINK("https://klasma.github.io/Logging_1490/klagomål/A 38108-2026 FSC-klagomål.docx", "A 38108-2026")</f>
        <v/>
      </c>
      <c r="AB73">
        <f>HYPERLINK("https://klasma.github.io/Logging_1490/klagomålsmail/A 38108-2026 FSC-klagomål mail.docx", "A 38108-2026")</f>
        <v/>
      </c>
      <c r="AC73">
        <f>HYPERLINK("https://klasma.github.io/Logging_1490/tillsyn/A 38108-2026 tillsynsbegäran.docx", "A 38108-2026")</f>
        <v/>
      </c>
      <c r="AD73">
        <f>HYPERLINK("https://klasma.github.io/Logging_1490/tillsynsmail/A 38108-2026 tillsynsbegäran mail.docx", "A 38108-2026")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46290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46290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46290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46290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46290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46290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46290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46290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46290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46290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46290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46290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46290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46290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46290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46290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46290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46290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46290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46290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46290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46290</v>
      </c>
      <c r="F95" t="inlineStr">
        <is>
          <t>VÄSTRA GÖTALANDS LÄN</t>
        </is>
      </c>
      <c r="G95" t="inlineStr">
        <is>
          <t>BORÅS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46290</v>
      </c>
      <c r="F96" t="inlineStr">
        <is>
          <t>VÄSTRA GÖTALANDS LÄN</t>
        </is>
      </c>
      <c r="G96" t="inlineStr">
        <is>
          <t>BORÅS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46290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44873</v>
      </c>
      <c r="E98" s="1" t="n">
        <v>46290</v>
      </c>
      <c r="F98" t="inlineStr">
        <is>
          <t>VÄSTRA GÖTALANDS LÄN</t>
        </is>
      </c>
      <c r="G98" t="inlineStr">
        <is>
          <t>BORÅS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46290</v>
      </c>
      <c r="F99" t="inlineStr">
        <is>
          <t>VÄSTRA GÖTALANDS LÄN</t>
        </is>
      </c>
      <c r="G99" t="inlineStr">
        <is>
          <t>BORÅS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46290</v>
      </c>
      <c r="F100" t="inlineStr">
        <is>
          <t>VÄSTRA GÖTALANDS LÄN</t>
        </is>
      </c>
      <c r="G100" t="inlineStr">
        <is>
          <t>BORÅS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46290</v>
      </c>
      <c r="F101" t="inlineStr">
        <is>
          <t>VÄSTRA GÖTALANDS LÄN</t>
        </is>
      </c>
      <c r="G101" t="inlineStr">
        <is>
          <t>BORÅS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46290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46290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46290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46290</v>
      </c>
      <c r="F105" t="inlineStr">
        <is>
          <t>VÄSTRA GÖTALANDS LÄN</t>
        </is>
      </c>
      <c r="G105" t="inlineStr">
        <is>
          <t>BORÅS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46290</v>
      </c>
      <c r="F106" t="inlineStr">
        <is>
          <t>VÄSTRA GÖTALANDS LÄN</t>
        </is>
      </c>
      <c r="G106" t="inlineStr">
        <is>
          <t>BORÅS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46290</v>
      </c>
      <c r="F107" t="inlineStr">
        <is>
          <t>VÄSTRA GÖTALANDS LÄN</t>
        </is>
      </c>
      <c r="G107" t="inlineStr">
        <is>
          <t>BORÅS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46290</v>
      </c>
      <c r="F108" t="inlineStr">
        <is>
          <t>VÄSTRA GÖTALANDS LÄN</t>
        </is>
      </c>
      <c r="G108" t="inlineStr">
        <is>
          <t>BORÅS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44605</v>
      </c>
      <c r="E109" s="1" t="n">
        <v>46290</v>
      </c>
      <c r="F109" t="inlineStr">
        <is>
          <t>VÄSTRA GÖTALANDS LÄN</t>
        </is>
      </c>
      <c r="G109" t="inlineStr">
        <is>
          <t>BORÅS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46290</v>
      </c>
      <c r="F110" t="inlineStr">
        <is>
          <t>VÄSTRA GÖTALANDS LÄN</t>
        </is>
      </c>
      <c r="G110" t="inlineStr">
        <is>
          <t>BORÅS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46290</v>
      </c>
      <c r="F111" t="inlineStr">
        <is>
          <t>VÄSTRA GÖTALANDS LÄN</t>
        </is>
      </c>
      <c r="G111" t="inlineStr">
        <is>
          <t>BORÅS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46290</v>
      </c>
      <c r="F112" t="inlineStr">
        <is>
          <t>VÄSTRA GÖTALANDS LÄN</t>
        </is>
      </c>
      <c r="G112" t="inlineStr">
        <is>
          <t>BORÅS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46290</v>
      </c>
      <c r="F113" t="inlineStr">
        <is>
          <t>VÄSTRA GÖTALANDS LÄN</t>
        </is>
      </c>
      <c r="G113" t="inlineStr">
        <is>
          <t>BORÅS</t>
        </is>
      </c>
      <c r="H113" t="inlineStr">
        <is>
          <t>Kyrkan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46290</v>
      </c>
      <c r="F114" t="inlineStr">
        <is>
          <t>VÄSTRA GÖTALANDS LÄN</t>
        </is>
      </c>
      <c r="G114" t="inlineStr">
        <is>
          <t>BORÅS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44769</v>
      </c>
      <c r="E115" s="1" t="n">
        <v>46290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46290</v>
      </c>
      <c r="F116" t="inlineStr">
        <is>
          <t>VÄSTRA GÖTALANDS LÄN</t>
        </is>
      </c>
      <c r="G116" t="inlineStr">
        <is>
          <t>BORÅS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44753</v>
      </c>
      <c r="E117" s="1" t="n">
        <v>46290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52307-2022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44873</v>
      </c>
      <c r="E118" s="1" t="n">
        <v>46290</v>
      </c>
      <c r="F118" t="inlineStr">
        <is>
          <t>VÄSTRA GÖTALANDS LÄN</t>
        </is>
      </c>
      <c r="G118" t="inlineStr">
        <is>
          <t>BORÅS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46290</v>
      </c>
      <c r="F119" t="inlineStr">
        <is>
          <t>VÄSTRA GÖTALANDS LÄN</t>
        </is>
      </c>
      <c r="G119" t="inlineStr">
        <is>
          <t>BORÅS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46290</v>
      </c>
      <c r="F120" t="inlineStr">
        <is>
          <t>VÄSTRA GÖTALANDS LÄN</t>
        </is>
      </c>
      <c r="G120" t="inlineStr">
        <is>
          <t>BORÅS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46290</v>
      </c>
      <c r="F121" t="inlineStr">
        <is>
          <t>VÄSTRA GÖTALANDS LÄN</t>
        </is>
      </c>
      <c r="G121" t="inlineStr">
        <is>
          <t>BORÅS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68634-2021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46290</v>
      </c>
      <c r="F122" t="inlineStr">
        <is>
          <t>VÄSTRA GÖTALANDS LÄN</t>
        </is>
      </c>
      <c r="G122" t="inlineStr">
        <is>
          <t>BORÅS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44642</v>
      </c>
      <c r="E123" s="1" t="n">
        <v>46290</v>
      </c>
      <c r="F123" t="inlineStr">
        <is>
          <t>VÄSTRA GÖTALANDS LÄN</t>
        </is>
      </c>
      <c r="G123" t="inlineStr">
        <is>
          <t>BORÅS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46290</v>
      </c>
      <c r="F124" t="inlineStr">
        <is>
          <t>VÄSTRA GÖTALANDS LÄN</t>
        </is>
      </c>
      <c r="G124" t="inlineStr">
        <is>
          <t>BORÅS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44678</v>
      </c>
      <c r="E125" s="1" t="n">
        <v>46290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46290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46290</v>
      </c>
      <c r="F127" t="inlineStr">
        <is>
          <t>VÄSTRA GÖTALANDS LÄN</t>
        </is>
      </c>
      <c r="G127" t="inlineStr">
        <is>
          <t>BORÅS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44489</v>
      </c>
      <c r="E128" s="1" t="n">
        <v>46290</v>
      </c>
      <c r="F128" t="inlineStr">
        <is>
          <t>VÄSTRA GÖTALANDS LÄN</t>
        </is>
      </c>
      <c r="G128" t="inlineStr">
        <is>
          <t>BORÅS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58771-2021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44489</v>
      </c>
      <c r="E129" s="1" t="n">
        <v>46290</v>
      </c>
      <c r="F129" t="inlineStr">
        <is>
          <t>VÄSTRA GÖTALANDS LÄN</t>
        </is>
      </c>
      <c r="G129" t="inlineStr">
        <is>
          <t>BORÅS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46290</v>
      </c>
      <c r="F130" t="inlineStr">
        <is>
          <t>VÄSTRA GÖTALANDS LÄN</t>
        </is>
      </c>
      <c r="G130" t="inlineStr">
        <is>
          <t>BORÅS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65064-2021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46290</v>
      </c>
      <c r="F131" t="inlineStr">
        <is>
          <t>VÄSTRA GÖTALANDS LÄN</t>
        </is>
      </c>
      <c r="G131" t="inlineStr">
        <is>
          <t>BORÅS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8240-2022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44609</v>
      </c>
      <c r="E132" s="1" t="n">
        <v>46290</v>
      </c>
      <c r="F132" t="inlineStr">
        <is>
          <t>VÄSTRA GÖTALANDS LÄN</t>
        </is>
      </c>
      <c r="G132" t="inlineStr">
        <is>
          <t>BORÅS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46290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32170-2023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46290</v>
      </c>
      <c r="F134" t="inlineStr">
        <is>
          <t>VÄSTRA GÖTALANDS LÄN</t>
        </is>
      </c>
      <c r="G134" t="inlineStr">
        <is>
          <t>BORÅS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45561</v>
      </c>
      <c r="E135" s="1" t="n">
        <v>46290</v>
      </c>
      <c r="F135" t="inlineStr">
        <is>
          <t>VÄSTRA GÖTALANDS LÄN</t>
        </is>
      </c>
      <c r="G135" t="inlineStr">
        <is>
          <t>BORÅS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46290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46290</v>
      </c>
      <c r="F137" t="inlineStr">
        <is>
          <t>VÄSTRA GÖTALANDS LÄN</t>
        </is>
      </c>
      <c r="G137" t="inlineStr">
        <is>
          <t>BORÅS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46290</v>
      </c>
      <c r="F138" t="inlineStr">
        <is>
          <t>VÄSTRA GÖTALANDS LÄN</t>
        </is>
      </c>
      <c r="G138" t="inlineStr">
        <is>
          <t>BORÅS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46290</v>
      </c>
      <c r="F139" t="inlineStr">
        <is>
          <t>VÄSTRA GÖTALANDS LÄN</t>
        </is>
      </c>
      <c r="G139" t="inlineStr">
        <is>
          <t>BORÅS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73822-2021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46290</v>
      </c>
      <c r="F140" t="inlineStr">
        <is>
          <t>VÄSTRA GÖTALANDS LÄN</t>
        </is>
      </c>
      <c r="G140" t="inlineStr">
        <is>
          <t>BORÅS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45294</v>
      </c>
      <c r="E141" s="1" t="n">
        <v>46290</v>
      </c>
      <c r="F141" t="inlineStr">
        <is>
          <t>VÄSTRA GÖTALANDS LÄN</t>
        </is>
      </c>
      <c r="G141" t="inlineStr">
        <is>
          <t>BORÅS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46290</v>
      </c>
      <c r="F142" t="inlineStr">
        <is>
          <t>VÄSTRA GÖTALANDS LÄN</t>
        </is>
      </c>
      <c r="G142" t="inlineStr">
        <is>
          <t>BORÅS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45050</v>
      </c>
      <c r="E143" s="1" t="n">
        <v>46290</v>
      </c>
      <c r="F143" t="inlineStr">
        <is>
          <t>VÄSTRA GÖTALANDS LÄN</t>
        </is>
      </c>
      <c r="G143" t="inlineStr">
        <is>
          <t>BORÅS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46290</v>
      </c>
      <c r="F144" t="inlineStr">
        <is>
          <t>VÄSTRA GÖTALANDS LÄN</t>
        </is>
      </c>
      <c r="G144" t="inlineStr">
        <is>
          <t>BORÅS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46290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8182-2024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45351</v>
      </c>
      <c r="E146" s="1" t="n">
        <v>46290</v>
      </c>
      <c r="F146" t="inlineStr">
        <is>
          <t>VÄSTRA GÖTALANDS LÄN</t>
        </is>
      </c>
      <c r="G146" t="inlineStr">
        <is>
          <t>BORÅS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24860-2022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46290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46290</v>
      </c>
      <c r="F148" t="inlineStr">
        <is>
          <t>VÄSTRA GÖTALANDS LÄN</t>
        </is>
      </c>
      <c r="G148" t="inlineStr">
        <is>
          <t>BORÅS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46290</v>
      </c>
      <c r="F149" t="inlineStr">
        <is>
          <t>VÄSTRA GÖTALANDS LÄN</t>
        </is>
      </c>
      <c r="G149" t="inlineStr">
        <is>
          <t>BORÅS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46290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46290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45212</v>
      </c>
      <c r="E152" s="1" t="n">
        <v>46290</v>
      </c>
      <c r="F152" t="inlineStr">
        <is>
          <t>VÄSTRA GÖTALANDS LÄN</t>
        </is>
      </c>
      <c r="G152" t="inlineStr">
        <is>
          <t>BORÅS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46290</v>
      </c>
      <c r="F153" t="inlineStr">
        <is>
          <t>VÄSTRA GÖTALANDS LÄN</t>
        </is>
      </c>
      <c r="G153" t="inlineStr">
        <is>
          <t>BORÅS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46290</v>
      </c>
      <c r="F154" t="inlineStr">
        <is>
          <t>VÄSTRA GÖTALANDS LÄN</t>
        </is>
      </c>
      <c r="G154" t="inlineStr">
        <is>
          <t>BORÅS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46290</v>
      </c>
      <c r="F155" t="inlineStr">
        <is>
          <t>VÄSTRA GÖTALANDS LÄN</t>
        </is>
      </c>
      <c r="G155" t="inlineStr">
        <is>
          <t>BORÅS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46290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45650</v>
      </c>
      <c r="E157" s="1" t="n">
        <v>46290</v>
      </c>
      <c r="F157" t="inlineStr">
        <is>
          <t>VÄSTRA GÖTALANDS LÄN</t>
        </is>
      </c>
      <c r="G157" t="inlineStr">
        <is>
          <t>BORÅS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46290</v>
      </c>
      <c r="F158" t="inlineStr">
        <is>
          <t>VÄSTRA GÖTALANDS LÄN</t>
        </is>
      </c>
      <c r="G158" t="inlineStr">
        <is>
          <t>BORÅS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46290</v>
      </c>
      <c r="F159" t="inlineStr">
        <is>
          <t>VÄSTRA GÖTALANDS LÄN</t>
        </is>
      </c>
      <c r="G159" t="inlineStr">
        <is>
          <t>BORÅS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45462</v>
      </c>
      <c r="E160" s="1" t="n">
        <v>46290</v>
      </c>
      <c r="F160" t="inlineStr">
        <is>
          <t>VÄSTRA GÖTALANDS LÄN</t>
        </is>
      </c>
      <c r="G160" t="inlineStr">
        <is>
          <t>BORÅS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46290</v>
      </c>
      <c r="F161" t="inlineStr">
        <is>
          <t>VÄSTRA GÖTALANDS LÄN</t>
        </is>
      </c>
      <c r="G161" t="inlineStr">
        <is>
          <t>BORÅS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46290</v>
      </c>
      <c r="F162" t="inlineStr">
        <is>
          <t>VÄSTRA GÖTALANDS LÄN</t>
        </is>
      </c>
      <c r="G162" t="inlineStr">
        <is>
          <t>BORÅS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46290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Kyrkan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45666</v>
      </c>
      <c r="E164" s="1" t="n">
        <v>46290</v>
      </c>
      <c r="F164" t="inlineStr">
        <is>
          <t>VÄSTRA GÖTALANDS LÄN</t>
        </is>
      </c>
      <c r="G164" t="inlineStr">
        <is>
          <t>BORÅS</t>
        </is>
      </c>
      <c r="H164" t="inlineStr">
        <is>
          <t>Sveaskog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44910</v>
      </c>
      <c r="E165" s="1" t="n">
        <v>46290</v>
      </c>
      <c r="F165" t="inlineStr">
        <is>
          <t>VÄSTRA GÖTALANDS LÄN</t>
        </is>
      </c>
      <c r="G165" t="inlineStr">
        <is>
          <t>BORÅS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44889</v>
      </c>
      <c r="E166" s="1" t="n">
        <v>46290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Kyrkan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44916</v>
      </c>
      <c r="E167" s="1" t="n">
        <v>46290</v>
      </c>
      <c r="F167" t="inlineStr">
        <is>
          <t>VÄSTRA GÖTALANDS LÄN</t>
        </is>
      </c>
      <c r="G167" t="inlineStr">
        <is>
          <t>BORÅS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46290</v>
      </c>
      <c r="F168" t="inlineStr">
        <is>
          <t>VÄSTRA GÖTALANDS LÄN</t>
        </is>
      </c>
      <c r="G168" t="inlineStr">
        <is>
          <t>BORÅS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46290</v>
      </c>
      <c r="F169" t="inlineStr">
        <is>
          <t>VÄSTRA GÖTALANDS LÄN</t>
        </is>
      </c>
      <c r="G169" t="inlineStr">
        <is>
          <t>BORÅS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45462</v>
      </c>
      <c r="E170" s="1" t="n">
        <v>46290</v>
      </c>
      <c r="F170" t="inlineStr">
        <is>
          <t>VÄSTRA GÖTALANDS LÄN</t>
        </is>
      </c>
      <c r="G170" t="inlineStr">
        <is>
          <t>BORÅS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44804</v>
      </c>
      <c r="E171" s="1" t="n">
        <v>46290</v>
      </c>
      <c r="F171" t="inlineStr">
        <is>
          <t>VÄSTRA GÖTALANDS LÄN</t>
        </is>
      </c>
      <c r="G171" t="inlineStr">
        <is>
          <t>BORÅS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46290</v>
      </c>
      <c r="F172" t="inlineStr">
        <is>
          <t>VÄSTRA GÖTALANDS LÄN</t>
        </is>
      </c>
      <c r="G172" t="inlineStr">
        <is>
          <t>BORÅS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46290</v>
      </c>
      <c r="F173" t="inlineStr">
        <is>
          <t>VÄSTRA GÖTALANDS LÄN</t>
        </is>
      </c>
      <c r="G173" t="inlineStr">
        <is>
          <t>BORÅS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46290</v>
      </c>
      <c r="F174" t="inlineStr">
        <is>
          <t>VÄSTRA GÖTALANDS LÄN</t>
        </is>
      </c>
      <c r="G174" t="inlineStr">
        <is>
          <t>BORÅS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46290</v>
      </c>
      <c r="F175" t="inlineStr">
        <is>
          <t>VÄSTRA GÖTALANDS LÄN</t>
        </is>
      </c>
      <c r="G175" t="inlineStr">
        <is>
          <t>BORÅS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46290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46290</v>
      </c>
      <c r="F177" t="inlineStr">
        <is>
          <t>VÄSTRA GÖTALANDS LÄN</t>
        </is>
      </c>
      <c r="G177" t="inlineStr">
        <is>
          <t>BORÅS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46290</v>
      </c>
      <c r="F178" t="inlineStr">
        <is>
          <t>VÄSTRA GÖTALANDS LÄN</t>
        </is>
      </c>
      <c r="G178" t="inlineStr">
        <is>
          <t>BORÅS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46290</v>
      </c>
      <c r="F179" t="inlineStr">
        <is>
          <t>VÄSTRA GÖTALANDS LÄN</t>
        </is>
      </c>
      <c r="G179" t="inlineStr">
        <is>
          <t>BORÅS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46290</v>
      </c>
      <c r="F180" t="inlineStr">
        <is>
          <t>VÄSTRA GÖTALANDS LÄN</t>
        </is>
      </c>
      <c r="G180" t="inlineStr">
        <is>
          <t>BORÅS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46290</v>
      </c>
      <c r="F181" t="inlineStr">
        <is>
          <t>VÄSTRA GÖTALANDS LÄN</t>
        </is>
      </c>
      <c r="G181" t="inlineStr">
        <is>
          <t>BORÅS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46290</v>
      </c>
      <c r="F182" t="inlineStr">
        <is>
          <t>VÄSTRA GÖTALANDS LÄN</t>
        </is>
      </c>
      <c r="G182" t="inlineStr">
        <is>
          <t>BORÅS</t>
        </is>
      </c>
      <c r="H182" t="inlineStr">
        <is>
          <t>Kommuner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45190</v>
      </c>
      <c r="E183" s="1" t="n">
        <v>46290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45126</v>
      </c>
      <c r="E184" s="1" t="n">
        <v>46290</v>
      </c>
      <c r="F184" t="inlineStr">
        <is>
          <t>VÄSTRA GÖTALANDS LÄN</t>
        </is>
      </c>
      <c r="G184" t="inlineStr">
        <is>
          <t>BORÅS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44581</v>
      </c>
      <c r="E185" s="1" t="n">
        <v>46290</v>
      </c>
      <c r="F185" t="inlineStr">
        <is>
          <t>VÄSTRA GÖTALANDS LÄN</t>
        </is>
      </c>
      <c r="G185" t="inlineStr">
        <is>
          <t>BORÅS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45119</v>
      </c>
      <c r="E186" s="1" t="n">
        <v>46290</v>
      </c>
      <c r="F186" t="inlineStr">
        <is>
          <t>VÄSTRA GÖTALANDS LÄN</t>
        </is>
      </c>
      <c r="G186" t="inlineStr">
        <is>
          <t>BORÅS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44639</v>
      </c>
      <c r="E187" s="1" t="n">
        <v>46290</v>
      </c>
      <c r="F187" t="inlineStr">
        <is>
          <t>VÄSTRA GÖTALANDS LÄN</t>
        </is>
      </c>
      <c r="G187" t="inlineStr">
        <is>
          <t>BORÅS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46290</v>
      </c>
      <c r="F188" t="inlineStr">
        <is>
          <t>VÄSTRA GÖTALANDS LÄN</t>
        </is>
      </c>
      <c r="G188" t="inlineStr">
        <is>
          <t>BORÅS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45233</v>
      </c>
      <c r="E189" s="1" t="n">
        <v>46290</v>
      </c>
      <c r="F189" t="inlineStr">
        <is>
          <t>VÄSTRA GÖTALANDS LÄN</t>
        </is>
      </c>
      <c r="G189" t="inlineStr">
        <is>
          <t>BORÅS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45120</v>
      </c>
      <c r="E190" s="1" t="n">
        <v>46290</v>
      </c>
      <c r="F190" t="inlineStr">
        <is>
          <t>VÄSTRA GÖTALANDS LÄN</t>
        </is>
      </c>
      <c r="G190" t="inlineStr">
        <is>
          <t>BORÅS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45120</v>
      </c>
      <c r="E191" s="1" t="n">
        <v>46290</v>
      </c>
      <c r="F191" t="inlineStr">
        <is>
          <t>VÄSTRA GÖTALANDS LÄN</t>
        </is>
      </c>
      <c r="G191" t="inlineStr">
        <is>
          <t>BORÅS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32482-2023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45120</v>
      </c>
      <c r="E192" s="1" t="n">
        <v>46290</v>
      </c>
      <c r="F192" t="inlineStr">
        <is>
          <t>VÄSTRA GÖTALANDS LÄN</t>
        </is>
      </c>
      <c r="G192" t="inlineStr">
        <is>
          <t>BORÅS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46290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46290</v>
      </c>
      <c r="F194" t="inlineStr">
        <is>
          <t>VÄSTRA GÖTALANDS LÄN</t>
        </is>
      </c>
      <c r="G194" t="inlineStr">
        <is>
          <t>BORÅS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46290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Kyrkan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46290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46290</v>
      </c>
      <c r="F197" t="inlineStr">
        <is>
          <t>VÄSTRA GÖTALANDS LÄN</t>
        </is>
      </c>
      <c r="G197" t="inlineStr">
        <is>
          <t>BORÅS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45537</v>
      </c>
      <c r="E198" s="1" t="n">
        <v>46290</v>
      </c>
      <c r="F198" t="inlineStr">
        <is>
          <t>VÄSTRA GÖTALANDS LÄN</t>
        </is>
      </c>
      <c r="G198" t="inlineStr">
        <is>
          <t>BORÅS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45194</v>
      </c>
      <c r="E199" s="1" t="n">
        <v>46290</v>
      </c>
      <c r="F199" t="inlineStr">
        <is>
          <t>VÄSTRA GÖTALANDS LÄN</t>
        </is>
      </c>
      <c r="G199" t="inlineStr">
        <is>
          <t>BORÅS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45525</v>
      </c>
      <c r="E200" s="1" t="n">
        <v>46290</v>
      </c>
      <c r="F200" t="inlineStr">
        <is>
          <t>VÄSTRA GÖTALANDS LÄN</t>
        </is>
      </c>
      <c r="G200" t="inlineStr">
        <is>
          <t>BORÅS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56684-2022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44888</v>
      </c>
      <c r="E201" s="1" t="n">
        <v>46290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Kyrkan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45120</v>
      </c>
      <c r="E202" s="1" t="n">
        <v>46290</v>
      </c>
      <c r="F202" t="inlineStr">
        <is>
          <t>VÄSTRA GÖTALANDS LÄN</t>
        </is>
      </c>
      <c r="G202" t="inlineStr">
        <is>
          <t>BORÅS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45120</v>
      </c>
      <c r="E203" s="1" t="n">
        <v>46290</v>
      </c>
      <c r="F203" t="inlineStr">
        <is>
          <t>VÄSTRA GÖTALANDS LÄN</t>
        </is>
      </c>
      <c r="G203" t="inlineStr">
        <is>
          <t>BORÅS</t>
        </is>
      </c>
      <c r="I203" t="n">
        <v>8.800000000000001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44958</v>
      </c>
      <c r="E204" s="1" t="n">
        <v>46290</v>
      </c>
      <c r="F204" t="inlineStr">
        <is>
          <t>VÄSTRA GÖTALANDS LÄN</t>
        </is>
      </c>
      <c r="G204" t="inlineStr">
        <is>
          <t>BORÅS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46290</v>
      </c>
      <c r="F205" t="inlineStr">
        <is>
          <t>VÄSTRA GÖTALANDS LÄN</t>
        </is>
      </c>
      <c r="G205" t="inlineStr">
        <is>
          <t>BORÅS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45350</v>
      </c>
      <c r="E206" s="1" t="n">
        <v>46290</v>
      </c>
      <c r="F206" t="inlineStr">
        <is>
          <t>VÄSTRA GÖTALANDS LÄN</t>
        </is>
      </c>
      <c r="G206" t="inlineStr">
        <is>
          <t>BORÅS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46290</v>
      </c>
      <c r="F207" t="inlineStr">
        <is>
          <t>VÄSTRA GÖTALANDS LÄN</t>
        </is>
      </c>
      <c r="G207" t="inlineStr">
        <is>
          <t>BORÅS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46290</v>
      </c>
      <c r="F208" t="inlineStr">
        <is>
          <t>VÄSTRA GÖTALANDS LÄN</t>
        </is>
      </c>
      <c r="G208" t="inlineStr">
        <is>
          <t>BORÅS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46290</v>
      </c>
      <c r="F209" t="inlineStr">
        <is>
          <t>VÄSTRA GÖTALANDS LÄN</t>
        </is>
      </c>
      <c r="G209" t="inlineStr">
        <is>
          <t>BORÅS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44844</v>
      </c>
      <c r="E210" s="1" t="n">
        <v>46290</v>
      </c>
      <c r="F210" t="inlineStr">
        <is>
          <t>VÄSTRA GÖTALANDS LÄN</t>
        </is>
      </c>
      <c r="G210" t="inlineStr">
        <is>
          <t>BORÅS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46290</v>
      </c>
      <c r="F211" t="inlineStr">
        <is>
          <t>VÄSTRA GÖTALANDS LÄN</t>
        </is>
      </c>
      <c r="G211" t="inlineStr">
        <is>
          <t>BORÅS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45612</v>
      </c>
      <c r="E212" s="1" t="n">
        <v>46290</v>
      </c>
      <c r="F212" t="inlineStr">
        <is>
          <t>VÄSTRA GÖTALANDS LÄN</t>
        </is>
      </c>
      <c r="G212" t="inlineStr">
        <is>
          <t>BORÅS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46290</v>
      </c>
      <c r="F213" t="inlineStr">
        <is>
          <t>VÄSTRA GÖTALANDS LÄN</t>
        </is>
      </c>
      <c r="G213" t="inlineStr">
        <is>
          <t>BORÅS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46290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46290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37413-2025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45877</v>
      </c>
      <c r="E216" s="1" t="n">
        <v>46290</v>
      </c>
      <c r="F216" t="inlineStr">
        <is>
          <t>VÄSTRA GÖTALANDS LÄN</t>
        </is>
      </c>
      <c r="G216" t="inlineStr">
        <is>
          <t>BORÅS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46290</v>
      </c>
      <c r="F217" t="inlineStr">
        <is>
          <t>VÄSTRA GÖTALANDS LÄN</t>
        </is>
      </c>
      <c r="G217" t="inlineStr">
        <is>
          <t>BORÅS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46290</v>
      </c>
      <c r="F218" t="inlineStr">
        <is>
          <t>VÄSTRA GÖTALANDS LÄN</t>
        </is>
      </c>
      <c r="G218" t="inlineStr">
        <is>
          <t>BORÅS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46290</v>
      </c>
      <c r="F219" t="inlineStr">
        <is>
          <t>VÄSTRA GÖTALANDS LÄN</t>
        </is>
      </c>
      <c r="G219" t="inlineStr">
        <is>
          <t>BORÅS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46290</v>
      </c>
      <c r="F220" t="inlineStr">
        <is>
          <t>VÄSTRA GÖTALANDS LÄN</t>
        </is>
      </c>
      <c r="G220" t="inlineStr">
        <is>
          <t>BORÅS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46290</v>
      </c>
      <c r="F221" t="inlineStr">
        <is>
          <t>VÄSTRA GÖTALANDS LÄN</t>
        </is>
      </c>
      <c r="G221" t="inlineStr">
        <is>
          <t>BORÅS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46290</v>
      </c>
      <c r="F222" t="inlineStr">
        <is>
          <t>VÄSTRA GÖTALANDS LÄN</t>
        </is>
      </c>
      <c r="G222" t="inlineStr">
        <is>
          <t>BORÅS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70988-2021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44538</v>
      </c>
      <c r="E223" s="1" t="n">
        <v>46290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Kommuner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46290</v>
      </c>
      <c r="F224" t="inlineStr">
        <is>
          <t>VÄSTRA GÖTALANDS LÄN</t>
        </is>
      </c>
      <c r="G224" t="inlineStr">
        <is>
          <t>BORÅS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46290</v>
      </c>
      <c r="F225" t="inlineStr">
        <is>
          <t>VÄSTRA GÖTALANDS LÄN</t>
        </is>
      </c>
      <c r="G225" t="inlineStr">
        <is>
          <t>BORÅS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45863</v>
      </c>
      <c r="E226" s="1" t="n">
        <v>46290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46290</v>
      </c>
      <c r="F227" t="inlineStr">
        <is>
          <t>VÄSTRA GÖTALANDS LÄN</t>
        </is>
      </c>
      <c r="G227" t="inlineStr">
        <is>
          <t>BORÅS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46290</v>
      </c>
      <c r="F228" t="inlineStr">
        <is>
          <t>VÄSTRA GÖTALANDS LÄN</t>
        </is>
      </c>
      <c r="G228" t="inlineStr">
        <is>
          <t>BORÅS</t>
        </is>
      </c>
      <c r="I228" t="n">
        <v>19.4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45870</v>
      </c>
      <c r="E229" s="1" t="n">
        <v>46290</v>
      </c>
      <c r="F229" t="inlineStr">
        <is>
          <t>VÄSTRA GÖTALANDS LÄN</t>
        </is>
      </c>
      <c r="G229" t="inlineStr">
        <is>
          <t>BORÅS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46290</v>
      </c>
      <c r="F230" t="inlineStr">
        <is>
          <t>VÄSTRA GÖTALANDS LÄN</t>
        </is>
      </c>
      <c r="G230" t="inlineStr">
        <is>
          <t>BORÅS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46290</v>
      </c>
      <c r="F231" t="inlineStr">
        <is>
          <t>VÄSTRA GÖTALANDS LÄN</t>
        </is>
      </c>
      <c r="G231" t="inlineStr">
        <is>
          <t>BORÅS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45855</v>
      </c>
      <c r="E232" s="1" t="n">
        <v>46290</v>
      </c>
      <c r="F232" t="inlineStr">
        <is>
          <t>VÄSTRA GÖTALANDS LÄN</t>
        </is>
      </c>
      <c r="G232" t="inlineStr">
        <is>
          <t>BORÅS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46290</v>
      </c>
      <c r="F233" t="inlineStr">
        <is>
          <t>VÄSTRA GÖTALANDS LÄN</t>
        </is>
      </c>
      <c r="G233" t="inlineStr">
        <is>
          <t>BORÅS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45611</v>
      </c>
      <c r="E234" s="1" t="n">
        <v>46290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46290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45184</v>
      </c>
      <c r="E236" s="1" t="n">
        <v>46290</v>
      </c>
      <c r="F236" t="inlineStr">
        <is>
          <t>VÄSTRA GÖTALANDS LÄN</t>
        </is>
      </c>
      <c r="G236" t="inlineStr">
        <is>
          <t>BORÅS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31940-2024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45510</v>
      </c>
      <c r="E237" s="1" t="n">
        <v>46290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44987</v>
      </c>
      <c r="E238" s="1" t="n">
        <v>46290</v>
      </c>
      <c r="F238" t="inlineStr">
        <is>
          <t>VÄSTRA GÖTALANDS LÄN</t>
        </is>
      </c>
      <c r="G238" t="inlineStr">
        <is>
          <t>BORÅS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21739-2026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46147</v>
      </c>
      <c r="E239" s="1" t="n">
        <v>46290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72806-2021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46290</v>
      </c>
      <c r="F240" t="inlineStr">
        <is>
          <t>VÄSTRA GÖTALANDS LÄN</t>
        </is>
      </c>
      <c r="G240" t="inlineStr">
        <is>
          <t>BORÅS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46290</v>
      </c>
      <c r="F241" t="inlineStr">
        <is>
          <t>VÄSTRA GÖTALANDS LÄN</t>
        </is>
      </c>
      <c r="G241" t="inlineStr">
        <is>
          <t>BORÅS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46290</v>
      </c>
      <c r="F242" t="inlineStr">
        <is>
          <t>VÄSTRA GÖTALANDS LÄN</t>
        </is>
      </c>
      <c r="G242" t="inlineStr">
        <is>
          <t>BORÅS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11362-2022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44630</v>
      </c>
      <c r="E243" s="1" t="n">
        <v>46290</v>
      </c>
      <c r="F243" t="inlineStr">
        <is>
          <t>VÄSTRA GÖTALANDS LÄN</t>
        </is>
      </c>
      <c r="G243" t="inlineStr">
        <is>
          <t>BORÅS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46290</v>
      </c>
      <c r="F244" t="inlineStr">
        <is>
          <t>VÄSTRA GÖTALANDS LÄN</t>
        </is>
      </c>
      <c r="G244" t="inlineStr">
        <is>
          <t>BORÅS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44644</v>
      </c>
      <c r="E245" s="1" t="n">
        <v>46290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46290</v>
      </c>
      <c r="F246" t="inlineStr">
        <is>
          <t>VÄSTRA GÖTALANDS LÄN</t>
        </is>
      </c>
      <c r="G246" t="inlineStr">
        <is>
          <t>BORÅS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46290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Kommuner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46290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46290</v>
      </c>
      <c r="F249" t="inlineStr">
        <is>
          <t>VÄSTRA GÖTALANDS LÄN</t>
        </is>
      </c>
      <c r="G249" t="inlineStr">
        <is>
          <t>BORÅS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44656</v>
      </c>
      <c r="E250" s="1" t="n">
        <v>46290</v>
      </c>
      <c r="F250" t="inlineStr">
        <is>
          <t>VÄSTRA GÖTALANDS LÄN</t>
        </is>
      </c>
      <c r="G250" t="inlineStr">
        <is>
          <t>BORÅS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46290</v>
      </c>
      <c r="F251" t="inlineStr">
        <is>
          <t>VÄSTRA GÖTALANDS LÄN</t>
        </is>
      </c>
      <c r="G251" t="inlineStr">
        <is>
          <t>BORÅS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46290</v>
      </c>
      <c r="F252" t="inlineStr">
        <is>
          <t>VÄSTRA GÖTALANDS LÄN</t>
        </is>
      </c>
      <c r="G252" t="inlineStr">
        <is>
          <t>BORÅS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46290</v>
      </c>
      <c r="F253" t="inlineStr">
        <is>
          <t>VÄSTRA GÖTALANDS LÄN</t>
        </is>
      </c>
      <c r="G253" t="inlineStr">
        <is>
          <t>BORÅS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46290</v>
      </c>
      <c r="F254" t="inlineStr">
        <is>
          <t>VÄSTRA GÖTALANDS LÄN</t>
        </is>
      </c>
      <c r="G254" t="inlineStr">
        <is>
          <t>BORÅS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46290</v>
      </c>
      <c r="F255" t="inlineStr">
        <is>
          <t>VÄSTRA GÖTALANDS LÄN</t>
        </is>
      </c>
      <c r="G255" t="inlineStr">
        <is>
          <t>BORÅS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45096</v>
      </c>
      <c r="E256" s="1" t="n">
        <v>46290</v>
      </c>
      <c r="F256" t="inlineStr">
        <is>
          <t>VÄSTRA GÖTALANDS LÄN</t>
        </is>
      </c>
      <c r="G256" t="inlineStr">
        <is>
          <t>BORÅS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46290</v>
      </c>
      <c r="F257" t="inlineStr">
        <is>
          <t>VÄSTRA GÖTALANDS LÄN</t>
        </is>
      </c>
      <c r="G257" t="inlineStr">
        <is>
          <t>BORÅS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24183-2024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45456</v>
      </c>
      <c r="E258" s="1" t="n">
        <v>46290</v>
      </c>
      <c r="F258" t="inlineStr">
        <is>
          <t>VÄSTRA GÖTALANDS LÄN</t>
        </is>
      </c>
      <c r="G258" t="inlineStr">
        <is>
          <t>BORÅS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60923-2022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44914</v>
      </c>
      <c r="E259" s="1" t="n">
        <v>46290</v>
      </c>
      <c r="F259" t="inlineStr">
        <is>
          <t>VÄSTRA GÖTALANDS LÄN</t>
        </is>
      </c>
      <c r="G259" t="inlineStr">
        <is>
          <t>BORÅS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46290</v>
      </c>
      <c r="F260" t="inlineStr">
        <is>
          <t>VÄSTRA GÖTALANDS LÄN</t>
        </is>
      </c>
      <c r="G260" t="inlineStr">
        <is>
          <t>BORÅS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44571</v>
      </c>
      <c r="E261" s="1" t="n">
        <v>46290</v>
      </c>
      <c r="F261" t="inlineStr">
        <is>
          <t>VÄSTRA GÖTALANDS LÄN</t>
        </is>
      </c>
      <c r="G261" t="inlineStr">
        <is>
          <t>BORÅS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46290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46290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45688</v>
      </c>
      <c r="E264" s="1" t="n">
        <v>46290</v>
      </c>
      <c r="F264" t="inlineStr">
        <is>
          <t>VÄSTRA GÖTALANDS LÄN</t>
        </is>
      </c>
      <c r="G264" t="inlineStr">
        <is>
          <t>BORÅS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49948-2023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46290</v>
      </c>
      <c r="F265" t="inlineStr">
        <is>
          <t>VÄSTRA GÖTALANDS LÄN</t>
        </is>
      </c>
      <c r="G265" t="inlineStr">
        <is>
          <t>BORÅS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46290</v>
      </c>
      <c r="F266" t="inlineStr">
        <is>
          <t>VÄSTRA GÖTALANDS LÄN</t>
        </is>
      </c>
      <c r="G266" t="inlineStr">
        <is>
          <t>BORÅS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46290</v>
      </c>
      <c r="F267" t="inlineStr">
        <is>
          <t>VÄSTRA GÖTALANDS LÄN</t>
        </is>
      </c>
      <c r="G267" t="inlineStr">
        <is>
          <t>BORÅS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46290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46290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46290</v>
      </c>
      <c r="F270" t="inlineStr">
        <is>
          <t>VÄSTRA GÖTALANDS LÄN</t>
        </is>
      </c>
      <c r="G270" t="inlineStr">
        <is>
          <t>BORÅS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45805</v>
      </c>
      <c r="E271" s="1" t="n">
        <v>46290</v>
      </c>
      <c r="F271" t="inlineStr">
        <is>
          <t>VÄSTRA GÖTALANDS LÄN</t>
        </is>
      </c>
      <c r="G271" t="inlineStr">
        <is>
          <t>BORÅS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46290</v>
      </c>
      <c r="F272" t="inlineStr">
        <is>
          <t>VÄSTRA GÖTALANDS LÄN</t>
        </is>
      </c>
      <c r="G272" t="inlineStr">
        <is>
          <t>BORÅS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46290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46290</v>
      </c>
      <c r="F274" t="inlineStr">
        <is>
          <t>VÄSTRA GÖTALANDS LÄN</t>
        </is>
      </c>
      <c r="G274" t="inlineStr">
        <is>
          <t>BORÅS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46290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46290</v>
      </c>
      <c r="F276" t="inlineStr">
        <is>
          <t>VÄSTRA GÖTALANDS LÄN</t>
        </is>
      </c>
      <c r="G276" t="inlineStr">
        <is>
          <t>BORÅS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46290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Kommuner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46290</v>
      </c>
      <c r="F278" t="inlineStr">
        <is>
          <t>VÄSTRA GÖTALANDS LÄN</t>
        </is>
      </c>
      <c r="G278" t="inlineStr">
        <is>
          <t>BORÅS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48358-2023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45205</v>
      </c>
      <c r="E279" s="1" t="n">
        <v>46290</v>
      </c>
      <c r="F279" t="inlineStr">
        <is>
          <t>VÄSTRA GÖTALANDS LÄN</t>
        </is>
      </c>
      <c r="G279" t="inlineStr">
        <is>
          <t>BORÅS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46290</v>
      </c>
      <c r="F280" t="inlineStr">
        <is>
          <t>VÄSTRA GÖTALANDS LÄN</t>
        </is>
      </c>
      <c r="G280" t="inlineStr">
        <is>
          <t>BORÅS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45947</v>
      </c>
      <c r="E281" s="1" t="n">
        <v>46290</v>
      </c>
      <c r="F281" t="inlineStr">
        <is>
          <t>VÄSTRA GÖTALANDS LÄN</t>
        </is>
      </c>
      <c r="G281" t="inlineStr">
        <is>
          <t>BORÅS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46290</v>
      </c>
      <c r="F282" t="inlineStr">
        <is>
          <t>VÄSTRA GÖTALANDS LÄN</t>
        </is>
      </c>
      <c r="G282" t="inlineStr">
        <is>
          <t>BORÅS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45842</v>
      </c>
      <c r="E283" s="1" t="n">
        <v>46290</v>
      </c>
      <c r="F283" t="inlineStr">
        <is>
          <t>VÄSTRA GÖTALANDS LÄN</t>
        </is>
      </c>
      <c r="G283" t="inlineStr">
        <is>
          <t>BORÅS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45968</v>
      </c>
      <c r="E284" s="1" t="n">
        <v>46290</v>
      </c>
      <c r="F284" t="inlineStr">
        <is>
          <t>VÄSTRA GÖTALANDS LÄN</t>
        </is>
      </c>
      <c r="G284" t="inlineStr">
        <is>
          <t>BORÅS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35480-2025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46290</v>
      </c>
      <c r="F285" t="inlineStr">
        <is>
          <t>VÄSTRA GÖTALANDS LÄN</t>
        </is>
      </c>
      <c r="G285" t="inlineStr">
        <is>
          <t>BORÅS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46290</v>
      </c>
      <c r="F286" t="inlineStr">
        <is>
          <t>VÄSTRA GÖTALANDS LÄN</t>
        </is>
      </c>
      <c r="G286" t="inlineStr">
        <is>
          <t>BORÅS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46290</v>
      </c>
      <c r="F287" t="inlineStr">
        <is>
          <t>VÄSTRA GÖTALANDS LÄN</t>
        </is>
      </c>
      <c r="G287" t="inlineStr">
        <is>
          <t>BORÅS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46290</v>
      </c>
      <c r="F288" t="inlineStr">
        <is>
          <t>VÄSTRA GÖTALANDS LÄN</t>
        </is>
      </c>
      <c r="G288" t="inlineStr">
        <is>
          <t>BORÅS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52367-2025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46290</v>
      </c>
      <c r="F289" t="inlineStr">
        <is>
          <t>VÄSTRA GÖTALANDS LÄN</t>
        </is>
      </c>
      <c r="G289" t="inlineStr">
        <is>
          <t>BORÅS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46290</v>
      </c>
      <c r="F290" t="inlineStr">
        <is>
          <t>VÄSTRA GÖTALANDS LÄN</t>
        </is>
      </c>
      <c r="G290" t="inlineStr">
        <is>
          <t>BORÅS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45308</v>
      </c>
      <c r="E291" s="1" t="n">
        <v>46290</v>
      </c>
      <c r="F291" t="inlineStr">
        <is>
          <t>VÄSTRA GÖTALANDS LÄN</t>
        </is>
      </c>
      <c r="G291" t="inlineStr">
        <is>
          <t>BORÅS</t>
        </is>
      </c>
      <c r="H291" t="inlineStr">
        <is>
          <t>Kommuner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46290</v>
      </c>
      <c r="F292" t="inlineStr">
        <is>
          <t>VÄSTRA GÖTALANDS LÄN</t>
        </is>
      </c>
      <c r="G292" t="inlineStr">
        <is>
          <t>BORÅS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20653-2026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46141</v>
      </c>
      <c r="E293" s="1" t="n">
        <v>46290</v>
      </c>
      <c r="F293" t="inlineStr">
        <is>
          <t>VÄSTRA GÖTALANDS LÄN</t>
        </is>
      </c>
      <c r="G293" t="inlineStr">
        <is>
          <t>BORÅS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46290</v>
      </c>
      <c r="F294" t="inlineStr">
        <is>
          <t>VÄSTRA GÖTALANDS LÄN</t>
        </is>
      </c>
      <c r="G294" t="inlineStr">
        <is>
          <t>BORÅS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46290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46290</v>
      </c>
      <c r="F296" t="inlineStr">
        <is>
          <t>VÄSTRA GÖTALANDS LÄN</t>
        </is>
      </c>
      <c r="G296" t="inlineStr">
        <is>
          <t>BORÅS</t>
        </is>
      </c>
      <c r="H296" t="inlineStr">
        <is>
          <t>Kommuner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45961</v>
      </c>
      <c r="E297" s="1" t="n">
        <v>46290</v>
      </c>
      <c r="F297" t="inlineStr">
        <is>
          <t>VÄSTRA GÖTALANDS LÄN</t>
        </is>
      </c>
      <c r="G297" t="inlineStr">
        <is>
          <t>BORÅS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46290</v>
      </c>
      <c r="F298" t="inlineStr">
        <is>
          <t>VÄSTRA GÖTALANDS LÄN</t>
        </is>
      </c>
      <c r="G298" t="inlineStr">
        <is>
          <t>BORÅS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53942-2025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45961</v>
      </c>
      <c r="E299" s="1" t="n">
        <v>46290</v>
      </c>
      <c r="F299" t="inlineStr">
        <is>
          <t>VÄSTRA GÖTALANDS LÄN</t>
        </is>
      </c>
      <c r="G299" t="inlineStr">
        <is>
          <t>BORÅS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46290</v>
      </c>
      <c r="F300" t="inlineStr">
        <is>
          <t>VÄSTRA GÖTALANDS LÄN</t>
        </is>
      </c>
      <c r="G300" t="inlineStr">
        <is>
          <t>BORÅS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46290</v>
      </c>
      <c r="F301" t="inlineStr">
        <is>
          <t>VÄSTRA GÖTALANDS LÄN</t>
        </is>
      </c>
      <c r="G301" t="inlineStr">
        <is>
          <t>BORÅS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19862-2023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45053</v>
      </c>
      <c r="E302" s="1" t="n">
        <v>46290</v>
      </c>
      <c r="F302" t="inlineStr">
        <is>
          <t>VÄSTRA GÖTALANDS LÄN</t>
        </is>
      </c>
      <c r="G302" t="inlineStr">
        <is>
          <t>BORÅS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48886-2022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46290</v>
      </c>
      <c r="F303" t="inlineStr">
        <is>
          <t>VÄSTRA GÖTALANDS LÄN</t>
        </is>
      </c>
      <c r="G303" t="inlineStr">
        <is>
          <t>BORÅS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46574-2022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44848</v>
      </c>
      <c r="E304" s="1" t="n">
        <v>46290</v>
      </c>
      <c r="F304" t="inlineStr">
        <is>
          <t>VÄSTRA GÖTALANDS LÄN</t>
        </is>
      </c>
      <c r="G304" t="inlineStr">
        <is>
          <t>BORÅS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46290</v>
      </c>
      <c r="F305" t="inlineStr">
        <is>
          <t>VÄSTRA GÖTALANDS LÄN</t>
        </is>
      </c>
      <c r="G305" t="inlineStr">
        <is>
          <t>BORÅS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56376-2025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45974</v>
      </c>
      <c r="E306" s="1" t="n">
        <v>46290</v>
      </c>
      <c r="F306" t="inlineStr">
        <is>
          <t>VÄSTRA GÖTALANDS LÄN</t>
        </is>
      </c>
      <c r="G306" t="inlineStr">
        <is>
          <t>BORÅS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44592</v>
      </c>
      <c r="E307" s="1" t="n">
        <v>46290</v>
      </c>
      <c r="F307" t="inlineStr">
        <is>
          <t>VÄSTRA GÖTALANDS LÄN</t>
        </is>
      </c>
      <c r="G307" t="inlineStr">
        <is>
          <t>BORÅS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45315</v>
      </c>
      <c r="E308" s="1" t="n">
        <v>46290</v>
      </c>
      <c r="F308" t="inlineStr">
        <is>
          <t>VÄSTRA GÖTALANDS LÄN</t>
        </is>
      </c>
      <c r="G308" t="inlineStr">
        <is>
          <t>BORÅS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57365-2022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46290</v>
      </c>
      <c r="F309" t="inlineStr">
        <is>
          <t>VÄSTRA GÖTALANDS LÄN</t>
        </is>
      </c>
      <c r="G309" t="inlineStr">
        <is>
          <t>BORÅS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45870</v>
      </c>
      <c r="E310" s="1" t="n">
        <v>46290</v>
      </c>
      <c r="F310" t="inlineStr">
        <is>
          <t>VÄSTRA GÖTALANDS LÄN</t>
        </is>
      </c>
      <c r="G310" t="inlineStr">
        <is>
          <t>BORÅS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46290</v>
      </c>
      <c r="F311" t="inlineStr">
        <is>
          <t>VÄSTRA GÖTALANDS LÄN</t>
        </is>
      </c>
      <c r="G311" t="inlineStr">
        <is>
          <t>BORÅS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45982</v>
      </c>
      <c r="E312" s="1" t="n">
        <v>46290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46290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46290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45085</v>
      </c>
      <c r="E315" s="1" t="n">
        <v>46290</v>
      </c>
      <c r="F315" t="inlineStr">
        <is>
          <t>VÄSTRA GÖTALANDS LÄN</t>
        </is>
      </c>
      <c r="G315" t="inlineStr">
        <is>
          <t>BORÅS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45982</v>
      </c>
      <c r="E316" s="1" t="n">
        <v>46290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  <c r="X316">
        <f>HYPERLINK("https://klasma.github.io/Logging_1490/kartor/A 58304-2025 karta.png", "A 58304-2025")</f>
        <v/>
      </c>
      <c r="Y316">
        <f>HYPERLINK("https://klasma.github.io/Logging_1490/kartor_geotiff/A 58304-2025 georefererad karta.tif", "A 58304-2025")</f>
        <v/>
      </c>
      <c r="AA316">
        <f>HYPERLINK("https://klasma.github.io/Logging_1490/klagomål/A 58304-2025 FSC-klagomål.docx", "A 58304-2025")</f>
        <v/>
      </c>
      <c r="AB316">
        <f>HYPERLINK("https://klasma.github.io/Logging_1490/klagomålsmail/A 58304-2025 FSC-klagomål mail.docx", "A 58304-2025")</f>
        <v/>
      </c>
      <c r="AC316">
        <f>HYPERLINK("https://klasma.github.io/Logging_1490/tillsyn/A 58304-2025 tillsynsbegäran.docx", "A 58304-2025")</f>
        <v/>
      </c>
      <c r="AD316">
        <f>HYPERLINK("https://klasma.github.io/Logging_1490/tillsynsmail/A 58304-2025 tillsynsbegäran mail.docx", "A 58304-2025")</f>
        <v/>
      </c>
    </row>
    <row r="317" ht="15" customHeight="1">
      <c r="A317" t="inlineStr">
        <is>
          <t>A 27334-2024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45472</v>
      </c>
      <c r="E317" s="1" t="n">
        <v>46290</v>
      </c>
      <c r="F317" t="inlineStr">
        <is>
          <t>VÄSTRA GÖTALANDS LÄN</t>
        </is>
      </c>
      <c r="G317" t="inlineStr">
        <is>
          <t>BORÅS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45412</v>
      </c>
      <c r="E318" s="1" t="n">
        <v>46290</v>
      </c>
      <c r="F318" t="inlineStr">
        <is>
          <t>VÄSTRA GÖTALANDS LÄN</t>
        </is>
      </c>
      <c r="G318" t="inlineStr">
        <is>
          <t>BORÅS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45357</v>
      </c>
      <c r="E319" s="1" t="n">
        <v>46290</v>
      </c>
      <c r="F319" t="inlineStr">
        <is>
          <t>VÄSTRA GÖTALANDS LÄN</t>
        </is>
      </c>
      <c r="G319" t="inlineStr">
        <is>
          <t>BORÅS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46290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Kyrkan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20279-2026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46136</v>
      </c>
      <c r="E321" s="1" t="n">
        <v>46290</v>
      </c>
      <c r="F321" t="inlineStr">
        <is>
          <t>VÄSTRA GÖTALANDS LÄN</t>
        </is>
      </c>
      <c r="G321" t="inlineStr">
        <is>
          <t>BORÅS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46290</v>
      </c>
      <c r="F322" t="inlineStr">
        <is>
          <t>VÄSTRA GÖTALANDS LÄN</t>
        </is>
      </c>
      <c r="G322" t="inlineStr">
        <is>
          <t>BORÅS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45935</v>
      </c>
      <c r="E323" s="1" t="n">
        <v>46290</v>
      </c>
      <c r="F323" t="inlineStr">
        <is>
          <t>VÄSTRA GÖTALANDS LÄN</t>
        </is>
      </c>
      <c r="G323" t="inlineStr">
        <is>
          <t>BORÅS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46290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46290</v>
      </c>
      <c r="F325" t="inlineStr">
        <is>
          <t>VÄSTRA GÖTALANDS LÄN</t>
        </is>
      </c>
      <c r="G325" t="inlineStr">
        <is>
          <t>BORÅS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46290</v>
      </c>
      <c r="F326" t="inlineStr">
        <is>
          <t>VÄSTRA GÖTALANDS LÄN</t>
        </is>
      </c>
      <c r="G326" t="inlineStr">
        <is>
          <t>BORÅS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46290</v>
      </c>
      <c r="F327" t="inlineStr">
        <is>
          <t>VÄSTRA GÖTALANDS LÄN</t>
        </is>
      </c>
      <c r="G327" t="inlineStr">
        <is>
          <t>BORÅS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46290</v>
      </c>
      <c r="F328" t="inlineStr">
        <is>
          <t>VÄSTRA GÖTALANDS LÄN</t>
        </is>
      </c>
      <c r="G328" t="inlineStr">
        <is>
          <t>BORÅS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46290</v>
      </c>
      <c r="F329" t="inlineStr">
        <is>
          <t>VÄSTRA GÖTALANDS LÄN</t>
        </is>
      </c>
      <c r="G329" t="inlineStr">
        <is>
          <t>BORÅS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46290</v>
      </c>
      <c r="F330" t="inlineStr">
        <is>
          <t>VÄSTRA GÖTALANDS LÄN</t>
        </is>
      </c>
      <c r="G330" t="inlineStr">
        <is>
          <t>BORÅS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46290</v>
      </c>
      <c r="F331" t="inlineStr">
        <is>
          <t>VÄSTRA GÖTALANDS LÄN</t>
        </is>
      </c>
      <c r="G331" t="inlineStr">
        <is>
          <t>BORÅS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46290</v>
      </c>
      <c r="F332" t="inlineStr">
        <is>
          <t>VÄSTRA GÖTALANDS LÄN</t>
        </is>
      </c>
      <c r="G332" t="inlineStr">
        <is>
          <t>BORÅS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46290</v>
      </c>
      <c r="F333" t="inlineStr">
        <is>
          <t>VÄSTRA GÖTALANDS LÄN</t>
        </is>
      </c>
      <c r="G333" t="inlineStr">
        <is>
          <t>BORÅS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16949-2026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46290</v>
      </c>
      <c r="F334" t="inlineStr">
        <is>
          <t>VÄSTRA GÖTALANDS LÄN</t>
        </is>
      </c>
      <c r="G334" t="inlineStr">
        <is>
          <t>BORÅS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46290</v>
      </c>
      <c r="F335" t="inlineStr">
        <is>
          <t>VÄSTRA GÖTALANDS LÄN</t>
        </is>
      </c>
      <c r="G335" t="inlineStr">
        <is>
          <t>BORÅS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46290</v>
      </c>
      <c r="F336" t="inlineStr">
        <is>
          <t>VÄSTRA GÖTALANDS LÄN</t>
        </is>
      </c>
      <c r="G336" t="inlineStr">
        <is>
          <t>BORÅS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28581-2023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46290</v>
      </c>
      <c r="F337" t="inlineStr">
        <is>
          <t>VÄSTRA GÖTALANDS LÄN</t>
        </is>
      </c>
      <c r="G337" t="inlineStr">
        <is>
          <t>BORÅS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46290</v>
      </c>
      <c r="F338" t="inlineStr">
        <is>
          <t>VÄSTRA GÖTALANDS LÄN</t>
        </is>
      </c>
      <c r="G338" t="inlineStr">
        <is>
          <t>BORÅS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46290</v>
      </c>
      <c r="F339" t="inlineStr">
        <is>
          <t>VÄSTRA GÖTALANDS LÄN</t>
        </is>
      </c>
      <c r="G339" t="inlineStr">
        <is>
          <t>BORÅS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52410-2023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45224</v>
      </c>
      <c r="E340" s="1" t="n">
        <v>46290</v>
      </c>
      <c r="F340" t="inlineStr">
        <is>
          <t>VÄSTRA GÖTALANDS LÄN</t>
        </is>
      </c>
      <c r="G340" t="inlineStr">
        <is>
          <t>BORÅS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45762</v>
      </c>
      <c r="E341" s="1" t="n">
        <v>46290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Kommuner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46290</v>
      </c>
      <c r="F342" t="inlineStr">
        <is>
          <t>VÄSTRA GÖTALANDS LÄN</t>
        </is>
      </c>
      <c r="G342" t="inlineStr">
        <is>
          <t>BORÅS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62692-2025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46008</v>
      </c>
      <c r="E343" s="1" t="n">
        <v>46290</v>
      </c>
      <c r="F343" t="inlineStr">
        <is>
          <t>VÄSTRA GÖTALANDS LÄN</t>
        </is>
      </c>
      <c r="G343" t="inlineStr">
        <is>
          <t>BORÅS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46290</v>
      </c>
      <c r="F344" t="inlineStr">
        <is>
          <t>VÄSTRA GÖTALANDS LÄN</t>
        </is>
      </c>
      <c r="G344" t="inlineStr">
        <is>
          <t>BORÅS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45629</v>
      </c>
      <c r="E345" s="1" t="n">
        <v>46290</v>
      </c>
      <c r="F345" t="inlineStr">
        <is>
          <t>VÄSTRA GÖTALANDS LÄN</t>
        </is>
      </c>
      <c r="G345" t="inlineStr">
        <is>
          <t>BORÅS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46290</v>
      </c>
      <c r="F346" t="inlineStr">
        <is>
          <t>VÄSTRA GÖTALANDS LÄN</t>
        </is>
      </c>
      <c r="G346" t="inlineStr">
        <is>
          <t>BORÅS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62850-2025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46290</v>
      </c>
      <c r="F347" t="inlineStr">
        <is>
          <t>VÄSTRA GÖTALANDS LÄN</t>
        </is>
      </c>
      <c r="G347" t="inlineStr">
        <is>
          <t>BORÅS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32234-2023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46290</v>
      </c>
      <c r="F348" t="inlineStr">
        <is>
          <t>VÄSTRA GÖTALANDS LÄN</t>
        </is>
      </c>
      <c r="G348" t="inlineStr">
        <is>
          <t>BORÅS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45176</v>
      </c>
      <c r="E349" s="1" t="n">
        <v>46290</v>
      </c>
      <c r="F349" t="inlineStr">
        <is>
          <t>VÄSTRA GÖTALANDS LÄN</t>
        </is>
      </c>
      <c r="G349" t="inlineStr">
        <is>
          <t>BORÅS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51160-2024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46290</v>
      </c>
      <c r="F350" t="inlineStr">
        <is>
          <t>VÄSTRA GÖTALANDS LÄN</t>
        </is>
      </c>
      <c r="G350" t="inlineStr">
        <is>
          <t>BORÅS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46290</v>
      </c>
      <c r="F351" t="inlineStr">
        <is>
          <t>VÄSTRA GÖTALANDS LÄN</t>
        </is>
      </c>
      <c r="G351" t="inlineStr">
        <is>
          <t>BORÅS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45688</v>
      </c>
      <c r="E352" s="1" t="n">
        <v>46290</v>
      </c>
      <c r="F352" t="inlineStr">
        <is>
          <t>VÄSTRA GÖTALANDS LÄN</t>
        </is>
      </c>
      <c r="G352" t="inlineStr">
        <is>
          <t>BORÅS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4757-2025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45688</v>
      </c>
      <c r="E353" s="1" t="n">
        <v>46290</v>
      </c>
      <c r="F353" t="inlineStr">
        <is>
          <t>VÄSTRA GÖTALANDS LÄN</t>
        </is>
      </c>
      <c r="G353" t="inlineStr">
        <is>
          <t>BORÅS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46290</v>
      </c>
      <c r="F354" t="inlineStr">
        <is>
          <t>VÄSTRA GÖTALANDS LÄN</t>
        </is>
      </c>
      <c r="G354" t="inlineStr">
        <is>
          <t>BORÅS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45701</v>
      </c>
      <c r="E355" s="1" t="n">
        <v>46290</v>
      </c>
      <c r="F355" t="inlineStr">
        <is>
          <t>VÄSTRA GÖTALANDS LÄN</t>
        </is>
      </c>
      <c r="G355" t="inlineStr">
        <is>
          <t>BORÅS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45699</v>
      </c>
      <c r="E356" s="1" t="n">
        <v>46290</v>
      </c>
      <c r="F356" t="inlineStr">
        <is>
          <t>VÄSTRA GÖTALANDS LÄN</t>
        </is>
      </c>
      <c r="G356" t="inlineStr">
        <is>
          <t>BORÅS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53930-2024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45615</v>
      </c>
      <c r="E357" s="1" t="n">
        <v>46290</v>
      </c>
      <c r="F357" t="inlineStr">
        <is>
          <t>VÄSTRA GÖTALANDS LÄN</t>
        </is>
      </c>
      <c r="G357" t="inlineStr">
        <is>
          <t>BORÅS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2008-2024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45308</v>
      </c>
      <c r="E358" s="1" t="n">
        <v>46290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44958</v>
      </c>
      <c r="E359" s="1" t="n">
        <v>46290</v>
      </c>
      <c r="F359" t="inlineStr">
        <is>
          <t>VÄSTRA GÖTALANDS LÄN</t>
        </is>
      </c>
      <c r="G359" t="inlineStr">
        <is>
          <t>BORÅS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45770</v>
      </c>
      <c r="E360" s="1" t="n">
        <v>46290</v>
      </c>
      <c r="F360" t="inlineStr">
        <is>
          <t>VÄSTRA GÖTALANDS LÄN</t>
        </is>
      </c>
      <c r="G360" t="inlineStr">
        <is>
          <t>BORÅS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46290</v>
      </c>
      <c r="F361" t="inlineStr">
        <is>
          <t>VÄSTRA GÖTALANDS LÄN</t>
        </is>
      </c>
      <c r="G361" t="inlineStr">
        <is>
          <t>BORÅS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45337</v>
      </c>
      <c r="E362" s="1" t="n">
        <v>46290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44941</v>
      </c>
      <c r="E363" s="1" t="n">
        <v>46290</v>
      </c>
      <c r="F363" t="inlineStr">
        <is>
          <t>VÄSTRA GÖTALANDS LÄN</t>
        </is>
      </c>
      <c r="G363" t="inlineStr">
        <is>
          <t>BORÅS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45268</v>
      </c>
      <c r="E364" s="1" t="n">
        <v>46290</v>
      </c>
      <c r="F364" t="inlineStr">
        <is>
          <t>VÄSTRA GÖTALANDS LÄN</t>
        </is>
      </c>
      <c r="G364" t="inlineStr">
        <is>
          <t>BORÅS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46290</v>
      </c>
      <c r="F365" t="inlineStr">
        <is>
          <t>VÄSTRA GÖTALANDS LÄN</t>
        </is>
      </c>
      <c r="G365" t="inlineStr">
        <is>
          <t>BORÅS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46290</v>
      </c>
      <c r="F366" t="inlineStr">
        <is>
          <t>VÄSTRA GÖTALANDS LÄN</t>
        </is>
      </c>
      <c r="G366" t="inlineStr">
        <is>
          <t>BORÅS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46290</v>
      </c>
      <c r="F367" t="inlineStr">
        <is>
          <t>VÄSTRA GÖTALANDS LÄN</t>
        </is>
      </c>
      <c r="G367" t="inlineStr">
        <is>
          <t>BORÅS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41048-2022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44825</v>
      </c>
      <c r="E368" s="1" t="n">
        <v>46290</v>
      </c>
      <c r="F368" t="inlineStr">
        <is>
          <t>VÄSTRA GÖTALANDS LÄN</t>
        </is>
      </c>
      <c r="G368" t="inlineStr">
        <is>
          <t>BORÅS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46290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44900</v>
      </c>
      <c r="E370" s="1" t="n">
        <v>46290</v>
      </c>
      <c r="F370" t="inlineStr">
        <is>
          <t>VÄSTRA GÖTALANDS LÄN</t>
        </is>
      </c>
      <c r="G370" t="inlineStr">
        <is>
          <t>BORÅS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46290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46290</v>
      </c>
      <c r="F372" t="inlineStr">
        <is>
          <t>VÄSTRA GÖTALANDS LÄN</t>
        </is>
      </c>
      <c r="G372" t="inlineStr">
        <is>
          <t>BORÅS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46290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46290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46290</v>
      </c>
      <c r="F375" t="inlineStr">
        <is>
          <t>VÄSTRA GÖTALANDS LÄN</t>
        </is>
      </c>
      <c r="G375" t="inlineStr">
        <is>
          <t>BORÅS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46290</v>
      </c>
      <c r="F376" t="inlineStr">
        <is>
          <t>VÄSTRA GÖTALANDS LÄN</t>
        </is>
      </c>
      <c r="G376" t="inlineStr">
        <is>
          <t>BORÅS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46290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Kommuner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45321</v>
      </c>
      <c r="E378" s="1" t="n">
        <v>46290</v>
      </c>
      <c r="F378" t="inlineStr">
        <is>
          <t>VÄSTRA GÖTALANDS LÄN</t>
        </is>
      </c>
      <c r="G378" t="inlineStr">
        <is>
          <t>BORÅS</t>
        </is>
      </c>
      <c r="H378" t="inlineStr">
        <is>
          <t>Kommuner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45120</v>
      </c>
      <c r="E379" s="1" t="n">
        <v>46290</v>
      </c>
      <c r="F379" t="inlineStr">
        <is>
          <t>VÄSTRA GÖTALANDS LÄN</t>
        </is>
      </c>
      <c r="G379" t="inlineStr">
        <is>
          <t>BORÅS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46290</v>
      </c>
      <c r="F380" t="inlineStr">
        <is>
          <t>VÄSTRA GÖTALANDS LÄN</t>
        </is>
      </c>
      <c r="G380" t="inlineStr">
        <is>
          <t>BORÅS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44704</v>
      </c>
      <c r="E381" s="1" t="n">
        <v>46290</v>
      </c>
      <c r="F381" t="inlineStr">
        <is>
          <t>VÄSTRA GÖTALANDS LÄN</t>
        </is>
      </c>
      <c r="G381" t="inlineStr">
        <is>
          <t>BORÅS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57782-2022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44897</v>
      </c>
      <c r="E382" s="1" t="n">
        <v>46290</v>
      </c>
      <c r="F382" t="inlineStr">
        <is>
          <t>VÄSTRA GÖTALANDS LÄN</t>
        </is>
      </c>
      <c r="G382" t="inlineStr">
        <is>
          <t>BORÅS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14309-2022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44652</v>
      </c>
      <c r="E383" s="1" t="n">
        <v>46290</v>
      </c>
      <c r="F383" t="inlineStr">
        <is>
          <t>VÄSTRA GÖTALANDS LÄN</t>
        </is>
      </c>
      <c r="G383" t="inlineStr">
        <is>
          <t>BORÅS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45546</v>
      </c>
      <c r="E384" s="1" t="n">
        <v>46290</v>
      </c>
      <c r="F384" t="inlineStr">
        <is>
          <t>VÄSTRA GÖTALANDS LÄN</t>
        </is>
      </c>
      <c r="G384" t="inlineStr">
        <is>
          <t>BORÅS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46290</v>
      </c>
      <c r="F385" t="inlineStr">
        <is>
          <t>VÄSTRA GÖTALANDS LÄN</t>
        </is>
      </c>
      <c r="G385" t="inlineStr">
        <is>
          <t>BORÅS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46290</v>
      </c>
      <c r="F386" t="inlineStr">
        <is>
          <t>VÄSTRA GÖTALANDS LÄN</t>
        </is>
      </c>
      <c r="G386" t="inlineStr">
        <is>
          <t>BORÅS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20062-2025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45772</v>
      </c>
      <c r="E387" s="1" t="n">
        <v>46290</v>
      </c>
      <c r="F387" t="inlineStr">
        <is>
          <t>VÄSTRA GÖTALANDS LÄN</t>
        </is>
      </c>
      <c r="G387" t="inlineStr">
        <is>
          <t>BORÅS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19482-2023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45050</v>
      </c>
      <c r="E388" s="1" t="n">
        <v>46290</v>
      </c>
      <c r="F388" t="inlineStr">
        <is>
          <t>VÄSTRA GÖTALANDS LÄN</t>
        </is>
      </c>
      <c r="G388" t="inlineStr">
        <is>
          <t>BORÅS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44155-2022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44839</v>
      </c>
      <c r="E389" s="1" t="n">
        <v>46290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46290</v>
      </c>
      <c r="F390" t="inlineStr">
        <is>
          <t>VÄSTRA GÖTALANDS LÄN</t>
        </is>
      </c>
      <c r="G390" t="inlineStr">
        <is>
          <t>BORÅS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44959</v>
      </c>
      <c r="E391" s="1" t="n">
        <v>46290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45162</v>
      </c>
      <c r="E392" s="1" t="n">
        <v>46290</v>
      </c>
      <c r="F392" t="inlineStr">
        <is>
          <t>VÄSTRA GÖTALANDS LÄN</t>
        </is>
      </c>
      <c r="G392" t="inlineStr">
        <is>
          <t>BORÅS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5964-2023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44964</v>
      </c>
      <c r="E393" s="1" t="n">
        <v>46290</v>
      </c>
      <c r="F393" t="inlineStr">
        <is>
          <t>VÄSTRA GÖTALANDS LÄN</t>
        </is>
      </c>
      <c r="G393" t="inlineStr">
        <is>
          <t>BORÅS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44639</v>
      </c>
      <c r="E394" s="1" t="n">
        <v>46290</v>
      </c>
      <c r="F394" t="inlineStr">
        <is>
          <t>VÄSTRA GÖTALANDS LÄN</t>
        </is>
      </c>
      <c r="G394" t="inlineStr">
        <is>
          <t>BORÅS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49729-2023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45212</v>
      </c>
      <c r="E395" s="1" t="n">
        <v>46290</v>
      </c>
      <c r="F395" t="inlineStr">
        <is>
          <t>VÄSTRA GÖTALANDS LÄN</t>
        </is>
      </c>
      <c r="G395" t="inlineStr">
        <is>
          <t>BORÅS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46290</v>
      </c>
      <c r="F396" t="inlineStr">
        <is>
          <t>VÄSTRA GÖTALANDS LÄN</t>
        </is>
      </c>
      <c r="G396" t="inlineStr">
        <is>
          <t>BORÅS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46290</v>
      </c>
      <c r="F397" t="inlineStr">
        <is>
          <t>VÄSTRA GÖTALANDS LÄN</t>
        </is>
      </c>
      <c r="G397" t="inlineStr">
        <is>
          <t>BORÅS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46290</v>
      </c>
      <c r="F398" t="inlineStr">
        <is>
          <t>VÄSTRA GÖTALANDS LÄN</t>
        </is>
      </c>
      <c r="G398" t="inlineStr">
        <is>
          <t>BORÅS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46290</v>
      </c>
      <c r="F399" t="inlineStr">
        <is>
          <t>VÄSTRA GÖTALANDS LÄN</t>
        </is>
      </c>
      <c r="G399" t="inlineStr">
        <is>
          <t>BORÅS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46290</v>
      </c>
      <c r="F400" t="inlineStr">
        <is>
          <t>VÄSTRA GÖTALANDS LÄN</t>
        </is>
      </c>
      <c r="G400" t="inlineStr">
        <is>
          <t>BORÅS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46290</v>
      </c>
      <c r="F401" t="inlineStr">
        <is>
          <t>VÄSTRA GÖTALANDS LÄN</t>
        </is>
      </c>
      <c r="G401" t="inlineStr">
        <is>
          <t>BORÅS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45817</v>
      </c>
      <c r="E402" s="1" t="n">
        <v>46290</v>
      </c>
      <c r="F402" t="inlineStr">
        <is>
          <t>VÄSTRA GÖTALANDS LÄN</t>
        </is>
      </c>
      <c r="G402" t="inlineStr">
        <is>
          <t>BORÅS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44782-2025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45917</v>
      </c>
      <c r="E403" s="1" t="n">
        <v>46290</v>
      </c>
      <c r="F403" t="inlineStr">
        <is>
          <t>VÄSTRA GÖTALANDS LÄN</t>
        </is>
      </c>
      <c r="G403" t="inlineStr">
        <is>
          <t>BORÅS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34195-2025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45845</v>
      </c>
      <c r="E404" s="1" t="n">
        <v>46290</v>
      </c>
      <c r="F404" t="inlineStr">
        <is>
          <t>VÄSTRA GÖTALANDS LÄN</t>
        </is>
      </c>
      <c r="G404" t="inlineStr">
        <is>
          <t>BORÅS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46290</v>
      </c>
      <c r="F405" t="inlineStr">
        <is>
          <t>VÄSTRA GÖTALANDS LÄN</t>
        </is>
      </c>
      <c r="G405" t="inlineStr">
        <is>
          <t>BORÅS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25268-2026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46290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46290</v>
      </c>
      <c r="F407" t="inlineStr">
        <is>
          <t>VÄSTRA GÖTALANDS LÄN</t>
        </is>
      </c>
      <c r="G407" t="inlineStr">
        <is>
          <t>BORÅS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25238-2026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46175</v>
      </c>
      <c r="E408" s="1" t="n">
        <v>46290</v>
      </c>
      <c r="F408" t="inlineStr">
        <is>
          <t>VÄSTRA GÖTALANDS LÄN</t>
        </is>
      </c>
      <c r="G408" t="inlineStr">
        <is>
          <t>BORÅS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44958</v>
      </c>
      <c r="E409" s="1" t="n">
        <v>46290</v>
      </c>
      <c r="F409" t="inlineStr">
        <is>
          <t>VÄSTRA GÖTALANDS LÄN</t>
        </is>
      </c>
      <c r="G409" t="inlineStr">
        <is>
          <t>BORÅS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12635-2026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46091</v>
      </c>
      <c r="E410" s="1" t="n">
        <v>46290</v>
      </c>
      <c r="F410" t="inlineStr">
        <is>
          <t>VÄSTRA GÖTALANDS LÄN</t>
        </is>
      </c>
      <c r="G410" t="inlineStr">
        <is>
          <t>BORÅS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46290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14990-2023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45015</v>
      </c>
      <c r="E412" s="1" t="n">
        <v>46290</v>
      </c>
      <c r="F412" t="inlineStr">
        <is>
          <t>VÄSTRA GÖTALANDS LÄN</t>
        </is>
      </c>
      <c r="G412" t="inlineStr">
        <is>
          <t>BORÅS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72566-2021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44546</v>
      </c>
      <c r="E413" s="1" t="n">
        <v>46290</v>
      </c>
      <c r="F413" t="inlineStr">
        <is>
          <t>VÄSTRA GÖTALANDS LÄN</t>
        </is>
      </c>
      <c r="G413" t="inlineStr">
        <is>
          <t>BORÅS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45205</v>
      </c>
      <c r="E414" s="1" t="n">
        <v>46290</v>
      </c>
      <c r="F414" t="inlineStr">
        <is>
          <t>VÄSTRA GÖTALANDS LÄN</t>
        </is>
      </c>
      <c r="G414" t="inlineStr">
        <is>
          <t>BORÅS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13729-2026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46097</v>
      </c>
      <c r="E415" s="1" t="n">
        <v>46290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45044</v>
      </c>
      <c r="E416" s="1" t="n">
        <v>46290</v>
      </c>
      <c r="F416" t="inlineStr">
        <is>
          <t>VÄSTRA GÖTALANDS LÄN</t>
        </is>
      </c>
      <c r="G416" t="inlineStr">
        <is>
          <t>BORÅS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45582</v>
      </c>
      <c r="E417" s="1" t="n">
        <v>46290</v>
      </c>
      <c r="F417" t="inlineStr">
        <is>
          <t>VÄSTRA GÖTALANDS LÄN</t>
        </is>
      </c>
      <c r="G417" t="inlineStr">
        <is>
          <t>BORÅS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46099</v>
      </c>
      <c r="E418" s="1" t="n">
        <v>46290</v>
      </c>
      <c r="F418" t="inlineStr">
        <is>
          <t>VÄSTRA GÖTALANDS LÄN</t>
        </is>
      </c>
      <c r="G418" t="inlineStr">
        <is>
          <t>BORÅS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50382-2022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44866</v>
      </c>
      <c r="E419" s="1" t="n">
        <v>46290</v>
      </c>
      <c r="F419" t="inlineStr">
        <is>
          <t>VÄSTRA GÖTALANDS LÄN</t>
        </is>
      </c>
      <c r="G419" t="inlineStr">
        <is>
          <t>BORÅS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54875-2022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44886</v>
      </c>
      <c r="E420" s="1" t="n">
        <v>46290</v>
      </c>
      <c r="F420" t="inlineStr">
        <is>
          <t>VÄSTRA GÖTALANDS LÄN</t>
        </is>
      </c>
      <c r="G420" t="inlineStr">
        <is>
          <t>BORÅS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14275-2026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46290</v>
      </c>
      <c r="F421" t="inlineStr">
        <is>
          <t>VÄSTRA GÖTALANDS LÄN</t>
        </is>
      </c>
      <c r="G421" t="inlineStr">
        <is>
          <t>BORÅS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44949</v>
      </c>
      <c r="E422" s="1" t="n">
        <v>46290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54871-2022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44886</v>
      </c>
      <c r="E423" s="1" t="n">
        <v>46290</v>
      </c>
      <c r="F423" t="inlineStr">
        <is>
          <t>VÄSTRA GÖTALANDS LÄN</t>
        </is>
      </c>
      <c r="G423" t="inlineStr">
        <is>
          <t>BORÅS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46290</v>
      </c>
      <c r="F424" t="inlineStr">
        <is>
          <t>VÄSTRA GÖTALANDS LÄN</t>
        </is>
      </c>
      <c r="G424" t="inlineStr">
        <is>
          <t>BORÅS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47616-2022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44854</v>
      </c>
      <c r="E425" s="1" t="n">
        <v>46290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46290</v>
      </c>
      <c r="F426" t="inlineStr">
        <is>
          <t>VÄSTRA GÖTALANDS LÄN</t>
        </is>
      </c>
      <c r="G426" t="inlineStr">
        <is>
          <t>BORÅS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46290</v>
      </c>
      <c r="F427" t="inlineStr">
        <is>
          <t>VÄSTRA GÖTALANDS LÄN</t>
        </is>
      </c>
      <c r="G427" t="inlineStr">
        <is>
          <t>BORÅS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46290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Kyrkan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46290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Kyrkan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46290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Kyrkan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46290</v>
      </c>
      <c r="F431" t="inlineStr">
        <is>
          <t>VÄSTRA GÖTALANDS LÄN</t>
        </is>
      </c>
      <c r="G431" t="inlineStr">
        <is>
          <t>BORÅS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46290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44506-2023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45189</v>
      </c>
      <c r="E433" s="1" t="n">
        <v>46290</v>
      </c>
      <c r="F433" t="inlineStr">
        <is>
          <t>VÄSTRA GÖTALANDS LÄN</t>
        </is>
      </c>
      <c r="G433" t="inlineStr">
        <is>
          <t>BORÅS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46290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45771</v>
      </c>
      <c r="E435" s="1" t="n">
        <v>46290</v>
      </c>
      <c r="F435" t="inlineStr">
        <is>
          <t>VÄSTRA GÖTALANDS LÄN</t>
        </is>
      </c>
      <c r="G435" t="inlineStr">
        <is>
          <t>BORÅS</t>
        </is>
      </c>
      <c r="I435" t="n">
        <v>8.6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15193-2026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46105</v>
      </c>
      <c r="E436" s="1" t="n">
        <v>46290</v>
      </c>
      <c r="F436" t="inlineStr">
        <is>
          <t>VÄSTRA GÖTALANDS LÄN</t>
        </is>
      </c>
      <c r="G436" t="inlineStr">
        <is>
          <t>BORÅS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46290</v>
      </c>
      <c r="F437" t="inlineStr">
        <is>
          <t>VÄSTRA GÖTALANDS LÄN</t>
        </is>
      </c>
      <c r="G437" t="inlineStr">
        <is>
          <t>BORÅS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48504-2024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46290</v>
      </c>
      <c r="F438" t="inlineStr">
        <is>
          <t>VÄSTRA GÖTALANDS LÄN</t>
        </is>
      </c>
      <c r="G438" t="inlineStr">
        <is>
          <t>BORÅS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38970-2024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45548</v>
      </c>
      <c r="E439" s="1" t="n">
        <v>46290</v>
      </c>
      <c r="F439" t="inlineStr">
        <is>
          <t>VÄSTRA GÖTALANDS LÄN</t>
        </is>
      </c>
      <c r="G439" t="inlineStr">
        <is>
          <t>BORÅS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29317-2024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46290</v>
      </c>
      <c r="F440" t="inlineStr">
        <is>
          <t>VÄSTRA GÖTALANDS LÄN</t>
        </is>
      </c>
      <c r="G440" t="inlineStr">
        <is>
          <t>BORÅS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29318-2024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45483</v>
      </c>
      <c r="E441" s="1" t="n">
        <v>46290</v>
      </c>
      <c r="F441" t="inlineStr">
        <is>
          <t>VÄSTRA GÖTALANDS LÄN</t>
        </is>
      </c>
      <c r="G441" t="inlineStr">
        <is>
          <t>BORÅS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46290</v>
      </c>
      <c r="F442" t="inlineStr">
        <is>
          <t>VÄSTRA GÖTALANDS LÄN</t>
        </is>
      </c>
      <c r="G442" t="inlineStr">
        <is>
          <t>BORÅS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17234-2026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46119</v>
      </c>
      <c r="E443" s="1" t="n">
        <v>46290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45756</v>
      </c>
      <c r="E444" s="1" t="n">
        <v>46290</v>
      </c>
      <c r="F444" t="inlineStr">
        <is>
          <t>VÄSTRA GÖTALANDS LÄN</t>
        </is>
      </c>
      <c r="G444" t="inlineStr">
        <is>
          <t>BORÅS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45440</v>
      </c>
      <c r="E445" s="1" t="n">
        <v>46290</v>
      </c>
      <c r="F445" t="inlineStr">
        <is>
          <t>VÄSTRA GÖTALANDS LÄN</t>
        </is>
      </c>
      <c r="G445" t="inlineStr">
        <is>
          <t>BORÅS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45670</v>
      </c>
      <c r="E446" s="1" t="n">
        <v>46290</v>
      </c>
      <c r="F446" t="inlineStr">
        <is>
          <t>VÄSTRA GÖTALANDS LÄN</t>
        </is>
      </c>
      <c r="G446" t="inlineStr">
        <is>
          <t>BORÅS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20724-2023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45058</v>
      </c>
      <c r="E447" s="1" t="n">
        <v>46290</v>
      </c>
      <c r="F447" t="inlineStr">
        <is>
          <t>VÄSTRA GÖTALANDS LÄN</t>
        </is>
      </c>
      <c r="G447" t="inlineStr">
        <is>
          <t>BORÅS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46290</v>
      </c>
      <c r="F448" t="inlineStr">
        <is>
          <t>VÄSTRA GÖTALANDS LÄN</t>
        </is>
      </c>
      <c r="G448" t="inlineStr">
        <is>
          <t>BORÅS</t>
        </is>
      </c>
      <c r="I448" t="n">
        <v>9.199999999999999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46290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50605-2022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44866</v>
      </c>
      <c r="E450" s="1" t="n">
        <v>46290</v>
      </c>
      <c r="F450" t="inlineStr">
        <is>
          <t>VÄSTRA GÖTALANDS LÄN</t>
        </is>
      </c>
      <c r="G450" t="inlineStr">
        <is>
          <t>BORÅS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56007-2023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46290</v>
      </c>
      <c r="F451" t="inlineStr">
        <is>
          <t>VÄSTRA GÖTALANDS LÄN</t>
        </is>
      </c>
      <c r="G451" t="inlineStr">
        <is>
          <t>BORÅS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46290</v>
      </c>
      <c r="F452" t="inlineStr">
        <is>
          <t>VÄSTRA GÖTALANDS LÄN</t>
        </is>
      </c>
      <c r="G452" t="inlineStr">
        <is>
          <t>BORÅS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46290</v>
      </c>
      <c r="F453" t="inlineStr">
        <is>
          <t>VÄSTRA GÖTALANDS LÄN</t>
        </is>
      </c>
      <c r="G453" t="inlineStr">
        <is>
          <t>BORÅS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46290</v>
      </c>
      <c r="F454" t="inlineStr">
        <is>
          <t>VÄSTRA GÖTALANDS LÄN</t>
        </is>
      </c>
      <c r="G454" t="inlineStr">
        <is>
          <t>BORÅS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46290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46290</v>
      </c>
      <c r="F456" t="inlineStr">
        <is>
          <t>VÄSTRA GÖTALANDS LÄN</t>
        </is>
      </c>
      <c r="G456" t="inlineStr">
        <is>
          <t>BORÅS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46382-2023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45197</v>
      </c>
      <c r="E457" s="1" t="n">
        <v>46290</v>
      </c>
      <c r="F457" t="inlineStr">
        <is>
          <t>VÄSTRA GÖTALANDS LÄN</t>
        </is>
      </c>
      <c r="G457" t="inlineStr">
        <is>
          <t>BORÅS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43645-2023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45186</v>
      </c>
      <c r="E458" s="1" t="n">
        <v>46290</v>
      </c>
      <c r="F458" t="inlineStr">
        <is>
          <t>VÄSTRA GÖTALANDS LÄN</t>
        </is>
      </c>
      <c r="G458" t="inlineStr">
        <is>
          <t>BORÅS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46290</v>
      </c>
      <c r="F459" t="inlineStr">
        <is>
          <t>VÄSTRA GÖTALANDS LÄN</t>
        </is>
      </c>
      <c r="G459" t="inlineStr">
        <is>
          <t>BORÅS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46290</v>
      </c>
      <c r="F460" t="inlineStr">
        <is>
          <t>VÄSTRA GÖTALANDS LÄN</t>
        </is>
      </c>
      <c r="G460" t="inlineStr">
        <is>
          <t>BORÅS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45477</v>
      </c>
      <c r="E461" s="1" t="n">
        <v>46290</v>
      </c>
      <c r="F461" t="inlineStr">
        <is>
          <t>VÄSTRA GÖTALANDS LÄN</t>
        </is>
      </c>
      <c r="G461" t="inlineStr">
        <is>
          <t>BORÅS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46290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Kyrkan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46290</v>
      </c>
      <c r="F463" t="inlineStr">
        <is>
          <t>VÄSTRA GÖTALANDS LÄN</t>
        </is>
      </c>
      <c r="G463" t="inlineStr">
        <is>
          <t>BORÅS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46290</v>
      </c>
      <c r="F464" t="inlineStr">
        <is>
          <t>VÄSTRA GÖTALANDS LÄN</t>
        </is>
      </c>
      <c r="G464" t="inlineStr">
        <is>
          <t>BORÅS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31213-2022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44771</v>
      </c>
      <c r="E465" s="1" t="n">
        <v>46290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Kyrkan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46290</v>
      </c>
      <c r="F466" t="inlineStr">
        <is>
          <t>VÄSTRA GÖTALANDS LÄN</t>
        </is>
      </c>
      <c r="G466" t="inlineStr">
        <is>
          <t>BORÅS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46290</v>
      </c>
      <c r="F467" t="inlineStr">
        <is>
          <t>VÄSTRA GÖTALANDS LÄN</t>
        </is>
      </c>
      <c r="G467" t="inlineStr">
        <is>
          <t>BORÅS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46290</v>
      </c>
      <c r="F468" t="inlineStr">
        <is>
          <t>VÄSTRA GÖTALANDS LÄN</t>
        </is>
      </c>
      <c r="G468" t="inlineStr">
        <is>
          <t>BORÅS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45225</v>
      </c>
      <c r="E469" s="1" t="n">
        <v>46290</v>
      </c>
      <c r="F469" t="inlineStr">
        <is>
          <t>VÄSTRA GÖTALANDS LÄN</t>
        </is>
      </c>
      <c r="G469" t="inlineStr">
        <is>
          <t>BORÅS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29606-2026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46290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46290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52957-2022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44875</v>
      </c>
      <c r="E472" s="1" t="n">
        <v>46290</v>
      </c>
      <c r="F472" t="inlineStr">
        <is>
          <t>VÄSTRA GÖTALANDS LÄN</t>
        </is>
      </c>
      <c r="G472" t="inlineStr">
        <is>
          <t>BORÅS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45126</v>
      </c>
      <c r="E473" s="1" t="n">
        <v>46290</v>
      </c>
      <c r="F473" t="inlineStr">
        <is>
          <t>VÄSTRA GÖTALANDS LÄN</t>
        </is>
      </c>
      <c r="G473" t="inlineStr">
        <is>
          <t>BORÅS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58000-2024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45631</v>
      </c>
      <c r="E474" s="1" t="n">
        <v>46290</v>
      </c>
      <c r="F474" t="inlineStr">
        <is>
          <t>VÄSTRA GÖTALANDS LÄN</t>
        </is>
      </c>
      <c r="G474" t="inlineStr">
        <is>
          <t>BORÅS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45321</v>
      </c>
      <c r="E475" s="1" t="n">
        <v>46290</v>
      </c>
      <c r="F475" t="inlineStr">
        <is>
          <t>VÄSTRA GÖTALANDS LÄN</t>
        </is>
      </c>
      <c r="G475" t="inlineStr">
        <is>
          <t>BORÅS</t>
        </is>
      </c>
      <c r="H475" t="inlineStr">
        <is>
          <t>Kommuner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45120</v>
      </c>
      <c r="E476" s="1" t="n">
        <v>46290</v>
      </c>
      <c r="F476" t="inlineStr">
        <is>
          <t>VÄSTRA GÖTALANDS LÄN</t>
        </is>
      </c>
      <c r="G476" t="inlineStr">
        <is>
          <t>BORÅS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46251</v>
      </c>
      <c r="E477" s="1" t="n">
        <v>46290</v>
      </c>
      <c r="F477" t="inlineStr">
        <is>
          <t>VÄSTRA GÖTALANDS LÄN</t>
        </is>
      </c>
      <c r="G477" t="inlineStr">
        <is>
          <t>BORÅS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46251</v>
      </c>
      <c r="E478" s="1" t="n">
        <v>46290</v>
      </c>
      <c r="F478" t="inlineStr">
        <is>
          <t>VÄSTRA GÖTALANDS LÄN</t>
        </is>
      </c>
      <c r="G478" t="inlineStr">
        <is>
          <t>BORÅS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44995</v>
      </c>
      <c r="E479" s="1" t="n">
        <v>46290</v>
      </c>
      <c r="F479" t="inlineStr">
        <is>
          <t>VÄSTRA GÖTALANDS LÄN</t>
        </is>
      </c>
      <c r="G479" t="inlineStr">
        <is>
          <t>BORÅS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46290</v>
      </c>
      <c r="F480" t="inlineStr">
        <is>
          <t>VÄSTRA GÖTALANDS LÄN</t>
        </is>
      </c>
      <c r="G480" t="inlineStr">
        <is>
          <t>BORÅS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65200-2023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45289</v>
      </c>
      <c r="E481" s="1" t="n">
        <v>46290</v>
      </c>
      <c r="F481" t="inlineStr">
        <is>
          <t>VÄSTRA GÖTALANDS LÄN</t>
        </is>
      </c>
      <c r="G481" t="inlineStr">
        <is>
          <t>BORÅS</t>
        </is>
      </c>
      <c r="I481" t="n">
        <v>12.5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34029-2026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46290</v>
      </c>
      <c r="F482" t="inlineStr">
        <is>
          <t>VÄSTRA GÖTALANDS LÄN</t>
        </is>
      </c>
      <c r="G482" t="inlineStr">
        <is>
          <t>BORÅS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46290</v>
      </c>
      <c r="F483" t="inlineStr">
        <is>
          <t>VÄSTRA GÖTALANDS LÄN</t>
        </is>
      </c>
      <c r="G483" t="inlineStr">
        <is>
          <t>BORÅS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45769</v>
      </c>
      <c r="E484" s="1" t="n">
        <v>46290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45618-2024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46290</v>
      </c>
      <c r="F485" t="inlineStr">
        <is>
          <t>VÄSTRA GÖTALANDS LÄN</t>
        </is>
      </c>
      <c r="G485" t="inlineStr">
        <is>
          <t>BORÅS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46290</v>
      </c>
      <c r="F486" t="inlineStr">
        <is>
          <t>VÄSTRA GÖTALANDS LÄN</t>
        </is>
      </c>
      <c r="G486" t="inlineStr">
        <is>
          <t>BORÅS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45099</v>
      </c>
      <c r="E487" s="1" t="n">
        <v>46290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Kommuner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45609-2024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45579</v>
      </c>
      <c r="E488" s="1" t="n">
        <v>46290</v>
      </c>
      <c r="F488" t="inlineStr">
        <is>
          <t>VÄSTRA GÖTALANDS LÄN</t>
        </is>
      </c>
      <c r="G488" t="inlineStr">
        <is>
          <t>BORÅS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46290</v>
      </c>
      <c r="F489" t="inlineStr">
        <is>
          <t>VÄSTRA GÖTALANDS LÄN</t>
        </is>
      </c>
      <c r="G489" t="inlineStr">
        <is>
          <t>BORÅS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46254</v>
      </c>
      <c r="E490" s="1" t="n">
        <v>46290</v>
      </c>
      <c r="F490" t="inlineStr">
        <is>
          <t>VÄSTRA GÖTALANDS LÄN</t>
        </is>
      </c>
      <c r="G490" t="inlineStr">
        <is>
          <t>BORÅS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44564</v>
      </c>
      <c r="E491" s="1" t="n">
        <v>46290</v>
      </c>
      <c r="F491" t="inlineStr">
        <is>
          <t>VÄSTRA GÖTALANDS LÄN</t>
        </is>
      </c>
      <c r="G491" t="inlineStr">
        <is>
          <t>BORÅS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45062</v>
      </c>
      <c r="E492" s="1" t="n">
        <v>46290</v>
      </c>
      <c r="F492" t="inlineStr">
        <is>
          <t>VÄSTRA GÖTALANDS LÄN</t>
        </is>
      </c>
      <c r="G492" t="inlineStr">
        <is>
          <t>BORÅS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46290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53125-2024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45611</v>
      </c>
      <c r="E494" s="1" t="n">
        <v>46290</v>
      </c>
      <c r="F494" t="inlineStr">
        <is>
          <t>VÄSTRA GÖTALANDS LÄN</t>
        </is>
      </c>
      <c r="G494" t="inlineStr">
        <is>
          <t>BORÅS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46216</v>
      </c>
      <c r="E495" s="1" t="n">
        <v>46290</v>
      </c>
      <c r="F495" t="inlineStr">
        <is>
          <t>VÄSTRA GÖTALANDS LÄN</t>
        </is>
      </c>
      <c r="G495" t="inlineStr">
        <is>
          <t>BORÅS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46216</v>
      </c>
      <c r="E496" s="1" t="n">
        <v>46290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45670</v>
      </c>
      <c r="E497" s="1" t="n">
        <v>46290</v>
      </c>
      <c r="F497" t="inlineStr">
        <is>
          <t>VÄSTRA GÖTALANDS LÄN</t>
        </is>
      </c>
      <c r="G497" t="inlineStr">
        <is>
          <t>BORÅS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46260</v>
      </c>
      <c r="E498" s="1" t="n">
        <v>46290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46217</v>
      </c>
      <c r="E499" s="1" t="n">
        <v>46290</v>
      </c>
      <c r="F499" t="inlineStr">
        <is>
          <t>VÄSTRA GÖTALANDS LÄN</t>
        </is>
      </c>
      <c r="G499" t="inlineStr">
        <is>
          <t>BORÅS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46290</v>
      </c>
      <c r="F500" t="inlineStr">
        <is>
          <t>VÄSTRA GÖTALANDS LÄN</t>
        </is>
      </c>
      <c r="G500" t="inlineStr">
        <is>
          <t>BORÅS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10147-2024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45364</v>
      </c>
      <c r="E501" s="1" t="n">
        <v>46290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46290</v>
      </c>
      <c r="F502" t="inlineStr">
        <is>
          <t>VÄSTRA GÖTALANDS LÄN</t>
        </is>
      </c>
      <c r="G502" t="inlineStr">
        <is>
          <t>BORÅS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46290</v>
      </c>
      <c r="F503" t="inlineStr">
        <is>
          <t>VÄSTRA GÖTALANDS LÄN</t>
        </is>
      </c>
      <c r="G503" t="inlineStr">
        <is>
          <t>BORÅS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46290</v>
      </c>
      <c r="F504" t="inlineStr">
        <is>
          <t>VÄSTRA GÖTALANDS LÄN</t>
        </is>
      </c>
      <c r="G504" t="inlineStr">
        <is>
          <t>BORÅS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35139-2026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46260</v>
      </c>
      <c r="E505" s="1" t="n">
        <v>46290</v>
      </c>
      <c r="F505" t="inlineStr">
        <is>
          <t>VÄSTRA GÖTALANDS LÄN</t>
        </is>
      </c>
      <c r="G505" t="inlineStr">
        <is>
          <t>BORÅS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35244-2026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46260</v>
      </c>
      <c r="E506" s="1" t="n">
        <v>46290</v>
      </c>
      <c r="F506" t="inlineStr">
        <is>
          <t>VÄSTRA GÖTALANDS LÄN</t>
        </is>
      </c>
      <c r="G506" t="inlineStr">
        <is>
          <t>BORÅS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45671</v>
      </c>
      <c r="E507" s="1" t="n">
        <v>46290</v>
      </c>
      <c r="F507" t="inlineStr">
        <is>
          <t>VÄSTRA GÖTALANDS LÄN</t>
        </is>
      </c>
      <c r="G507" t="inlineStr">
        <is>
          <t>BORÅS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44577</v>
      </c>
      <c r="E508" s="1" t="n">
        <v>46290</v>
      </c>
      <c r="F508" t="inlineStr">
        <is>
          <t>VÄSTRA GÖTALANDS LÄN</t>
        </is>
      </c>
      <c r="G508" t="inlineStr">
        <is>
          <t>BORÅS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27335-2024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45472</v>
      </c>
      <c r="E509" s="1" t="n">
        <v>46290</v>
      </c>
      <c r="F509" t="inlineStr">
        <is>
          <t>VÄSTRA GÖTALANDS LÄN</t>
        </is>
      </c>
      <c r="G509" t="inlineStr">
        <is>
          <t>BORÅS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36210-2026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46290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46290</v>
      </c>
      <c r="F511" t="inlineStr">
        <is>
          <t>VÄSTRA GÖTALANDS LÄN</t>
        </is>
      </c>
      <c r="G511" t="inlineStr">
        <is>
          <t>BORÅS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45636</v>
      </c>
      <c r="E512" s="1" t="n">
        <v>46290</v>
      </c>
      <c r="F512" t="inlineStr">
        <is>
          <t>VÄSTRA GÖTALANDS LÄN</t>
        </is>
      </c>
      <c r="G512" t="inlineStr">
        <is>
          <t>BORÅS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32158-2023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45119</v>
      </c>
      <c r="E513" s="1" t="n">
        <v>46290</v>
      </c>
      <c r="F513" t="inlineStr">
        <is>
          <t>VÄSTRA GÖTALANDS LÄN</t>
        </is>
      </c>
      <c r="G513" t="inlineStr">
        <is>
          <t>BORÅS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45119</v>
      </c>
      <c r="E514" s="1" t="n">
        <v>46290</v>
      </c>
      <c r="F514" t="inlineStr">
        <is>
          <t>VÄSTRA GÖTALANDS LÄN</t>
        </is>
      </c>
      <c r="G514" t="inlineStr">
        <is>
          <t>BORÅS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46290</v>
      </c>
      <c r="F515" t="inlineStr">
        <is>
          <t>VÄSTRA GÖTALANDS LÄN</t>
        </is>
      </c>
      <c r="G515" t="inlineStr">
        <is>
          <t>BORÅS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46224</v>
      </c>
      <c r="E516" s="1" t="n">
        <v>46290</v>
      </c>
      <c r="F516" t="inlineStr">
        <is>
          <t>VÄSTRA GÖTALANDS LÄN</t>
        </is>
      </c>
      <c r="G516" t="inlineStr">
        <is>
          <t>BORÅS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62532-2022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44916</v>
      </c>
      <c r="E517" s="1" t="n">
        <v>46290</v>
      </c>
      <c r="F517" t="inlineStr">
        <is>
          <t>VÄSTRA GÖTALANDS LÄN</t>
        </is>
      </c>
      <c r="G517" t="inlineStr">
        <is>
          <t>BORÅS</t>
        </is>
      </c>
      <c r="I517" t="n">
        <v>9.800000000000001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46290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46290</v>
      </c>
      <c r="F519" t="inlineStr">
        <is>
          <t>VÄSTRA GÖTALANDS LÄN</t>
        </is>
      </c>
      <c r="G519" t="inlineStr">
        <is>
          <t>BORÅS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58483-2024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46290</v>
      </c>
      <c r="F520" t="inlineStr">
        <is>
          <t>VÄSTRA GÖTALANDS LÄN</t>
        </is>
      </c>
      <c r="G520" t="inlineStr">
        <is>
          <t>BORÅS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43573-2022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44837</v>
      </c>
      <c r="E521" s="1" t="n">
        <v>46290</v>
      </c>
      <c r="F521" t="inlineStr">
        <is>
          <t>VÄSTRA GÖTALANDS LÄN</t>
        </is>
      </c>
      <c r="G521" t="inlineStr">
        <is>
          <t>BORÅS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46268</v>
      </c>
      <c r="E522" s="1" t="n">
        <v>46290</v>
      </c>
      <c r="F522" t="inlineStr">
        <is>
          <t>VÄSTRA GÖTALANDS LÄN</t>
        </is>
      </c>
      <c r="G522" t="inlineStr">
        <is>
          <t>BORÅS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45294</v>
      </c>
      <c r="E523" s="1" t="n">
        <v>46290</v>
      </c>
      <c r="F523" t="inlineStr">
        <is>
          <t>VÄSTRA GÖTALANDS LÄN</t>
        </is>
      </c>
      <c r="G523" t="inlineStr">
        <is>
          <t>BORÅS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46290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46268</v>
      </c>
      <c r="E525" s="1" t="n">
        <v>46290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45294</v>
      </c>
      <c r="E526" s="1" t="n">
        <v>46290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19095-2023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45048</v>
      </c>
      <c r="E527" s="1" t="n">
        <v>46290</v>
      </c>
      <c r="F527" t="inlineStr">
        <is>
          <t>VÄSTRA GÖTALANDS LÄN</t>
        </is>
      </c>
      <c r="G527" t="inlineStr">
        <is>
          <t>BORÅS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45294</v>
      </c>
      <c r="E528" s="1" t="n">
        <v>46290</v>
      </c>
      <c r="F528" t="inlineStr">
        <is>
          <t>VÄSTRA GÖTALANDS LÄN</t>
        </is>
      </c>
      <c r="G528" t="inlineStr">
        <is>
          <t>BORÅS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45294</v>
      </c>
      <c r="E529" s="1" t="n">
        <v>46290</v>
      </c>
      <c r="F529" t="inlineStr">
        <is>
          <t>VÄSTRA GÖTALANDS LÄN</t>
        </is>
      </c>
      <c r="G529" t="inlineStr">
        <is>
          <t>BORÅS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28171-2022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44746</v>
      </c>
      <c r="E530" s="1" t="n">
        <v>46290</v>
      </c>
      <c r="F530" t="inlineStr">
        <is>
          <t>VÄSTRA GÖTALANDS LÄN</t>
        </is>
      </c>
      <c r="G530" t="inlineStr">
        <is>
          <t>BORÅS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32237-2023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45119</v>
      </c>
      <c r="E531" s="1" t="n">
        <v>46290</v>
      </c>
      <c r="F531" t="inlineStr">
        <is>
          <t>VÄSTRA GÖTALANDS LÄN</t>
        </is>
      </c>
      <c r="G531" t="inlineStr">
        <is>
          <t>BORÅS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32742-2024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45516</v>
      </c>
      <c r="E532" s="1" t="n">
        <v>46290</v>
      </c>
      <c r="F532" t="inlineStr">
        <is>
          <t>VÄSTRA GÖTALANDS LÄN</t>
        </is>
      </c>
      <c r="G532" t="inlineStr">
        <is>
          <t>BORÅS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50282-2023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45216</v>
      </c>
      <c r="E533" s="1" t="n">
        <v>46290</v>
      </c>
      <c r="F533" t="inlineStr">
        <is>
          <t>VÄSTRA GÖTALANDS LÄN</t>
        </is>
      </c>
      <c r="G533" t="inlineStr">
        <is>
          <t>BORÅS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44992</v>
      </c>
      <c r="E534" s="1" t="n">
        <v>46290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63178-2023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46290</v>
      </c>
      <c r="F535" t="inlineStr">
        <is>
          <t>VÄSTRA GÖTALANDS LÄN</t>
        </is>
      </c>
      <c r="G535" t="inlineStr">
        <is>
          <t>BORÅS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46290</v>
      </c>
      <c r="F536" t="inlineStr">
        <is>
          <t>VÄSTRA GÖTALANDS LÄN</t>
        </is>
      </c>
      <c r="G536" t="inlineStr">
        <is>
          <t>BORÅS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45421</v>
      </c>
      <c r="E537" s="1" t="n">
        <v>46290</v>
      </c>
      <c r="F537" t="inlineStr">
        <is>
          <t>VÄSTRA GÖTALANDS LÄN</t>
        </is>
      </c>
      <c r="G537" t="inlineStr">
        <is>
          <t>BORÅS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45486-2023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46290</v>
      </c>
      <c r="F538" t="inlineStr">
        <is>
          <t>VÄSTRA GÖTALANDS LÄN</t>
        </is>
      </c>
      <c r="G538" t="inlineStr">
        <is>
          <t>BORÅS</t>
        </is>
      </c>
      <c r="I538" t="n">
        <v>11.7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46290</v>
      </c>
      <c r="F539" t="inlineStr">
        <is>
          <t>VÄSTRA GÖTALANDS LÄN</t>
        </is>
      </c>
      <c r="G539" t="inlineStr">
        <is>
          <t>BORÅS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28552-2022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44748</v>
      </c>
      <c r="E540" s="1" t="n">
        <v>46290</v>
      </c>
      <c r="F540" t="inlineStr">
        <is>
          <t>VÄSTRA GÖTALANDS LÄN</t>
        </is>
      </c>
      <c r="G540" t="inlineStr">
        <is>
          <t>BORÅS</t>
        </is>
      </c>
      <c r="H540" t="inlineStr">
        <is>
          <t>Kommuner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45302</v>
      </c>
      <c r="E541" s="1" t="n">
        <v>46290</v>
      </c>
      <c r="F541" t="inlineStr">
        <is>
          <t>VÄSTRA GÖTALANDS LÄN</t>
        </is>
      </c>
      <c r="G541" t="inlineStr">
        <is>
          <t>BORÅS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19691-2024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45432</v>
      </c>
      <c r="E542" s="1" t="n">
        <v>46290</v>
      </c>
      <c r="F542" t="inlineStr">
        <is>
          <t>VÄSTRA GÖTALANDS LÄN</t>
        </is>
      </c>
      <c r="G542" t="inlineStr">
        <is>
          <t>BORÅS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45216</v>
      </c>
      <c r="E543" s="1" t="n">
        <v>46290</v>
      </c>
      <c r="F543" t="inlineStr">
        <is>
          <t>VÄSTRA GÖTALANDS LÄN</t>
        </is>
      </c>
      <c r="G543" t="inlineStr">
        <is>
          <t>BORÅS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45321</v>
      </c>
      <c r="E544" s="1" t="n">
        <v>46290</v>
      </c>
      <c r="F544" t="inlineStr">
        <is>
          <t>VÄSTRA GÖTALANDS LÄN</t>
        </is>
      </c>
      <c r="G544" t="inlineStr">
        <is>
          <t>BORÅS</t>
        </is>
      </c>
      <c r="H544" t="inlineStr">
        <is>
          <t>Kommuner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60931-2022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44914</v>
      </c>
      <c r="E545" s="1" t="n">
        <v>46290</v>
      </c>
      <c r="F545" t="inlineStr">
        <is>
          <t>VÄSTRA GÖTALANDS LÄN</t>
        </is>
      </c>
      <c r="G545" t="inlineStr">
        <is>
          <t>BORÅS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45168</v>
      </c>
      <c r="E546" s="1" t="n">
        <v>46290</v>
      </c>
      <c r="F546" t="inlineStr">
        <is>
          <t>VÄSTRA GÖTALANDS LÄN</t>
        </is>
      </c>
      <c r="G546" t="inlineStr">
        <is>
          <t>BORÅS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46280</v>
      </c>
      <c r="E547" s="1" t="n">
        <v>46290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36866-2026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46272</v>
      </c>
      <c r="E548" s="1" t="n">
        <v>46290</v>
      </c>
      <c r="F548" t="inlineStr">
        <is>
          <t>VÄSTRA GÖTALANDS LÄN</t>
        </is>
      </c>
      <c r="G548" t="inlineStr">
        <is>
          <t>BORÅS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32193-2023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46290</v>
      </c>
      <c r="F549" t="inlineStr">
        <is>
          <t>VÄSTRA GÖTALANDS LÄN</t>
        </is>
      </c>
      <c r="G549" t="inlineStr">
        <is>
          <t>BORÅS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46290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46290</v>
      </c>
      <c r="F551" t="inlineStr">
        <is>
          <t>VÄSTRA GÖTALANDS LÄN</t>
        </is>
      </c>
      <c r="G551" t="inlineStr">
        <is>
          <t>BORÅS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46439-2024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45582</v>
      </c>
      <c r="E552" s="1" t="n">
        <v>46290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46290</v>
      </c>
      <c r="F553" t="inlineStr">
        <is>
          <t>VÄSTRA GÖTALANDS LÄN</t>
        </is>
      </c>
      <c r="G553" t="inlineStr">
        <is>
          <t>BORÅS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45776</v>
      </c>
      <c r="E554" s="1" t="n">
        <v>46290</v>
      </c>
      <c r="F554" t="inlineStr">
        <is>
          <t>VÄSTRA GÖTALANDS LÄN</t>
        </is>
      </c>
      <c r="G554" t="inlineStr">
        <is>
          <t>BORÅS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45783</v>
      </c>
      <c r="E555" s="1" t="n">
        <v>46290</v>
      </c>
      <c r="F555" t="inlineStr">
        <is>
          <t>VÄSTRA GÖTALANDS LÄN</t>
        </is>
      </c>
      <c r="G555" t="inlineStr">
        <is>
          <t>BORÅS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46290</v>
      </c>
      <c r="F556" t="inlineStr">
        <is>
          <t>VÄSTRA GÖTALANDS LÄN</t>
        </is>
      </c>
      <c r="G556" t="inlineStr">
        <is>
          <t>BORÅS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21671-2025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46290</v>
      </c>
      <c r="F557" t="inlineStr">
        <is>
          <t>VÄSTRA GÖTALANDS LÄN</t>
        </is>
      </c>
      <c r="G557" t="inlineStr">
        <is>
          <t>BORÅS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23504-2025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45792</v>
      </c>
      <c r="E558" s="1" t="n">
        <v>46290</v>
      </c>
      <c r="F558" t="inlineStr">
        <is>
          <t>VÄSTRA GÖTALANDS LÄN</t>
        </is>
      </c>
      <c r="G558" t="inlineStr">
        <is>
          <t>BORÅS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45475</v>
      </c>
      <c r="E559" s="1" t="n">
        <v>46290</v>
      </c>
      <c r="F559" t="inlineStr">
        <is>
          <t>VÄSTRA GÖTALANDS LÄN</t>
        </is>
      </c>
      <c r="G559" t="inlineStr">
        <is>
          <t>BORÅS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47358-2024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45587</v>
      </c>
      <c r="E560" s="1" t="n">
        <v>46290</v>
      </c>
      <c r="F560" t="inlineStr">
        <is>
          <t>VÄSTRA GÖTALANDS LÄN</t>
        </is>
      </c>
      <c r="G560" t="inlineStr">
        <is>
          <t>BORÅS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49004-2023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45209</v>
      </c>
      <c r="E561" s="1" t="n">
        <v>46290</v>
      </c>
      <c r="F561" t="inlineStr">
        <is>
          <t>VÄSTRA GÖTALANDS LÄN</t>
        </is>
      </c>
      <c r="G561" t="inlineStr">
        <is>
          <t>BORÅS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40322-2025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45895</v>
      </c>
      <c r="E562" s="1" t="n">
        <v>46290</v>
      </c>
      <c r="F562" t="inlineStr">
        <is>
          <t>VÄSTRA GÖTALANDS LÄN</t>
        </is>
      </c>
      <c r="G562" t="inlineStr">
        <is>
          <t>BORÅS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45721</v>
      </c>
      <c r="E563" s="1" t="n">
        <v>46290</v>
      </c>
      <c r="F563" t="inlineStr">
        <is>
          <t>VÄSTRA GÖTALANDS LÄN</t>
        </is>
      </c>
      <c r="G563" t="inlineStr">
        <is>
          <t>BORÅS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46290</v>
      </c>
      <c r="F564" t="inlineStr">
        <is>
          <t>VÄSTRA GÖTALANDS LÄN</t>
        </is>
      </c>
      <c r="G564" t="inlineStr">
        <is>
          <t>BORÅS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46290</v>
      </c>
      <c r="F565" t="inlineStr">
        <is>
          <t>VÄSTRA GÖTALANDS LÄN</t>
        </is>
      </c>
      <c r="G565" t="inlineStr">
        <is>
          <t>BORÅS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46290</v>
      </c>
      <c r="F566" t="inlineStr">
        <is>
          <t>VÄSTRA GÖTALANDS LÄN</t>
        </is>
      </c>
      <c r="G566" t="inlineStr">
        <is>
          <t>BORÅS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46287</v>
      </c>
      <c r="E567" s="1" t="n">
        <v>46290</v>
      </c>
      <c r="F567" t="inlineStr">
        <is>
          <t>VÄSTRA GÖTALANDS LÄN</t>
        </is>
      </c>
      <c r="G567" t="inlineStr">
        <is>
          <t>BORÅS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46290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46290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34984-2023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45142</v>
      </c>
      <c r="E570" s="1" t="n">
        <v>46290</v>
      </c>
      <c r="F570" t="inlineStr">
        <is>
          <t>VÄSTRA GÖTALANDS LÄN</t>
        </is>
      </c>
      <c r="G570" t="inlineStr">
        <is>
          <t>BORÅS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46290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46289</v>
      </c>
      <c r="E572" s="1" t="n">
        <v>46290</v>
      </c>
      <c r="F572" t="inlineStr">
        <is>
          <t>VÄSTRA GÖTALANDS LÄN</t>
        </is>
      </c>
      <c r="G572" t="inlineStr">
        <is>
          <t>BORÅS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46245</v>
      </c>
      <c r="E573" s="1" t="n">
        <v>46290</v>
      </c>
      <c r="F573" t="inlineStr">
        <is>
          <t>VÄSTRA GÖTALANDS LÄN</t>
        </is>
      </c>
      <c r="G573" t="inlineStr">
        <is>
          <t>BORÅS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46290</v>
      </c>
      <c r="F574" t="inlineStr">
        <is>
          <t>VÄSTRA GÖTALANDS LÄN</t>
        </is>
      </c>
      <c r="G574" t="inlineStr">
        <is>
          <t>BORÅS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46246</v>
      </c>
      <c r="E575" s="1" t="n">
        <v>46290</v>
      </c>
      <c r="F575" t="inlineStr">
        <is>
          <t>VÄSTRA GÖTALANDS LÄN</t>
        </is>
      </c>
      <c r="G575" t="inlineStr">
        <is>
          <t>BORÅS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46289</v>
      </c>
      <c r="E576" s="1" t="n">
        <v>46290</v>
      </c>
      <c r="F576" t="inlineStr">
        <is>
          <t>VÄSTRA GÖTALANDS LÄN</t>
        </is>
      </c>
      <c r="G576" t="inlineStr">
        <is>
          <t>BORÅS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45798</v>
      </c>
      <c r="E577" s="1" t="n">
        <v>46290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Kommuner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46290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25338-2025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46290</v>
      </c>
      <c r="F579" t="inlineStr">
        <is>
          <t>VÄSTRA GÖTALANDS LÄN</t>
        </is>
      </c>
      <c r="G579" t="inlineStr">
        <is>
          <t>BORÅS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46290</v>
      </c>
      <c r="F580" t="inlineStr">
        <is>
          <t>VÄSTRA GÖTALANDS LÄN</t>
        </is>
      </c>
      <c r="G580" t="inlineStr">
        <is>
          <t>BORÅS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45803</v>
      </c>
      <c r="E581" s="1" t="n">
        <v>46290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63437-2023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45274</v>
      </c>
      <c r="E582" s="1" t="n">
        <v>46290</v>
      </c>
      <c r="F582" t="inlineStr">
        <is>
          <t>VÄSTRA GÖTALANDS LÄN</t>
        </is>
      </c>
      <c r="G582" t="inlineStr">
        <is>
          <t>BORÅS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45812</v>
      </c>
      <c r="E583" s="1" t="n">
        <v>46290</v>
      </c>
      <c r="F583" t="inlineStr">
        <is>
          <t>VÄSTRA GÖTALANDS LÄN</t>
        </is>
      </c>
      <c r="G583" t="inlineStr">
        <is>
          <t>BORÅS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14777-2022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44656</v>
      </c>
      <c r="E584" s="1" t="n">
        <v>46290</v>
      </c>
      <c r="F584" t="inlineStr">
        <is>
          <t>VÄSTRA GÖTALANDS LÄN</t>
        </is>
      </c>
      <c r="G584" t="inlineStr">
        <is>
          <t>BORÅS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45812</v>
      </c>
      <c r="E585" s="1" t="n">
        <v>46290</v>
      </c>
      <c r="F585" t="inlineStr">
        <is>
          <t>VÄSTRA GÖTALANDS LÄN</t>
        </is>
      </c>
      <c r="G585" t="inlineStr">
        <is>
          <t>BORÅS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27274-2025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45812</v>
      </c>
      <c r="E586" s="1" t="n">
        <v>46290</v>
      </c>
      <c r="F586" t="inlineStr">
        <is>
          <t>VÄSTRA GÖTALANDS LÄN</t>
        </is>
      </c>
      <c r="G586" t="inlineStr">
        <is>
          <t>BORÅS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27370-2025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45812</v>
      </c>
      <c r="E587" s="1" t="n">
        <v>46290</v>
      </c>
      <c r="F587" t="inlineStr">
        <is>
          <t>VÄSTRA GÖTALANDS LÄN</t>
        </is>
      </c>
      <c r="G587" t="inlineStr">
        <is>
          <t>BORÅS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45582</v>
      </c>
      <c r="E588" s="1" t="n">
        <v>46290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28037-2025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46290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45817</v>
      </c>
      <c r="E590" s="1" t="n">
        <v>46290</v>
      </c>
      <c r="F590" t="inlineStr">
        <is>
          <t>VÄSTRA GÖTALANDS LÄN</t>
        </is>
      </c>
      <c r="G590" t="inlineStr">
        <is>
          <t>BORÅS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13436-2025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45735</v>
      </c>
      <c r="E591" s="1" t="n">
        <v>46290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46290</v>
      </c>
      <c r="F592" t="inlineStr">
        <is>
          <t>VÄSTRA GÖTALANDS LÄN</t>
        </is>
      </c>
      <c r="G592" t="inlineStr">
        <is>
          <t>BORÅS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29111-2025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46290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46290</v>
      </c>
      <c r="F594" t="inlineStr">
        <is>
          <t>VÄSTRA GÖTALANDS LÄN</t>
        </is>
      </c>
      <c r="G594" t="inlineStr">
        <is>
          <t>BORÅS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45472</v>
      </c>
      <c r="E595" s="1" t="n">
        <v>46290</v>
      </c>
      <c r="F595" t="inlineStr">
        <is>
          <t>VÄSTRA GÖTALANDS LÄN</t>
        </is>
      </c>
      <c r="G595" t="inlineStr">
        <is>
          <t>BORÅS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45823</v>
      </c>
      <c r="E596" s="1" t="n">
        <v>46290</v>
      </c>
      <c r="F596" t="inlineStr">
        <is>
          <t>VÄSTRA GÖTALANDS LÄN</t>
        </is>
      </c>
      <c r="G596" t="inlineStr">
        <is>
          <t>BORÅS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45727</v>
      </c>
      <c r="E597" s="1" t="n">
        <v>46290</v>
      </c>
      <c r="F597" t="inlineStr">
        <is>
          <t>VÄSTRA GÖTALANDS LÄN</t>
        </is>
      </c>
      <c r="G597" t="inlineStr">
        <is>
          <t>BORÅS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46290</v>
      </c>
      <c r="F598" t="inlineStr">
        <is>
          <t>VÄSTRA GÖTALANDS LÄN</t>
        </is>
      </c>
      <c r="G598" t="inlineStr">
        <is>
          <t>BORÅS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46290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46290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10291-2025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45720</v>
      </c>
      <c r="E601" s="1" t="n">
        <v>46290</v>
      </c>
      <c r="F601" t="inlineStr">
        <is>
          <t>VÄSTRA GÖTALANDS LÄN</t>
        </is>
      </c>
      <c r="G601" t="inlineStr">
        <is>
          <t>BORÅS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46290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30312-2025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45827</v>
      </c>
      <c r="E603" s="1" t="n">
        <v>46290</v>
      </c>
      <c r="F603" t="inlineStr">
        <is>
          <t>VÄSTRA GÖTALANDS LÄN</t>
        </is>
      </c>
      <c r="G603" t="inlineStr">
        <is>
          <t>BORÅS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46290</v>
      </c>
      <c r="F604" t="inlineStr">
        <is>
          <t>VÄSTRA GÖTALANDS LÄN</t>
        </is>
      </c>
      <c r="G604" t="inlineStr">
        <is>
          <t>BORÅS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46290</v>
      </c>
      <c r="F605" t="inlineStr">
        <is>
          <t>VÄSTRA GÖTALANDS LÄN</t>
        </is>
      </c>
      <c r="G605" t="inlineStr">
        <is>
          <t>BORÅS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45839</v>
      </c>
      <c r="E606" s="1" t="n">
        <v>46290</v>
      </c>
      <c r="F606" t="inlineStr">
        <is>
          <t>VÄSTRA GÖTALANDS LÄN</t>
        </is>
      </c>
      <c r="G606" t="inlineStr">
        <is>
          <t>BORÅS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46290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45836</v>
      </c>
      <c r="E608" s="1" t="n">
        <v>46290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45836</v>
      </c>
      <c r="E609" s="1" t="n">
        <v>46290</v>
      </c>
      <c r="F609" t="inlineStr">
        <is>
          <t>VÄSTRA GÖTALANDS LÄN</t>
        </is>
      </c>
      <c r="G609" t="inlineStr">
        <is>
          <t>BORÅS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33725-2025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46290</v>
      </c>
      <c r="F610" t="inlineStr">
        <is>
          <t>VÄSTRA GÖTALANDS LÄN</t>
        </is>
      </c>
      <c r="G610" t="inlineStr">
        <is>
          <t>BORÅS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13955-2024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46290</v>
      </c>
      <c r="F611" t="inlineStr">
        <is>
          <t>VÄSTRA GÖTALANDS LÄN</t>
        </is>
      </c>
      <c r="G611" t="inlineStr">
        <is>
          <t>BORÅS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34415-2025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45846</v>
      </c>
      <c r="E612" s="1" t="n">
        <v>46290</v>
      </c>
      <c r="F612" t="inlineStr">
        <is>
          <t>VÄSTRA GÖTALANDS LÄN</t>
        </is>
      </c>
      <c r="G612" t="inlineStr">
        <is>
          <t>BORÅS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46290</v>
      </c>
      <c r="F613" t="inlineStr">
        <is>
          <t>VÄSTRA GÖTALANDS LÄN</t>
        </is>
      </c>
      <c r="G613" t="inlineStr">
        <is>
          <t>BORÅS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46290</v>
      </c>
      <c r="F614" t="inlineStr">
        <is>
          <t>VÄSTRA GÖTALANDS LÄN</t>
        </is>
      </c>
      <c r="G614" t="inlineStr">
        <is>
          <t>BORÅS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45866</v>
      </c>
      <c r="E615" s="1" t="n">
        <v>46290</v>
      </c>
      <c r="F615" t="inlineStr">
        <is>
          <t>VÄSTRA GÖTALANDS LÄN</t>
        </is>
      </c>
      <c r="G615" t="inlineStr">
        <is>
          <t>BORÅS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46290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46290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46290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46290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46290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46290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46290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46290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46290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46290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1559-2022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44642</v>
      </c>
      <c r="E626" s="1" t="n">
        <v>46290</v>
      </c>
      <c r="F626" t="inlineStr">
        <is>
          <t>VÄSTRA GÖTALANDS LÄN</t>
        </is>
      </c>
      <c r="G626" t="inlineStr">
        <is>
          <t>BORÅS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46290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3027-2024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45513</v>
      </c>
      <c r="E628" s="1" t="n">
        <v>46290</v>
      </c>
      <c r="F628" t="inlineStr">
        <is>
          <t>VÄSTRA GÖTALANDS LÄN</t>
        </is>
      </c>
      <c r="G628" t="inlineStr">
        <is>
          <t>BORÅS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2814-2022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44706</v>
      </c>
      <c r="E629" s="1" t="n">
        <v>46290</v>
      </c>
      <c r="F629" t="inlineStr">
        <is>
          <t>VÄSTRA GÖTALANDS LÄN</t>
        </is>
      </c>
      <c r="G629" t="inlineStr">
        <is>
          <t>BORÅS</t>
        </is>
      </c>
      <c r="H629" t="inlineStr">
        <is>
          <t>Kyrkan</t>
        </is>
      </c>
      <c r="I629" t="n">
        <v>39.7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46290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46290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46290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46290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46290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46290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46290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46290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46290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46290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46290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46290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46290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46290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2026-09-25T02:03:00Z</dcterms:created>
  <dcterms:modified xmlns:dcterms="http://purl.org/dc/terms/" xmlns:xsi="http://www.w3.org/2001/XMLSchema-instance" xsi:type="dcterms:W3CDTF">2026-09-25T02:03:01Z</dcterms:modified>
</cp:coreProperties>
</file>