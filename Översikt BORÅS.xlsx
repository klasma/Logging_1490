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46298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46298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46298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46298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46298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46298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46298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46298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46298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46298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46298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46298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46298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51423-2024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45604</v>
      </c>
      <c r="E19" s="1" t="n">
        <v>46298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11</v>
      </c>
      <c r="U19" t="n">
        <v>9</v>
      </c>
      <c r="V19" s="2" t="inlineStr">
        <is>
          <t>Knärot
Huggorm
Nattviol</t>
        </is>
      </c>
      <c r="W19">
        <f>HYPERLINK("https://klasma.github.io/Logging_1490/artfynd/A 51423-2024 artfynd.xlsx", "A 51423-2024")</f>
        <v/>
      </c>
      <c r="X19">
        <f>HYPERLINK("https://klasma.github.io/Logging_1490/kartor/A 51423-2024 karta.png", "A 51423-2024")</f>
        <v/>
      </c>
      <c r="Y19">
        <f>HYPERLINK("https://klasma.github.io/Logging_1490/kartor_geotiff/A 51423-2024 georefererad karta.tif", "A 51423-2024")</f>
        <v/>
      </c>
      <c r="Z19">
        <f>HYPERLINK("https://klasma.github.io/Logging_1490/knärot/A 51423-2024 karta knärot.png", "A 51423-2024")</f>
        <v/>
      </c>
      <c r="AA19">
        <f>HYPERLINK("https://klasma.github.io/Logging_1490/klagomål/A 51423-2024 FSC-klagomål.docx", "A 51423-2024")</f>
        <v/>
      </c>
      <c r="AB19">
        <f>HYPERLINK("https://klasma.github.io/Logging_1490/klagomålsmail/A 51423-2024 FSC-klagomål mail.docx", "A 51423-2024")</f>
        <v/>
      </c>
      <c r="AC19">
        <f>HYPERLINK("https://klasma.github.io/Logging_1490/tillsyn/A 51423-2024 tillsynsbegäran.docx", "A 51423-2024")</f>
        <v/>
      </c>
      <c r="AD19">
        <f>HYPERLINK("https://klasma.github.io/Logging_1490/tillsynsmail/A 51423-2024 tillsynsbegäran mail.docx", "A 51423-2024")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46298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46298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46298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46298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46298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46298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46298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46298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46298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46298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46298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46298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46298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46298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46298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46298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46298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46298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46298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46298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46298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Tofsmes</t>
        </is>
      </c>
      <c r="W40">
        <f>HYPERLINK("https://klasma.github.io/Logging_1490/artfynd/A 12385-2024 artfynd.xlsx", "A 12385-2024")</f>
        <v/>
      </c>
      <c r="X40">
        <f>HYPERLINK("https://klasma.github.io/Logging_1490/kartor/A 12385-2024 karta.png", "A 12385-2024")</f>
        <v/>
      </c>
      <c r="Y40">
        <f>HYPERLINK("https://klasma.github.io/Logging_1490/kartor_geotiff/A 12385-2024 georefererad karta.tif", "A 12385-2024")</f>
        <v/>
      </c>
      <c r="AA40">
        <f>HYPERLINK("https://klasma.github.io/Logging_1490/klagomål/A 12385-2024 FSC-klagomål.docx", "A 12385-2024")</f>
        <v/>
      </c>
      <c r="AB40">
        <f>HYPERLINK("https://klasma.github.io/Logging_1490/klagomålsmail/A 12385-2024 FSC-klagomål mail.docx", "A 12385-2024")</f>
        <v/>
      </c>
      <c r="AC40">
        <f>HYPERLINK("https://klasma.github.io/Logging_1490/tillsyn/A 12385-2024 tillsynsbegäran.docx", "A 12385-2024")</f>
        <v/>
      </c>
      <c r="AD40">
        <f>HYPERLINK("https://klasma.github.io/Logging_1490/tillsynsmail/A 12385-2024 tillsynsbegäran mail.docx", "A 12385-2024")</f>
        <v/>
      </c>
      <c r="AE40">
        <f>HYPERLINK("https://klasma.github.io/Logging_1490/fåglar/A 12385-2024 prioriterade fågelarter.docx", "A 12385-2024")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46298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46298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46298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46298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46298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46298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46298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46298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46298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46298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46298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46298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46298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62645-2025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46298</v>
      </c>
      <c r="F54" t="inlineStr">
        <is>
          <t>VÄSTRA GÖTALANDS LÄN</t>
        </is>
      </c>
      <c r="G54" t="inlineStr">
        <is>
          <t>BORÅS</t>
        </is>
      </c>
      <c r="I54" t="n">
        <v>0.5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Mindre hackspett</t>
        </is>
      </c>
      <c r="W54">
        <f>HYPERLINK("https://klasma.github.io/Logging_1490/artfynd/A 62645-2025 artfynd.xlsx", "A 62645-2025")</f>
        <v/>
      </c>
      <c r="X54">
        <f>HYPERLINK("https://klasma.github.io/Logging_1490/kartor/A 62645-2025 karta.png", "A 62645-2025")</f>
        <v/>
      </c>
      <c r="Y54">
        <f>HYPERLINK("https://klasma.github.io/Logging_1490/kartor_geotiff/A 62645-2025 georefererad karta.tif", "A 62645-2025")</f>
        <v/>
      </c>
      <c r="AA54">
        <f>HYPERLINK("https://klasma.github.io/Logging_1490/klagomål/A 62645-2025 FSC-klagomål.docx", "A 62645-2025")</f>
        <v/>
      </c>
      <c r="AB54">
        <f>HYPERLINK("https://klasma.github.io/Logging_1490/klagomålsmail/A 62645-2025 FSC-klagomål mail.docx", "A 62645-2025")</f>
        <v/>
      </c>
      <c r="AC54">
        <f>HYPERLINK("https://klasma.github.io/Logging_1490/tillsyn/A 62645-2025 tillsynsbegäran.docx", "A 62645-2025")</f>
        <v/>
      </c>
      <c r="AD54">
        <f>HYPERLINK("https://klasma.github.io/Logging_1490/tillsynsmail/A 62645-2025 tillsynsbegäran mail.docx", "A 62645-2025")</f>
        <v/>
      </c>
      <c r="AE54">
        <f>HYPERLINK("https://klasma.github.io/Logging_1490/fåglar/A 62645-2025 prioriterade fågelarter.docx", "A 62645-2025")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46298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23756-2025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46298</v>
      </c>
      <c r="F56" t="inlineStr">
        <is>
          <t>VÄSTRA GÖTALANDS LÄN</t>
        </is>
      </c>
      <c r="G56" t="inlineStr">
        <is>
          <t>BORÅS</t>
        </is>
      </c>
      <c r="I56" t="n">
        <v>1.9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23756-2025 artfynd.xlsx", "A 23756-2025")</f>
        <v/>
      </c>
      <c r="X56">
        <f>HYPERLINK("https://klasma.github.io/Logging_1490/kartor/A 23756-2025 karta.png", "A 23756-2025")</f>
        <v/>
      </c>
      <c r="Y56">
        <f>HYPERLINK("https://klasma.github.io/Logging_1490/kartor_geotiff/A 23756-2025 georefererad karta.tif", "A 23756-2025")</f>
        <v/>
      </c>
      <c r="AA56">
        <f>HYPERLINK("https://klasma.github.io/Logging_1490/klagomål/A 23756-2025 FSC-klagomål.docx", "A 23756-2025")</f>
        <v/>
      </c>
      <c r="AB56">
        <f>HYPERLINK("https://klasma.github.io/Logging_1490/klagomålsmail/A 23756-2025 FSC-klagomål mail.docx", "A 23756-2025")</f>
        <v/>
      </c>
      <c r="AC56">
        <f>HYPERLINK("https://klasma.github.io/Logging_1490/tillsyn/A 23756-2025 tillsynsbegäran.docx", "A 23756-2025")</f>
        <v/>
      </c>
      <c r="AD56">
        <f>HYPERLINK("https://klasma.github.io/Logging_1490/tillsynsmail/A 23756-2025 tillsynsbegäran mail.docx", "A 23756-2025")</f>
        <v/>
      </c>
      <c r="AE56">
        <f>HYPERLINK("https://klasma.github.io/Logging_1490/fåglar/A 23756-2025 prioriterade fågelarter.docx", "A 23756-2025")</f>
        <v/>
      </c>
    </row>
    <row r="57" ht="15" customHeight="1">
      <c r="A57" t="inlineStr">
        <is>
          <t>A 23755-2025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46298</v>
      </c>
      <c r="F57" t="inlineStr">
        <is>
          <t>VÄSTRA GÖTALANDS LÄN</t>
        </is>
      </c>
      <c r="G57" t="inlineStr">
        <is>
          <t>BORÅS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groda</t>
        </is>
      </c>
      <c r="W57">
        <f>HYPERLINK("https://klasma.github.io/Logging_1490/artfynd/A 23755-2025 artfynd.xlsx", "A 23755-2025")</f>
        <v/>
      </c>
      <c r="X57">
        <f>HYPERLINK("https://klasma.github.io/Logging_1490/kartor/A 23755-2025 karta.png", "A 23755-2025")</f>
        <v/>
      </c>
      <c r="Y57">
        <f>HYPERLINK("https://klasma.github.io/Logging_1490/kartor_geotiff/A 23755-2025 georefererad karta.tif", "A 23755-2025")</f>
        <v/>
      </c>
      <c r="AA57">
        <f>HYPERLINK("https://klasma.github.io/Logging_1490/klagomål/A 23755-2025 FSC-klagomål.docx", "A 23755-2025")</f>
        <v/>
      </c>
      <c r="AB57">
        <f>HYPERLINK("https://klasma.github.io/Logging_1490/klagomålsmail/A 23755-2025 FSC-klagomål mail.docx", "A 23755-2025")</f>
        <v/>
      </c>
      <c r="AC57">
        <f>HYPERLINK("https://klasma.github.io/Logging_1490/tillsyn/A 23755-2025 tillsynsbegäran.docx", "A 23755-2025")</f>
        <v/>
      </c>
      <c r="AD57">
        <f>HYPERLINK("https://klasma.github.io/Logging_1490/tillsynsmail/A 23755-2025 tillsynsbegäran mail.docx", "A 23755-2025")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46298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1922-2025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46298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Kyrkan</t>
        </is>
      </c>
      <c r="I59" t="n">
        <v>5.9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Kungsfågel</t>
        </is>
      </c>
      <c r="W59">
        <f>HYPERLINK("https://klasma.github.io/Logging_1490/artfynd/A 1922-2025 artfynd.xlsx", "A 1922-2025")</f>
        <v/>
      </c>
      <c r="X59">
        <f>HYPERLINK("https://klasma.github.io/Logging_1490/kartor/A 1922-2025 karta.png", "A 1922-2025")</f>
        <v/>
      </c>
      <c r="Y59">
        <f>HYPERLINK("https://klasma.github.io/Logging_1490/kartor_geotiff/A 1922-2025 georefererad karta.tif", "A 1922-2025")</f>
        <v/>
      </c>
      <c r="AA59">
        <f>HYPERLINK("https://klasma.github.io/Logging_1490/klagomål/A 1922-2025 FSC-klagomål.docx", "A 1922-2025")</f>
        <v/>
      </c>
      <c r="AB59">
        <f>HYPERLINK("https://klasma.github.io/Logging_1490/klagomålsmail/A 1922-2025 FSC-klagomål mail.docx", "A 1922-2025")</f>
        <v/>
      </c>
      <c r="AC59">
        <f>HYPERLINK("https://klasma.github.io/Logging_1490/tillsyn/A 1922-2025 tillsynsbegäran.docx", "A 1922-2025")</f>
        <v/>
      </c>
      <c r="AD59">
        <f>HYPERLINK("https://klasma.github.io/Logging_1490/tillsynsmail/A 1922-2025 tillsynsbegäran mail.docx", "A 1922-2025")</f>
        <v/>
      </c>
    </row>
    <row r="60" ht="15" customHeight="1">
      <c r="A60" t="inlineStr">
        <is>
          <t>A 29911-2025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46298</v>
      </c>
      <c r="F60" t="inlineStr">
        <is>
          <t>VÄSTRA GÖTALANDS LÄN</t>
        </is>
      </c>
      <c r="G60" t="inlineStr">
        <is>
          <t>BORÅS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Lönnlav</t>
        </is>
      </c>
      <c r="W60">
        <f>HYPERLINK("https://klasma.github.io/Logging_1490/artfynd/A 29911-2025 artfynd.xlsx", "A 29911-2025")</f>
        <v/>
      </c>
      <c r="X60">
        <f>HYPERLINK("https://klasma.github.io/Logging_1490/kartor/A 29911-2025 karta.png", "A 29911-2025")</f>
        <v/>
      </c>
      <c r="Y60">
        <f>HYPERLINK("https://klasma.github.io/Logging_1490/kartor_geotiff/A 29911-2025 georefererad karta.tif", "A 29911-2025")</f>
        <v/>
      </c>
      <c r="AA60">
        <f>HYPERLINK("https://klasma.github.io/Logging_1490/klagomål/A 29911-2025 FSC-klagomål.docx", "A 29911-2025")</f>
        <v/>
      </c>
      <c r="AB60">
        <f>HYPERLINK("https://klasma.github.io/Logging_1490/klagomålsmail/A 29911-2025 FSC-klagomål mail.docx", "A 29911-2025")</f>
        <v/>
      </c>
      <c r="AC60">
        <f>HYPERLINK("https://klasma.github.io/Logging_1490/tillsyn/A 29911-2025 tillsynsbegäran.docx", "A 29911-2025")</f>
        <v/>
      </c>
      <c r="AD60">
        <f>HYPERLINK("https://klasma.github.io/Logging_1490/tillsynsmail/A 29911-2025 tillsynsbegäran mail.docx", "A 29911-2025")</f>
        <v/>
      </c>
    </row>
    <row r="61" ht="15" customHeight="1">
      <c r="A61" t="inlineStr">
        <is>
          <t>A 57175-2023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45240</v>
      </c>
      <c r="E61" s="1" t="n">
        <v>46298</v>
      </c>
      <c r="F61" t="inlineStr">
        <is>
          <t>VÄSTRA GÖTALANDS LÄN</t>
        </is>
      </c>
      <c r="G61" t="inlineStr">
        <is>
          <t>BORÅS</t>
        </is>
      </c>
      <c r="I61" t="n">
        <v>1.7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Läderlappslav</t>
        </is>
      </c>
      <c r="W61">
        <f>HYPERLINK("https://klasma.github.io/Logging_1490/artfynd/A 57175-2023 artfynd.xlsx", "A 57175-2023")</f>
        <v/>
      </c>
      <c r="X61">
        <f>HYPERLINK("https://klasma.github.io/Logging_1490/kartor/A 57175-2023 karta.png", "A 57175-2023")</f>
        <v/>
      </c>
      <c r="Y61">
        <f>HYPERLINK("https://klasma.github.io/Logging_1490/kartor_geotiff/A 57175-2023 georefererad karta.tif", "A 57175-2023")</f>
        <v/>
      </c>
      <c r="AA61">
        <f>HYPERLINK("https://klasma.github.io/Logging_1490/klagomål/A 57175-2023 FSC-klagomål.docx", "A 57175-2023")</f>
        <v/>
      </c>
      <c r="AB61">
        <f>HYPERLINK("https://klasma.github.io/Logging_1490/klagomålsmail/A 57175-2023 FSC-klagomål mail.docx", "A 57175-2023")</f>
        <v/>
      </c>
      <c r="AC61">
        <f>HYPERLINK("https://klasma.github.io/Logging_1490/tillsyn/A 57175-2023 tillsynsbegäran.docx", "A 57175-2023")</f>
        <v/>
      </c>
      <c r="AD61">
        <f>HYPERLINK("https://klasma.github.io/Logging_1490/tillsynsmail/A 57175-2023 tillsynsbegäran mail.docx", "A 57175-2023")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46298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3760-2024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46298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6.8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Kråka</t>
        </is>
      </c>
      <c r="W63">
        <f>HYPERLINK("https://klasma.github.io/Logging_1490/artfynd/A 3760-2024 artfynd.xlsx", "A 3760-2024")</f>
        <v/>
      </c>
      <c r="X63">
        <f>HYPERLINK("https://klasma.github.io/Logging_1490/kartor/A 3760-2024 karta.png", "A 3760-2024")</f>
        <v/>
      </c>
      <c r="Y63">
        <f>HYPERLINK("https://klasma.github.io/Logging_1490/kartor_geotiff/A 3760-2024 georefererad karta.tif", "A 3760-2024")</f>
        <v/>
      </c>
      <c r="AA63">
        <f>HYPERLINK("https://klasma.github.io/Logging_1490/klagomål/A 3760-2024 FSC-klagomål.docx", "A 3760-2024")</f>
        <v/>
      </c>
      <c r="AB63">
        <f>HYPERLINK("https://klasma.github.io/Logging_1490/klagomålsmail/A 3760-2024 FSC-klagomål mail.docx", "A 3760-2024")</f>
        <v/>
      </c>
      <c r="AC63">
        <f>HYPERLINK("https://klasma.github.io/Logging_1490/tillsyn/A 3760-2024 tillsynsbegäran.docx", "A 3760-2024")</f>
        <v/>
      </c>
      <c r="AD63">
        <f>HYPERLINK("https://klasma.github.io/Logging_1490/tillsynsmail/A 3760-2024 tillsynsbegäran mail.docx", "A 3760-2024")</f>
        <v/>
      </c>
    </row>
    <row r="64" ht="15" customHeight="1">
      <c r="A64" t="inlineStr">
        <is>
          <t>A 61684-2023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46298</v>
      </c>
      <c r="F64" t="inlineStr">
        <is>
          <t>VÄSTRA GÖTALANDS LÄN</t>
        </is>
      </c>
      <c r="G64" t="inlineStr">
        <is>
          <t>BORÅS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Fällmossa</t>
        </is>
      </c>
      <c r="W64">
        <f>HYPERLINK("https://klasma.github.io/Logging_1490/artfynd/A 61684-2023 artfynd.xlsx", "A 61684-2023")</f>
        <v/>
      </c>
      <c r="X64">
        <f>HYPERLINK("https://klasma.github.io/Logging_1490/kartor/A 61684-2023 karta.png", "A 61684-2023")</f>
        <v/>
      </c>
      <c r="Y64">
        <f>HYPERLINK("https://klasma.github.io/Logging_1490/kartor_geotiff/A 61684-2023 georefererad karta.tif", "A 61684-2023")</f>
        <v/>
      </c>
      <c r="AA64">
        <f>HYPERLINK("https://klasma.github.io/Logging_1490/klagomål/A 61684-2023 FSC-klagomål.docx", "A 61684-2023")</f>
        <v/>
      </c>
      <c r="AB64">
        <f>HYPERLINK("https://klasma.github.io/Logging_1490/klagomålsmail/A 61684-2023 FSC-klagomål mail.docx", "A 61684-2023")</f>
        <v/>
      </c>
      <c r="AC64">
        <f>HYPERLINK("https://klasma.github.io/Logging_1490/tillsyn/A 61684-2023 tillsynsbegäran.docx", "A 61684-2023")</f>
        <v/>
      </c>
      <c r="AD64">
        <f>HYPERLINK("https://klasma.github.io/Logging_1490/tillsynsmail/A 61684-2023 tillsynsbegäran mail.docx", "A 61684-2023")</f>
        <v/>
      </c>
    </row>
    <row r="65" ht="15" customHeight="1">
      <c r="A65" t="inlineStr">
        <is>
          <t>A 27342-2022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46298</v>
      </c>
      <c r="F65" t="inlineStr">
        <is>
          <t>VÄSTRA GÖTALANDS LÄN</t>
        </is>
      </c>
      <c r="G65" t="inlineStr">
        <is>
          <t>BORÅS</t>
        </is>
      </c>
      <c r="I65" t="n">
        <v>2.3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Järnsparv</t>
        </is>
      </c>
      <c r="W65">
        <f>HYPERLINK("https://klasma.github.io/Logging_1490/artfynd/A 27342-2022 artfynd.xlsx", "A 27342-2022")</f>
        <v/>
      </c>
      <c r="X65">
        <f>HYPERLINK("https://klasma.github.io/Logging_1490/kartor/A 27342-2022 karta.png", "A 27342-2022")</f>
        <v/>
      </c>
      <c r="Y65">
        <f>HYPERLINK("https://klasma.github.io/Logging_1490/kartor_geotiff/A 27342-2022 georefererad karta.tif", "A 27342-2022")</f>
        <v/>
      </c>
      <c r="AA65">
        <f>HYPERLINK("https://klasma.github.io/Logging_1490/klagomål/A 27342-2022 FSC-klagomål.docx", "A 27342-2022")</f>
        <v/>
      </c>
      <c r="AB65">
        <f>HYPERLINK("https://klasma.github.io/Logging_1490/klagomålsmail/A 27342-2022 FSC-klagomål mail.docx", "A 27342-2022")</f>
        <v/>
      </c>
      <c r="AC65">
        <f>HYPERLINK("https://klasma.github.io/Logging_1490/tillsyn/A 27342-2022 tillsynsbegäran.docx", "A 27342-2022")</f>
        <v/>
      </c>
      <c r="AD65">
        <f>HYPERLINK("https://klasma.github.io/Logging_1490/tillsynsmail/A 27342-2022 tillsynsbegäran mail.docx", "A 27342-2022")</f>
        <v/>
      </c>
      <c r="AE65">
        <f>HYPERLINK("https://klasma.github.io/Logging_1490/fåglar/A 27342-2022 prioriterade fågelarter.docx", "A 27342-2022")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46298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29499-2026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46298</v>
      </c>
      <c r="F67" t="inlineStr">
        <is>
          <t>VÄSTRA GÖTALANDS LÄN</t>
        </is>
      </c>
      <c r="G67" t="inlineStr">
        <is>
          <t>BORÅS</t>
        </is>
      </c>
      <c r="I67" t="n">
        <v>7.4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Blåmossa</t>
        </is>
      </c>
      <c r="W67">
        <f>HYPERLINK("https://klasma.github.io/Logging_1490/artfynd/A 29499-2026 artfynd.xlsx", "A 29499-2026")</f>
        <v/>
      </c>
      <c r="X67">
        <f>HYPERLINK("https://klasma.github.io/Logging_1490/kartor/A 29499-2026 karta.png", "A 29499-2026")</f>
        <v/>
      </c>
      <c r="Y67">
        <f>HYPERLINK("https://klasma.github.io/Logging_1490/kartor_geotiff/A 29499-2026 georefererad karta.tif", "A 29499-2026")</f>
        <v/>
      </c>
      <c r="AA67">
        <f>HYPERLINK("https://klasma.github.io/Logging_1490/klagomål/A 29499-2026 FSC-klagomål.docx", "A 29499-2026")</f>
        <v/>
      </c>
      <c r="AB67">
        <f>HYPERLINK("https://klasma.github.io/Logging_1490/klagomålsmail/A 29499-2026 FSC-klagomål mail.docx", "A 29499-2026")</f>
        <v/>
      </c>
      <c r="AC67">
        <f>HYPERLINK("https://klasma.github.io/Logging_1490/tillsyn/A 29499-2026 tillsynsbegäran.docx", "A 29499-2026")</f>
        <v/>
      </c>
      <c r="AD67">
        <f>HYPERLINK("https://klasma.github.io/Logging_1490/tillsynsmail/A 29499-2026 tillsynsbegäran mail.docx", "A 29499-2026")</f>
        <v/>
      </c>
    </row>
    <row r="68" ht="15" customHeight="1">
      <c r="A68" t="inlineStr">
        <is>
          <t>A 19911-2023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46298</v>
      </c>
      <c r="F68" t="inlineStr">
        <is>
          <t>VÄSTRA GÖTALANDS LÄN</t>
        </is>
      </c>
      <c r="G68" t="inlineStr">
        <is>
          <t>BORÅS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Vanlig padda</t>
        </is>
      </c>
      <c r="W68">
        <f>HYPERLINK("https://klasma.github.io/Logging_1490/artfynd/A 19911-2023 artfynd.xlsx", "A 19911-2023")</f>
        <v/>
      </c>
      <c r="X68">
        <f>HYPERLINK("https://klasma.github.io/Logging_1490/kartor/A 19911-2023 karta.png", "A 19911-2023")</f>
        <v/>
      </c>
      <c r="Y68">
        <f>HYPERLINK("https://klasma.github.io/Logging_1490/kartor_geotiff/A 19911-2023 georefererad karta.tif", "A 19911-2023")</f>
        <v/>
      </c>
      <c r="AA68">
        <f>HYPERLINK("https://klasma.github.io/Logging_1490/klagomål/A 19911-2023 FSC-klagomål.docx", "A 19911-2023")</f>
        <v/>
      </c>
      <c r="AB68">
        <f>HYPERLINK("https://klasma.github.io/Logging_1490/klagomålsmail/A 19911-2023 FSC-klagomål mail.docx", "A 19911-2023")</f>
        <v/>
      </c>
      <c r="AC68">
        <f>HYPERLINK("https://klasma.github.io/Logging_1490/tillsyn/A 19911-2023 tillsynsbegäran.docx", "A 19911-2023")</f>
        <v/>
      </c>
      <c r="AD68">
        <f>HYPERLINK("https://klasma.github.io/Logging_1490/tillsynsmail/A 19911-2023 tillsynsbegäran mail.docx", "A 19911-2023")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46298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3719-2024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46298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Hasselmus</t>
        </is>
      </c>
      <c r="W70">
        <f>HYPERLINK("https://klasma.github.io/Logging_1490/artfynd/A 3719-2024 artfynd.xlsx", "A 3719-2024")</f>
        <v/>
      </c>
      <c r="X70">
        <f>HYPERLINK("https://klasma.github.io/Logging_1490/kartor/A 3719-2024 karta.png", "A 3719-2024")</f>
        <v/>
      </c>
      <c r="Y70">
        <f>HYPERLINK("https://klasma.github.io/Logging_1490/kartor_geotiff/A 3719-2024 georefererad karta.tif", "A 3719-2024")</f>
        <v/>
      </c>
      <c r="AA70">
        <f>HYPERLINK("https://klasma.github.io/Logging_1490/klagomål/A 3719-2024 FSC-klagomål.docx", "A 3719-2024")</f>
        <v/>
      </c>
      <c r="AB70">
        <f>HYPERLINK("https://klasma.github.io/Logging_1490/klagomålsmail/A 3719-2024 FSC-klagomål mail.docx", "A 3719-2024")</f>
        <v/>
      </c>
      <c r="AC70">
        <f>HYPERLINK("https://klasma.github.io/Logging_1490/tillsyn/A 3719-2024 tillsynsbegäran.docx", "A 3719-2024")</f>
        <v/>
      </c>
      <c r="AD70">
        <f>HYPERLINK("https://klasma.github.io/Logging_1490/tillsynsmail/A 3719-2024 tillsynsbegäran mail.docx", "A 3719-2024")</f>
        <v/>
      </c>
    </row>
    <row r="71" ht="15" customHeight="1">
      <c r="A71" t="inlineStr">
        <is>
          <t>A 53533-2022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44879</v>
      </c>
      <c r="E71" s="1" t="n">
        <v>46298</v>
      </c>
      <c r="F71" t="inlineStr">
        <is>
          <t>VÄSTRA GÖTALANDS LÄN</t>
        </is>
      </c>
      <c r="G71" t="inlineStr">
        <is>
          <t>BORÅS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HYPERLINK("https://klasma.github.io/Logging_1490/artfynd/A 53533-2022 artfynd.xlsx", "A 53533-2022")</f>
        <v/>
      </c>
      <c r="X71">
        <f>HYPERLINK("https://klasma.github.io/Logging_1490/kartor/A 53533-2022 karta.png", "A 53533-2022")</f>
        <v/>
      </c>
      <c r="Y71">
        <f>HYPERLINK("https://klasma.github.io/Logging_1490/kartor_geotiff/A 53533-2022 georefererad karta.tif", "A 53533-2022")</f>
        <v/>
      </c>
      <c r="AA71">
        <f>HYPERLINK("https://klasma.github.io/Logging_1490/klagomål/A 53533-2022 FSC-klagomål.docx", "A 53533-2022")</f>
        <v/>
      </c>
      <c r="AB71">
        <f>HYPERLINK("https://klasma.github.io/Logging_1490/klagomålsmail/A 53533-2022 FSC-klagomål mail.docx", "A 53533-2022")</f>
        <v/>
      </c>
      <c r="AC71">
        <f>HYPERLINK("https://klasma.github.io/Logging_1490/tillsyn/A 53533-2022 tillsynsbegäran.docx", "A 53533-2022")</f>
        <v/>
      </c>
      <c r="AD71">
        <f>HYPERLINK("https://klasma.github.io/Logging_1490/tillsynsmail/A 53533-2022 tillsynsbegäran mail.docx", "A 53533-2022")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46298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38108-2026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46280</v>
      </c>
      <c r="E73" s="1" t="n">
        <v>46298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Gropticka</t>
        </is>
      </c>
      <c r="W73">
        <f>HYPERLINK("https://klasma.github.io/Logging_1490/artfynd/A 38108-2026 artfynd.xlsx", "A 38108-2026")</f>
        <v/>
      </c>
      <c r="X73">
        <f>HYPERLINK("https://klasma.github.io/Logging_1490/kartor/A 38108-2026 karta.png", "A 38108-2026")</f>
        <v/>
      </c>
      <c r="Y73">
        <f>HYPERLINK("https://klasma.github.io/Logging_1490/kartor_geotiff/A 38108-2026 georefererad karta.tif", "A 38108-2026")</f>
        <v/>
      </c>
      <c r="AA73">
        <f>HYPERLINK("https://klasma.github.io/Logging_1490/klagomål/A 38108-2026 FSC-klagomål.docx", "A 38108-2026")</f>
        <v/>
      </c>
      <c r="AB73">
        <f>HYPERLINK("https://klasma.github.io/Logging_1490/klagomålsmail/A 38108-2026 FSC-klagomål mail.docx", "A 38108-2026")</f>
        <v/>
      </c>
      <c r="AC73">
        <f>HYPERLINK("https://klasma.github.io/Logging_1490/tillsyn/A 38108-2026 tillsynsbegäran.docx", "A 38108-2026")</f>
        <v/>
      </c>
      <c r="AD73">
        <f>HYPERLINK("https://klasma.github.io/Logging_1490/tillsynsmail/A 38108-2026 tillsynsbegäran mail.docx", "A 38108-2026")</f>
        <v/>
      </c>
    </row>
    <row r="74" ht="15" customHeight="1">
      <c r="A74" t="inlineStr">
        <is>
          <t>A 3772-2024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46298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HYPERLINK("https://klasma.github.io/Logging_1490/artfynd/A 3772-2024 artfynd.xlsx", "A 3772-2024")</f>
        <v/>
      </c>
      <c r="X74">
        <f>HYPERLINK("https://klasma.github.io/Logging_1490/kartor/A 3772-2024 karta.png", "A 3772-2024")</f>
        <v/>
      </c>
      <c r="Y74">
        <f>HYPERLINK("https://klasma.github.io/Logging_1490/kartor_geotiff/A 3772-2024 georefererad karta.tif", "A 3772-2024")</f>
        <v/>
      </c>
      <c r="AA74">
        <f>HYPERLINK("https://klasma.github.io/Logging_1490/klagomål/A 3772-2024 FSC-klagomål.docx", "A 3772-2024")</f>
        <v/>
      </c>
      <c r="AB74">
        <f>HYPERLINK("https://klasma.github.io/Logging_1490/klagomålsmail/A 3772-2024 FSC-klagomål mail.docx", "A 3772-2024")</f>
        <v/>
      </c>
      <c r="AC74">
        <f>HYPERLINK("https://klasma.github.io/Logging_1490/tillsyn/A 3772-2024 tillsynsbegäran.docx", "A 3772-2024")</f>
        <v/>
      </c>
      <c r="AD74">
        <f>HYPERLINK("https://klasma.github.io/Logging_1490/tillsynsmail/A 3772-2024 tillsynsbegäran mail.docx", "A 3772-2024")</f>
        <v/>
      </c>
    </row>
    <row r="75" ht="15" customHeight="1">
      <c r="A75" t="inlineStr">
        <is>
          <t>A 60816-2023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46298</v>
      </c>
      <c r="F75" t="inlineStr">
        <is>
          <t>VÄSTRA GÖTALANDS LÄN</t>
        </is>
      </c>
      <c r="G75" t="inlineStr">
        <is>
          <t>BORÅS</t>
        </is>
      </c>
      <c r="I75" t="n">
        <v>3.8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HYPERLINK("https://klasma.github.io/Logging_1490/artfynd/A 60816-2023 artfynd.xlsx", "A 60816-2023")</f>
        <v/>
      </c>
      <c r="X75">
        <f>HYPERLINK("https://klasma.github.io/Logging_1490/kartor/A 60816-2023 karta.png", "A 60816-2023")</f>
        <v/>
      </c>
      <c r="Y75">
        <f>HYPERLINK("https://klasma.github.io/Logging_1490/kartor_geotiff/A 60816-2023 georefererad karta.tif", "A 60816-2023")</f>
        <v/>
      </c>
      <c r="AA75">
        <f>HYPERLINK("https://klasma.github.io/Logging_1490/klagomål/A 60816-2023 FSC-klagomål.docx", "A 60816-2023")</f>
        <v/>
      </c>
      <c r="AB75">
        <f>HYPERLINK("https://klasma.github.io/Logging_1490/klagomålsmail/A 60816-2023 FSC-klagomål mail.docx", "A 60816-2023")</f>
        <v/>
      </c>
      <c r="AC75">
        <f>HYPERLINK("https://klasma.github.io/Logging_1490/tillsyn/A 60816-2023 tillsynsbegäran.docx", "A 60816-2023")</f>
        <v/>
      </c>
      <c r="AD75">
        <f>HYPERLINK("https://klasma.github.io/Logging_1490/tillsynsmail/A 60816-2023 tillsynsbegäran mail.docx", "A 60816-2023")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46298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46298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46298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46298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46298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46298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46298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46298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44631</v>
      </c>
      <c r="E84" s="1" t="n">
        <v>46298</v>
      </c>
      <c r="F84" t="inlineStr">
        <is>
          <t>VÄSTRA GÖTALANDS LÄN</t>
        </is>
      </c>
      <c r="G84" t="inlineStr">
        <is>
          <t>BORÅS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46298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46298</v>
      </c>
      <c r="F86" t="inlineStr">
        <is>
          <t>VÄSTRA GÖTALANDS LÄN</t>
        </is>
      </c>
      <c r="G86" t="inlineStr">
        <is>
          <t>BORÅS</t>
        </is>
      </c>
      <c r="H86" t="inlineStr">
        <is>
          <t>Kyrkan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72137-2021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46298</v>
      </c>
      <c r="F87" t="inlineStr">
        <is>
          <t>VÄSTRA GÖTALANDS LÄN</t>
        </is>
      </c>
      <c r="G87" t="inlineStr">
        <is>
          <t>BORÅS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46298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46298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46298</v>
      </c>
      <c r="F90" t="inlineStr">
        <is>
          <t>VÄSTRA GÖTALANDS LÄN</t>
        </is>
      </c>
      <c r="G90" t="inlineStr">
        <is>
          <t>BORÅS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46298</v>
      </c>
      <c r="F91" t="inlineStr">
        <is>
          <t>VÄSTRA GÖTALANDS LÄN</t>
        </is>
      </c>
      <c r="G91" t="inlineStr">
        <is>
          <t>BORÅS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71031-2021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44538</v>
      </c>
      <c r="E92" s="1" t="n">
        <v>46298</v>
      </c>
      <c r="F92" t="inlineStr">
        <is>
          <t>VÄSTRA GÖTALANDS LÄN</t>
        </is>
      </c>
      <c r="G92" t="inlineStr">
        <is>
          <t>BORÅS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46298</v>
      </c>
      <c r="F93" t="inlineStr">
        <is>
          <t>VÄSTRA GÖTALANDS LÄN</t>
        </is>
      </c>
      <c r="G93" t="inlineStr">
        <is>
          <t>BORÅS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46298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46298</v>
      </c>
      <c r="F95" t="inlineStr">
        <is>
          <t>VÄSTRA GÖTALANDS LÄN</t>
        </is>
      </c>
      <c r="G95" t="inlineStr">
        <is>
          <t>BORÅS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44873</v>
      </c>
      <c r="E96" s="1" t="n">
        <v>46298</v>
      </c>
      <c r="F96" t="inlineStr">
        <is>
          <t>VÄSTRA GÖTALANDS LÄN</t>
        </is>
      </c>
      <c r="G96" t="inlineStr">
        <is>
          <t>BORÅS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46298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46298</v>
      </c>
      <c r="F98" t="inlineStr">
        <is>
          <t>VÄSTRA GÖTALANDS LÄN</t>
        </is>
      </c>
      <c r="G98" t="inlineStr">
        <is>
          <t>BORÅS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46298</v>
      </c>
      <c r="F99" t="inlineStr">
        <is>
          <t>VÄSTRA GÖTALANDS LÄN</t>
        </is>
      </c>
      <c r="G99" t="inlineStr">
        <is>
          <t>BORÅS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46298</v>
      </c>
      <c r="F100" t="inlineStr">
        <is>
          <t>VÄSTRA GÖTALANDS LÄN</t>
        </is>
      </c>
      <c r="G100" t="inlineStr">
        <is>
          <t>BORÅS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46298</v>
      </c>
      <c r="F101" t="inlineStr">
        <is>
          <t>VÄSTRA GÖTALANDS LÄN</t>
        </is>
      </c>
      <c r="G101" t="inlineStr">
        <is>
          <t>BORÅS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46298</v>
      </c>
      <c r="F102" t="inlineStr">
        <is>
          <t>VÄSTRA GÖTALANDS LÄN</t>
        </is>
      </c>
      <c r="G102" t="inlineStr">
        <is>
          <t>BORÅS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46298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46298</v>
      </c>
      <c r="F104" t="inlineStr">
        <is>
          <t>VÄSTRA GÖTALANDS LÄN</t>
        </is>
      </c>
      <c r="G104" t="inlineStr">
        <is>
          <t>BORÅS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46298</v>
      </c>
      <c r="F105" t="inlineStr">
        <is>
          <t>VÄSTRA GÖTALANDS LÄN</t>
        </is>
      </c>
      <c r="G105" t="inlineStr">
        <is>
          <t>BORÅS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44511</v>
      </c>
      <c r="E106" s="1" t="n">
        <v>46298</v>
      </c>
      <c r="F106" t="inlineStr">
        <is>
          <t>VÄSTRA GÖTALANDS LÄN</t>
        </is>
      </c>
      <c r="G106" t="inlineStr">
        <is>
          <t>BORÅS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46298</v>
      </c>
      <c r="F107" t="inlineStr">
        <is>
          <t>VÄSTRA GÖTALANDS LÄN</t>
        </is>
      </c>
      <c r="G107" t="inlineStr">
        <is>
          <t>BORÅS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44605</v>
      </c>
      <c r="E108" s="1" t="n">
        <v>46298</v>
      </c>
      <c r="F108" t="inlineStr">
        <is>
          <t>VÄSTRA GÖTALANDS LÄN</t>
        </is>
      </c>
      <c r="G108" t="inlineStr">
        <is>
          <t>BORÅS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46298</v>
      </c>
      <c r="F109" t="inlineStr">
        <is>
          <t>VÄSTRA GÖTALANDS LÄN</t>
        </is>
      </c>
      <c r="G109" t="inlineStr">
        <is>
          <t>BORÅS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46298</v>
      </c>
      <c r="F110" t="inlineStr">
        <is>
          <t>VÄSTRA GÖTALANDS LÄN</t>
        </is>
      </c>
      <c r="G110" t="inlineStr">
        <is>
          <t>BORÅS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46298</v>
      </c>
      <c r="F111" t="inlineStr">
        <is>
          <t>VÄSTRA GÖTALANDS LÄN</t>
        </is>
      </c>
      <c r="G111" t="inlineStr">
        <is>
          <t>BORÅS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46298</v>
      </c>
      <c r="F112" t="inlineStr">
        <is>
          <t>VÄSTRA GÖTALANDS LÄN</t>
        </is>
      </c>
      <c r="G112" t="inlineStr">
        <is>
          <t>BORÅS</t>
        </is>
      </c>
      <c r="H112" t="inlineStr">
        <is>
          <t>Kyrkan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44769</v>
      </c>
      <c r="E113" s="1" t="n">
        <v>46298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44673</v>
      </c>
      <c r="E114" s="1" t="n">
        <v>46298</v>
      </c>
      <c r="F114" t="inlineStr">
        <is>
          <t>VÄSTRA GÖTALANDS LÄN</t>
        </is>
      </c>
      <c r="G114" t="inlineStr">
        <is>
          <t>BORÅS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44753</v>
      </c>
      <c r="E115" s="1" t="n">
        <v>46298</v>
      </c>
      <c r="F115" t="inlineStr">
        <is>
          <t>VÄSTRA GÖTALANDS LÄN</t>
        </is>
      </c>
      <c r="G115" t="inlineStr">
        <is>
          <t>BORÅS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52307-2022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44873</v>
      </c>
      <c r="E116" s="1" t="n">
        <v>46298</v>
      </c>
      <c r="F116" t="inlineStr">
        <is>
          <t>VÄSTRA GÖTALANDS LÄN</t>
        </is>
      </c>
      <c r="G116" t="inlineStr">
        <is>
          <t>BORÅS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44565</v>
      </c>
      <c r="E117" s="1" t="n">
        <v>46298</v>
      </c>
      <c r="F117" t="inlineStr">
        <is>
          <t>VÄSTRA GÖTALANDS LÄN</t>
        </is>
      </c>
      <c r="G117" t="inlineStr">
        <is>
          <t>BORÅS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46298</v>
      </c>
      <c r="F118" t="inlineStr">
        <is>
          <t>VÄSTRA GÖTALANDS LÄN</t>
        </is>
      </c>
      <c r="G118" t="inlineStr">
        <is>
          <t>BORÅS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46298</v>
      </c>
      <c r="F119" t="inlineStr">
        <is>
          <t>VÄSTRA GÖTALANDS LÄN</t>
        </is>
      </c>
      <c r="G119" t="inlineStr">
        <is>
          <t>BORÅS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46298</v>
      </c>
      <c r="F120" t="inlineStr">
        <is>
          <t>VÄSTRA GÖTALANDS LÄN</t>
        </is>
      </c>
      <c r="G120" t="inlineStr">
        <is>
          <t>BORÅS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12802-2022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44642</v>
      </c>
      <c r="E121" s="1" t="n">
        <v>46298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46298</v>
      </c>
      <c r="F122" t="inlineStr">
        <is>
          <t>VÄSTRA GÖTALANDS LÄN</t>
        </is>
      </c>
      <c r="G122" t="inlineStr">
        <is>
          <t>BORÅS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44678</v>
      </c>
      <c r="E123" s="1" t="n">
        <v>46298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46298</v>
      </c>
      <c r="F124" t="inlineStr">
        <is>
          <t>VÄSTRA GÖTALANDS LÄN</t>
        </is>
      </c>
      <c r="G124" t="inlineStr">
        <is>
          <t>BORÅS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8240-2022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44609</v>
      </c>
      <c r="E125" s="1" t="n">
        <v>46298</v>
      </c>
      <c r="F125" t="inlineStr">
        <is>
          <t>VÄSTRA GÖTALANDS LÄN</t>
        </is>
      </c>
      <c r="G125" t="inlineStr">
        <is>
          <t>BORÅS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46298</v>
      </c>
      <c r="F126" t="inlineStr">
        <is>
          <t>VÄSTRA GÖTALANDS LÄN</t>
        </is>
      </c>
      <c r="G126" t="inlineStr">
        <is>
          <t>BORÅS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58771-2021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46298</v>
      </c>
      <c r="F127" t="inlineStr">
        <is>
          <t>VÄSTRA GÖTALANDS LÄN</t>
        </is>
      </c>
      <c r="G127" t="inlineStr">
        <is>
          <t>BORÅS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46298</v>
      </c>
      <c r="F128" t="inlineStr">
        <is>
          <t>VÄSTRA GÖTALANDS LÄN</t>
        </is>
      </c>
      <c r="G128" t="inlineStr">
        <is>
          <t>BORÅS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46298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65064-2021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46298</v>
      </c>
      <c r="F130" t="inlineStr">
        <is>
          <t>VÄSTRA GÖTALANDS LÄN</t>
        </is>
      </c>
      <c r="G130" t="inlineStr">
        <is>
          <t>BORÅS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45575</v>
      </c>
      <c r="E131" s="1" t="n">
        <v>46298</v>
      </c>
      <c r="F131" t="inlineStr">
        <is>
          <t>VÄSTRA GÖTALANDS LÄN</t>
        </is>
      </c>
      <c r="G131" t="inlineStr">
        <is>
          <t>BORÅS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46298</v>
      </c>
      <c r="F132" t="inlineStr">
        <is>
          <t>VÄSTRA GÖTALANDS LÄN</t>
        </is>
      </c>
      <c r="G132" t="inlineStr">
        <is>
          <t>BORÅS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46298</v>
      </c>
      <c r="F133" t="inlineStr">
        <is>
          <t>VÄSTRA GÖTALANDS LÄN</t>
        </is>
      </c>
      <c r="G133" t="inlineStr">
        <is>
          <t>BORÅS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46298</v>
      </c>
      <c r="F134" t="inlineStr">
        <is>
          <t>VÄSTRA GÖTALANDS LÄN</t>
        </is>
      </c>
      <c r="G134" t="inlineStr">
        <is>
          <t>BORÅS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46298</v>
      </c>
      <c r="F135" t="inlineStr">
        <is>
          <t>VÄSTRA GÖTALANDS LÄN</t>
        </is>
      </c>
      <c r="G135" t="inlineStr">
        <is>
          <t>BORÅS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73822-2021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46298</v>
      </c>
      <c r="F136" t="inlineStr">
        <is>
          <t>VÄSTRA GÖTALANDS LÄN</t>
        </is>
      </c>
      <c r="G136" t="inlineStr">
        <is>
          <t>BORÅS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45294</v>
      </c>
      <c r="E137" s="1" t="n">
        <v>46298</v>
      </c>
      <c r="F137" t="inlineStr">
        <is>
          <t>VÄSTRA GÖTALANDS LÄN</t>
        </is>
      </c>
      <c r="G137" t="inlineStr">
        <is>
          <t>BORÅS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46298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30078-2023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46298</v>
      </c>
      <c r="F139" t="inlineStr">
        <is>
          <t>VÄSTRA GÖTALANDS LÄN</t>
        </is>
      </c>
      <c r="G139" t="inlineStr">
        <is>
          <t>BORÅS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46298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45050</v>
      </c>
      <c r="E141" s="1" t="n">
        <v>46298</v>
      </c>
      <c r="F141" t="inlineStr">
        <is>
          <t>VÄSTRA GÖTALANDS LÄN</t>
        </is>
      </c>
      <c r="G141" t="inlineStr">
        <is>
          <t>BORÅS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45050</v>
      </c>
      <c r="E142" s="1" t="n">
        <v>46298</v>
      </c>
      <c r="F142" t="inlineStr">
        <is>
          <t>VÄSTRA GÖTALANDS LÄN</t>
        </is>
      </c>
      <c r="G142" t="inlineStr">
        <is>
          <t>BORÅS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45054</v>
      </c>
      <c r="E143" s="1" t="n">
        <v>46298</v>
      </c>
      <c r="F143" t="inlineStr">
        <is>
          <t>VÄSTRA GÖTALANDS LÄN</t>
        </is>
      </c>
      <c r="G143" t="inlineStr">
        <is>
          <t>BORÅS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46298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8182-2024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45351</v>
      </c>
      <c r="E145" s="1" t="n">
        <v>46298</v>
      </c>
      <c r="F145" t="inlineStr">
        <is>
          <t>VÄSTRA GÖTALANDS LÄN</t>
        </is>
      </c>
      <c r="G145" t="inlineStr">
        <is>
          <t>BORÅS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24860-2022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44728</v>
      </c>
      <c r="E146" s="1" t="n">
        <v>46298</v>
      </c>
      <c r="F146" t="inlineStr">
        <is>
          <t>VÄSTRA GÖTALANDS LÄN</t>
        </is>
      </c>
      <c r="G146" t="inlineStr">
        <is>
          <t>BORÅS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45119</v>
      </c>
      <c r="E147" s="1" t="n">
        <v>46298</v>
      </c>
      <c r="F147" t="inlineStr">
        <is>
          <t>VÄSTRA GÖTALANDS LÄN</t>
        </is>
      </c>
      <c r="G147" t="inlineStr">
        <is>
          <t>BORÅS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45197</v>
      </c>
      <c r="E148" s="1" t="n">
        <v>46298</v>
      </c>
      <c r="F148" t="inlineStr">
        <is>
          <t>VÄSTRA GÖTALANDS LÄN</t>
        </is>
      </c>
      <c r="G148" t="inlineStr">
        <is>
          <t>BORÅS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46298</v>
      </c>
      <c r="F149" t="inlineStr">
        <is>
          <t>VÄSTRA GÖTALANDS LÄN</t>
        </is>
      </c>
      <c r="G149" t="inlineStr">
        <is>
          <t>BORÅS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45212</v>
      </c>
      <c r="E150" s="1" t="n">
        <v>46298</v>
      </c>
      <c r="F150" t="inlineStr">
        <is>
          <t>VÄSTRA GÖTALANDS LÄN</t>
        </is>
      </c>
      <c r="G150" t="inlineStr">
        <is>
          <t>BORÅS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46298</v>
      </c>
      <c r="F151" t="inlineStr">
        <is>
          <t>VÄSTRA GÖTALANDS LÄN</t>
        </is>
      </c>
      <c r="G151" t="inlineStr">
        <is>
          <t>BORÅS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45000</v>
      </c>
      <c r="E152" s="1" t="n">
        <v>46298</v>
      </c>
      <c r="F152" t="inlineStr">
        <is>
          <t>VÄSTRA GÖTALANDS LÄN</t>
        </is>
      </c>
      <c r="G152" t="inlineStr">
        <is>
          <t>BORÅS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46298</v>
      </c>
      <c r="F153" t="inlineStr">
        <is>
          <t>VÄSTRA GÖTALANDS LÄN</t>
        </is>
      </c>
      <c r="G153" t="inlineStr">
        <is>
          <t>BORÅS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46298</v>
      </c>
      <c r="F154" t="inlineStr">
        <is>
          <t>VÄSTRA GÖTALANDS LÄN</t>
        </is>
      </c>
      <c r="G154" t="inlineStr">
        <is>
          <t>BORÅS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46298</v>
      </c>
      <c r="F155" t="inlineStr">
        <is>
          <t>VÄSTRA GÖTALANDS LÄN</t>
        </is>
      </c>
      <c r="G155" t="inlineStr">
        <is>
          <t>BORÅS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44639</v>
      </c>
      <c r="E156" s="1" t="n">
        <v>46298</v>
      </c>
      <c r="F156" t="inlineStr">
        <is>
          <t>VÄSTRA GÖTALANDS LÄN</t>
        </is>
      </c>
      <c r="G156" t="inlineStr">
        <is>
          <t>BORÅS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46298</v>
      </c>
      <c r="F157" t="inlineStr">
        <is>
          <t>VÄSTRA GÖTALANDS LÄN</t>
        </is>
      </c>
      <c r="G157" t="inlineStr">
        <is>
          <t>BORÅS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45650</v>
      </c>
      <c r="E158" s="1" t="n">
        <v>46298</v>
      </c>
      <c r="F158" t="inlineStr">
        <is>
          <t>VÄSTRA GÖTALANDS LÄN</t>
        </is>
      </c>
      <c r="G158" t="inlineStr">
        <is>
          <t>BORÅS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46298</v>
      </c>
      <c r="F159" t="inlineStr">
        <is>
          <t>VÄSTRA GÖTALANDS LÄN</t>
        </is>
      </c>
      <c r="G159" t="inlineStr">
        <is>
          <t>BORÅS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46298</v>
      </c>
      <c r="F160" t="inlineStr">
        <is>
          <t>VÄSTRA GÖTALANDS LÄN</t>
        </is>
      </c>
      <c r="G160" t="inlineStr">
        <is>
          <t>BORÅS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46298</v>
      </c>
      <c r="F161" t="inlineStr">
        <is>
          <t>VÄSTRA GÖTALANDS LÄN</t>
        </is>
      </c>
      <c r="G161" t="inlineStr">
        <is>
          <t>BORÅS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46298</v>
      </c>
      <c r="F162" t="inlineStr">
        <is>
          <t>VÄSTRA GÖTALANDS LÄN</t>
        </is>
      </c>
      <c r="G162" t="inlineStr">
        <is>
          <t>BORÅS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62850-2025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46008</v>
      </c>
      <c r="E163" s="1" t="n">
        <v>46298</v>
      </c>
      <c r="F163" t="inlineStr">
        <is>
          <t>VÄSTRA GÖTALANDS LÄN</t>
        </is>
      </c>
      <c r="G163" t="inlineStr">
        <is>
          <t>BORÅS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46298</v>
      </c>
      <c r="F164" t="inlineStr">
        <is>
          <t>VÄSTRA GÖTALANDS LÄN</t>
        </is>
      </c>
      <c r="G164" t="inlineStr">
        <is>
          <t>BORÅS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46298</v>
      </c>
      <c r="F165" t="inlineStr">
        <is>
          <t>VÄSTRA GÖTALANDS LÄN</t>
        </is>
      </c>
      <c r="G165" t="inlineStr">
        <is>
          <t>BORÅS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45727</v>
      </c>
      <c r="E166" s="1" t="n">
        <v>46298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Kyrkan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46298</v>
      </c>
      <c r="F167" t="inlineStr">
        <is>
          <t>VÄSTRA GÖTALANDS LÄN</t>
        </is>
      </c>
      <c r="G167" t="inlineStr">
        <is>
          <t>BORÅS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45142</v>
      </c>
      <c r="E168" s="1" t="n">
        <v>46298</v>
      </c>
      <c r="F168" t="inlineStr">
        <is>
          <t>VÄSTRA GÖTALANDS LÄN</t>
        </is>
      </c>
      <c r="G168" t="inlineStr">
        <is>
          <t>BORÅS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45688</v>
      </c>
      <c r="E169" s="1" t="n">
        <v>46298</v>
      </c>
      <c r="F169" t="inlineStr">
        <is>
          <t>VÄSTRA GÖTALANDS LÄN</t>
        </is>
      </c>
      <c r="G169" t="inlineStr">
        <is>
          <t>BORÅS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45688</v>
      </c>
      <c r="E170" s="1" t="n">
        <v>46298</v>
      </c>
      <c r="F170" t="inlineStr">
        <is>
          <t>VÄSTRA GÖTALANDS LÄN</t>
        </is>
      </c>
      <c r="G170" t="inlineStr">
        <is>
          <t>BORÅS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46298</v>
      </c>
      <c r="F171" t="inlineStr">
        <is>
          <t>VÄSTRA GÖTALANDS LÄN</t>
        </is>
      </c>
      <c r="G171" t="inlineStr">
        <is>
          <t>BORÅS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46298</v>
      </c>
      <c r="F172" t="inlineStr">
        <is>
          <t>VÄSTRA GÖTALANDS LÄN</t>
        </is>
      </c>
      <c r="G172" t="inlineStr">
        <is>
          <t>BORÅS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46298</v>
      </c>
      <c r="F173" t="inlineStr">
        <is>
          <t>VÄSTRA GÖTALANDS LÄN</t>
        </is>
      </c>
      <c r="G173" t="inlineStr">
        <is>
          <t>BORÅS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45701</v>
      </c>
      <c r="E174" s="1" t="n">
        <v>46298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46298</v>
      </c>
      <c r="F175" t="inlineStr">
        <is>
          <t>VÄSTRA GÖTALANDS LÄN</t>
        </is>
      </c>
      <c r="G175" t="inlineStr">
        <is>
          <t>BORÅS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46298</v>
      </c>
      <c r="F176" t="inlineStr">
        <is>
          <t>VÄSTRA GÖTALANDS LÄN</t>
        </is>
      </c>
      <c r="G176" t="inlineStr">
        <is>
          <t>BORÅS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46298</v>
      </c>
      <c r="F177" t="inlineStr">
        <is>
          <t>VÄSTRA GÖTALANDS LÄN</t>
        </is>
      </c>
      <c r="G177" t="inlineStr">
        <is>
          <t>BORÅS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46298</v>
      </c>
      <c r="F178" t="inlineStr">
        <is>
          <t>VÄSTRA GÖTALANDS LÄN</t>
        </is>
      </c>
      <c r="G178" t="inlineStr">
        <is>
          <t>BORÅS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46298</v>
      </c>
      <c r="F179" t="inlineStr">
        <is>
          <t>VÄSTRA GÖTALANDS LÄN</t>
        </is>
      </c>
      <c r="G179" t="inlineStr">
        <is>
          <t>BORÅS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46298</v>
      </c>
      <c r="F180" t="inlineStr">
        <is>
          <t>VÄSTRA GÖTALANDS LÄN</t>
        </is>
      </c>
      <c r="G180" t="inlineStr">
        <is>
          <t>BORÅS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46298</v>
      </c>
      <c r="F181" t="inlineStr">
        <is>
          <t>VÄSTRA GÖTALANDS LÄN</t>
        </is>
      </c>
      <c r="G181" t="inlineStr">
        <is>
          <t>BORÅS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44910</v>
      </c>
      <c r="E182" s="1" t="n">
        <v>46298</v>
      </c>
      <c r="F182" t="inlineStr">
        <is>
          <t>VÄSTRA GÖTALANDS LÄN</t>
        </is>
      </c>
      <c r="G182" t="inlineStr">
        <is>
          <t>BORÅS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46298</v>
      </c>
      <c r="F183" t="inlineStr">
        <is>
          <t>VÄSTRA GÖTALANDS LÄN</t>
        </is>
      </c>
      <c r="G183" t="inlineStr">
        <is>
          <t>BORÅS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45666</v>
      </c>
      <c r="E184" s="1" t="n">
        <v>46298</v>
      </c>
      <c r="F184" t="inlineStr">
        <is>
          <t>VÄSTRA GÖTALANDS LÄN</t>
        </is>
      </c>
      <c r="G184" t="inlineStr">
        <is>
          <t>BORÅS</t>
        </is>
      </c>
      <c r="H184" t="inlineStr">
        <is>
          <t>Sveaskog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46298</v>
      </c>
      <c r="F185" t="inlineStr">
        <is>
          <t>VÄSTRA GÖTALANDS LÄN</t>
        </is>
      </c>
      <c r="G185" t="inlineStr">
        <is>
          <t>BORÅS</t>
        </is>
      </c>
      <c r="H185" t="inlineStr">
        <is>
          <t>Kyrkan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59463-2024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45638</v>
      </c>
      <c r="E186" s="1" t="n">
        <v>46298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46298</v>
      </c>
      <c r="F187" t="inlineStr">
        <is>
          <t>VÄSTRA GÖTALANDS LÄN</t>
        </is>
      </c>
      <c r="G187" t="inlineStr">
        <is>
          <t>BORÅS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45462</v>
      </c>
      <c r="E188" s="1" t="n">
        <v>46298</v>
      </c>
      <c r="F188" t="inlineStr">
        <is>
          <t>VÄSTRA GÖTALANDS LÄN</t>
        </is>
      </c>
      <c r="G188" t="inlineStr">
        <is>
          <t>BORÅS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46298</v>
      </c>
      <c r="F189" t="inlineStr">
        <is>
          <t>VÄSTRA GÖTALANDS LÄN</t>
        </is>
      </c>
      <c r="G189" t="inlineStr">
        <is>
          <t>BORÅS</t>
        </is>
      </c>
      <c r="I189" t="n">
        <v>8.800000000000001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46298</v>
      </c>
      <c r="F190" t="inlineStr">
        <is>
          <t>VÄSTRA GÖTALANDS LÄN</t>
        </is>
      </c>
      <c r="G190" t="inlineStr">
        <is>
          <t>BORÅS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46298</v>
      </c>
      <c r="F191" t="inlineStr">
        <is>
          <t>VÄSTRA GÖTALANDS LÄN</t>
        </is>
      </c>
      <c r="G191" t="inlineStr">
        <is>
          <t>BORÅS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46298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46298</v>
      </c>
      <c r="F193" t="inlineStr">
        <is>
          <t>VÄSTRA GÖTALANDS LÄN</t>
        </is>
      </c>
      <c r="G193" t="inlineStr">
        <is>
          <t>BORÅS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46298</v>
      </c>
      <c r="F194" t="inlineStr">
        <is>
          <t>VÄSTRA GÖTALANDS LÄN</t>
        </is>
      </c>
      <c r="G194" t="inlineStr">
        <is>
          <t>BORÅS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46298</v>
      </c>
      <c r="F195" t="inlineStr">
        <is>
          <t>VÄSTRA GÖTALANDS LÄN</t>
        </is>
      </c>
      <c r="G195" t="inlineStr">
        <is>
          <t>BORÅS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46298</v>
      </c>
      <c r="F196" t="inlineStr">
        <is>
          <t>VÄSTRA GÖTALANDS LÄN</t>
        </is>
      </c>
      <c r="G196" t="inlineStr">
        <is>
          <t>BORÅS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46298</v>
      </c>
      <c r="F197" t="inlineStr">
        <is>
          <t>VÄSTRA GÖTALANDS LÄN</t>
        </is>
      </c>
      <c r="G197" t="inlineStr">
        <is>
          <t>BORÅS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46298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44987</v>
      </c>
      <c r="E199" s="1" t="n">
        <v>46298</v>
      </c>
      <c r="F199" t="inlineStr">
        <is>
          <t>VÄSTRA GÖTALANDS LÄN</t>
        </is>
      </c>
      <c r="G199" t="inlineStr">
        <is>
          <t>BORÅS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45294</v>
      </c>
      <c r="E200" s="1" t="n">
        <v>46298</v>
      </c>
      <c r="F200" t="inlineStr">
        <is>
          <t>VÄSTRA GÖTALANDS LÄN</t>
        </is>
      </c>
      <c r="G200" t="inlineStr">
        <is>
          <t>BORÅS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46044</v>
      </c>
      <c r="E201" s="1" t="n">
        <v>46298</v>
      </c>
      <c r="F201" t="inlineStr">
        <is>
          <t>VÄSTRA GÖTALANDS LÄN</t>
        </is>
      </c>
      <c r="G201" t="inlineStr">
        <is>
          <t>BORÅS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45406</v>
      </c>
      <c r="E202" s="1" t="n">
        <v>46298</v>
      </c>
      <c r="F202" t="inlineStr">
        <is>
          <t>VÄSTRA GÖTALANDS LÄN</t>
        </is>
      </c>
      <c r="G202" t="inlineStr">
        <is>
          <t>BORÅS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45225</v>
      </c>
      <c r="E203" s="1" t="n">
        <v>46298</v>
      </c>
      <c r="F203" t="inlineStr">
        <is>
          <t>VÄSTRA GÖTALANDS LÄN</t>
        </is>
      </c>
      <c r="G203" t="inlineStr">
        <is>
          <t>BORÅS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46298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Kommuner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46298</v>
      </c>
      <c r="F205" t="inlineStr">
        <is>
          <t>VÄSTRA GÖTALANDS LÄN</t>
        </is>
      </c>
      <c r="G205" t="inlineStr">
        <is>
          <t>BORÅS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46298</v>
      </c>
      <c r="F206" t="inlineStr">
        <is>
          <t>VÄSTRA GÖTALANDS LÄN</t>
        </is>
      </c>
      <c r="G206" t="inlineStr">
        <is>
          <t>BORÅS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46298</v>
      </c>
      <c r="F207" t="inlineStr">
        <is>
          <t>VÄSTRA GÖTALANDS LÄN</t>
        </is>
      </c>
      <c r="G207" t="inlineStr">
        <is>
          <t>BORÅS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46298</v>
      </c>
      <c r="F208" t="inlineStr">
        <is>
          <t>VÄSTRA GÖTALANDS LÄN</t>
        </is>
      </c>
      <c r="G208" t="inlineStr">
        <is>
          <t>BORÅS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46298</v>
      </c>
      <c r="F209" t="inlineStr">
        <is>
          <t>VÄSTRA GÖTALANDS LÄN</t>
        </is>
      </c>
      <c r="G209" t="inlineStr">
        <is>
          <t>BORÅS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46298</v>
      </c>
      <c r="F210" t="inlineStr">
        <is>
          <t>VÄSTRA GÖTALANDS LÄN</t>
        </is>
      </c>
      <c r="G210" t="inlineStr">
        <is>
          <t>BORÅS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46298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Kommuner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46298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44980</v>
      </c>
      <c r="E213" s="1" t="n">
        <v>46298</v>
      </c>
      <c r="F213" t="inlineStr">
        <is>
          <t>VÄSTRA GÖTALANDS LÄN</t>
        </is>
      </c>
      <c r="G213" t="inlineStr">
        <is>
          <t>BORÅS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46298</v>
      </c>
      <c r="F214" t="inlineStr">
        <is>
          <t>VÄSTRA GÖTALANDS LÄN</t>
        </is>
      </c>
      <c r="G214" t="inlineStr">
        <is>
          <t>BORÅS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46298</v>
      </c>
      <c r="F215" t="inlineStr">
        <is>
          <t>VÄSTRA GÖTALANDS LÄN</t>
        </is>
      </c>
      <c r="G215" t="inlineStr">
        <is>
          <t>BORÅS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46298</v>
      </c>
      <c r="F216" t="inlineStr">
        <is>
          <t>VÄSTRA GÖTALANDS LÄN</t>
        </is>
      </c>
      <c r="G216" t="inlineStr">
        <is>
          <t>BORÅS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45538</v>
      </c>
      <c r="E217" s="1" t="n">
        <v>46298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46298</v>
      </c>
      <c r="F218" t="inlineStr">
        <is>
          <t>VÄSTRA GÖTALANDS LÄN</t>
        </is>
      </c>
      <c r="G218" t="inlineStr">
        <is>
          <t>BORÅS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46298</v>
      </c>
      <c r="F219" t="inlineStr">
        <is>
          <t>VÄSTRA GÖTALANDS LÄN</t>
        </is>
      </c>
      <c r="G219" t="inlineStr">
        <is>
          <t>BORÅS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46298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46298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46298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Kommuner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45321</v>
      </c>
      <c r="E223" s="1" t="n">
        <v>46298</v>
      </c>
      <c r="F223" t="inlineStr">
        <is>
          <t>VÄSTRA GÖTALANDS LÄN</t>
        </is>
      </c>
      <c r="G223" t="inlineStr">
        <is>
          <t>BORÅS</t>
        </is>
      </c>
      <c r="H223" t="inlineStr">
        <is>
          <t>Kommuner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45208</v>
      </c>
      <c r="E224" s="1" t="n">
        <v>46298</v>
      </c>
      <c r="F224" t="inlineStr">
        <is>
          <t>VÄSTRA GÖTALANDS LÄN</t>
        </is>
      </c>
      <c r="G224" t="inlineStr">
        <is>
          <t>BORÅS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46298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46298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45126</v>
      </c>
      <c r="E227" s="1" t="n">
        <v>46298</v>
      </c>
      <c r="F227" t="inlineStr">
        <is>
          <t>VÄSTRA GÖTALANDS LÄN</t>
        </is>
      </c>
      <c r="G227" t="inlineStr">
        <is>
          <t>BORÅS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45758</v>
      </c>
      <c r="E228" s="1" t="n">
        <v>46298</v>
      </c>
      <c r="F228" t="inlineStr">
        <is>
          <t>VÄSTRA GÖTALANDS LÄN</t>
        </is>
      </c>
      <c r="G228" t="inlineStr">
        <is>
          <t>BORÅS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44581</v>
      </c>
      <c r="E229" s="1" t="n">
        <v>46298</v>
      </c>
      <c r="F229" t="inlineStr">
        <is>
          <t>VÄSTRA GÖTALANDS LÄN</t>
        </is>
      </c>
      <c r="G229" t="inlineStr">
        <is>
          <t>BORÅS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45119</v>
      </c>
      <c r="E230" s="1" t="n">
        <v>46298</v>
      </c>
      <c r="F230" t="inlineStr">
        <is>
          <t>VÄSTRA GÖTALANDS LÄN</t>
        </is>
      </c>
      <c r="G230" t="inlineStr">
        <is>
          <t>BORÅS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46298</v>
      </c>
      <c r="F231" t="inlineStr">
        <is>
          <t>VÄSTRA GÖTALANDS LÄN</t>
        </is>
      </c>
      <c r="G231" t="inlineStr">
        <is>
          <t>BORÅS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46298</v>
      </c>
      <c r="F232" t="inlineStr">
        <is>
          <t>VÄSTRA GÖTALANDS LÄN</t>
        </is>
      </c>
      <c r="G232" t="inlineStr">
        <is>
          <t>BORÅS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49262-2025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45938</v>
      </c>
      <c r="E233" s="1" t="n">
        <v>46298</v>
      </c>
      <c r="F233" t="inlineStr">
        <is>
          <t>VÄSTRA GÖTALANDS LÄN</t>
        </is>
      </c>
      <c r="G233" t="inlineStr">
        <is>
          <t>BORÅS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46298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46298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46298</v>
      </c>
      <c r="F236" t="inlineStr">
        <is>
          <t>VÄSTRA GÖTALANDS LÄN</t>
        </is>
      </c>
      <c r="G236" t="inlineStr">
        <is>
          <t>BORÅS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46298</v>
      </c>
      <c r="F237" t="inlineStr">
        <is>
          <t>VÄSTRA GÖTALANDS LÄN</t>
        </is>
      </c>
      <c r="G237" t="inlineStr">
        <is>
          <t>BORÅS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44858</v>
      </c>
      <c r="E238" s="1" t="n">
        <v>46298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46298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46298</v>
      </c>
      <c r="F240" t="inlineStr">
        <is>
          <t>VÄSTRA GÖTALANDS LÄN</t>
        </is>
      </c>
      <c r="G240" t="inlineStr">
        <is>
          <t>BORÅS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45316</v>
      </c>
      <c r="E241" s="1" t="n">
        <v>46298</v>
      </c>
      <c r="F241" t="inlineStr">
        <is>
          <t>VÄSTRA GÖTALANDS LÄN</t>
        </is>
      </c>
      <c r="G241" t="inlineStr">
        <is>
          <t>BORÅS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45947</v>
      </c>
      <c r="E242" s="1" t="n">
        <v>46298</v>
      </c>
      <c r="F242" t="inlineStr">
        <is>
          <t>VÄSTRA GÖTALANDS LÄN</t>
        </is>
      </c>
      <c r="G242" t="inlineStr">
        <is>
          <t>BORÅS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46298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45274</v>
      </c>
      <c r="E244" s="1" t="n">
        <v>46298</v>
      </c>
      <c r="F244" t="inlineStr">
        <is>
          <t>VÄSTRA GÖTALANDS LÄN</t>
        </is>
      </c>
      <c r="G244" t="inlineStr">
        <is>
          <t>BORÅS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45120</v>
      </c>
      <c r="E245" s="1" t="n">
        <v>46298</v>
      </c>
      <c r="F245" t="inlineStr">
        <is>
          <t>VÄSTRA GÖTALANDS LÄN</t>
        </is>
      </c>
      <c r="G245" t="inlineStr">
        <is>
          <t>BORÅS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46298</v>
      </c>
      <c r="F246" t="inlineStr">
        <is>
          <t>VÄSTRA GÖTALANDS LÄN</t>
        </is>
      </c>
      <c r="G246" t="inlineStr">
        <is>
          <t>BORÅS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32482-2023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45120</v>
      </c>
      <c r="E247" s="1" t="n">
        <v>46298</v>
      </c>
      <c r="F247" t="inlineStr">
        <is>
          <t>VÄSTRA GÖTALANDS LÄN</t>
        </is>
      </c>
      <c r="G247" t="inlineStr">
        <is>
          <t>BORÅS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46298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Kyrkan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45194</v>
      </c>
      <c r="E249" s="1" t="n">
        <v>46298</v>
      </c>
      <c r="F249" t="inlineStr">
        <is>
          <t>VÄSTRA GÖTALANDS LÄN</t>
        </is>
      </c>
      <c r="G249" t="inlineStr">
        <is>
          <t>BORÅS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46298</v>
      </c>
      <c r="F250" t="inlineStr">
        <is>
          <t>VÄSTRA GÖTALANDS LÄN</t>
        </is>
      </c>
      <c r="G250" t="inlineStr">
        <is>
          <t>BORÅS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46298</v>
      </c>
      <c r="F251" t="inlineStr">
        <is>
          <t>VÄSTRA GÖTALANDS LÄN</t>
        </is>
      </c>
      <c r="G251" t="inlineStr">
        <is>
          <t>BORÅS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46298</v>
      </c>
      <c r="F252" t="inlineStr">
        <is>
          <t>VÄSTRA GÖTALANDS LÄN</t>
        </is>
      </c>
      <c r="G252" t="inlineStr">
        <is>
          <t>BORÅS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46298</v>
      </c>
      <c r="F253" t="inlineStr">
        <is>
          <t>VÄSTRA GÖTALANDS LÄN</t>
        </is>
      </c>
      <c r="G253" t="inlineStr">
        <is>
          <t>BORÅS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46298</v>
      </c>
      <c r="F254" t="inlineStr">
        <is>
          <t>VÄSTRA GÖTALANDS LÄN</t>
        </is>
      </c>
      <c r="G254" t="inlineStr">
        <is>
          <t>BORÅS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52369-2025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46298</v>
      </c>
      <c r="F255" t="inlineStr">
        <is>
          <t>VÄSTRA GÖTALANDS LÄN</t>
        </is>
      </c>
      <c r="G255" t="inlineStr">
        <is>
          <t>BORÅS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46298</v>
      </c>
      <c r="F256" t="inlineStr">
        <is>
          <t>VÄSTRA GÖTALANDS LÄN</t>
        </is>
      </c>
      <c r="G256" t="inlineStr">
        <is>
          <t>BORÅS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44656</v>
      </c>
      <c r="E257" s="1" t="n">
        <v>46298</v>
      </c>
      <c r="F257" t="inlineStr">
        <is>
          <t>VÄSTRA GÖTALANDS LÄN</t>
        </is>
      </c>
      <c r="G257" t="inlineStr">
        <is>
          <t>BORÅS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46298</v>
      </c>
      <c r="F258" t="inlineStr">
        <is>
          <t>VÄSTRA GÖTALANDS LÄN</t>
        </is>
      </c>
      <c r="G258" t="inlineStr">
        <is>
          <t>BORÅS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46298</v>
      </c>
      <c r="F259" t="inlineStr">
        <is>
          <t>VÄSTRA GÖTALANDS LÄN</t>
        </is>
      </c>
      <c r="G259" t="inlineStr">
        <is>
          <t>BORÅS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46298</v>
      </c>
      <c r="F260" t="inlineStr">
        <is>
          <t>VÄSTRA GÖTALANDS LÄN</t>
        </is>
      </c>
      <c r="G260" t="inlineStr">
        <is>
          <t>BORÅS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46298</v>
      </c>
      <c r="F261" t="inlineStr">
        <is>
          <t>VÄSTRA GÖTALANDS LÄN</t>
        </is>
      </c>
      <c r="G261" t="inlineStr">
        <is>
          <t>BORÅS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27370-2025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45812</v>
      </c>
      <c r="E262" s="1" t="n">
        <v>46298</v>
      </c>
      <c r="F262" t="inlineStr">
        <is>
          <t>VÄSTRA GÖTALANDS LÄN</t>
        </is>
      </c>
      <c r="G262" t="inlineStr">
        <is>
          <t>BORÅS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51810-2025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46298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46298</v>
      </c>
      <c r="F264" t="inlineStr">
        <is>
          <t>VÄSTRA GÖTALANDS LÄN</t>
        </is>
      </c>
      <c r="G264" t="inlineStr">
        <is>
          <t>BORÅS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46298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56684-2022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44888</v>
      </c>
      <c r="E266" s="1" t="n">
        <v>46298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Kyrkan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46298</v>
      </c>
      <c r="F267" t="inlineStr">
        <is>
          <t>VÄSTRA GÖTALANDS LÄN</t>
        </is>
      </c>
      <c r="G267" t="inlineStr">
        <is>
          <t>BORÅS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45960</v>
      </c>
      <c r="E268" s="1" t="n">
        <v>46298</v>
      </c>
      <c r="F268" t="inlineStr">
        <is>
          <t>VÄSTRA GÖTALANDS LÄN</t>
        </is>
      </c>
      <c r="G268" t="inlineStr">
        <is>
          <t>BORÅS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53942-2025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45961</v>
      </c>
      <c r="E269" s="1" t="n">
        <v>46298</v>
      </c>
      <c r="F269" t="inlineStr">
        <is>
          <t>VÄSTRA GÖTALANDS LÄN</t>
        </is>
      </c>
      <c r="G269" t="inlineStr">
        <is>
          <t>BORÅS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12635-2026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46091</v>
      </c>
      <c r="E270" s="1" t="n">
        <v>46298</v>
      </c>
      <c r="F270" t="inlineStr">
        <is>
          <t>VÄSTRA GÖTALANDS LÄN</t>
        </is>
      </c>
      <c r="G270" t="inlineStr">
        <is>
          <t>BORÅS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46298</v>
      </c>
      <c r="F271" t="inlineStr">
        <is>
          <t>VÄSTRA GÖTALANDS LÄN</t>
        </is>
      </c>
      <c r="G271" t="inlineStr">
        <is>
          <t>BORÅS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45120</v>
      </c>
      <c r="E272" s="1" t="n">
        <v>46298</v>
      </c>
      <c r="F272" t="inlineStr">
        <is>
          <t>VÄSTRA GÖTALANDS LÄN</t>
        </is>
      </c>
      <c r="G272" t="inlineStr">
        <is>
          <t>BORÅS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44958</v>
      </c>
      <c r="E273" s="1" t="n">
        <v>46298</v>
      </c>
      <c r="F273" t="inlineStr">
        <is>
          <t>VÄSTRA GÖTALANDS LÄN</t>
        </is>
      </c>
      <c r="G273" t="inlineStr">
        <is>
          <t>BORÅS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46298</v>
      </c>
      <c r="F274" t="inlineStr">
        <is>
          <t>VÄSTRA GÖTALANDS LÄN</t>
        </is>
      </c>
      <c r="G274" t="inlineStr">
        <is>
          <t>BORÅS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7898-2024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45350</v>
      </c>
      <c r="E275" s="1" t="n">
        <v>46298</v>
      </c>
      <c r="F275" t="inlineStr">
        <is>
          <t>VÄSTRA GÖTALANDS LÄN</t>
        </is>
      </c>
      <c r="G275" t="inlineStr">
        <is>
          <t>BORÅS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13729-2026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46298</v>
      </c>
      <c r="F276" t="inlineStr">
        <is>
          <t>VÄSTRA GÖTALANDS LÄN</t>
        </is>
      </c>
      <c r="G276" t="inlineStr">
        <is>
          <t>BORÅS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46298</v>
      </c>
      <c r="F277" t="inlineStr">
        <is>
          <t>VÄSTRA GÖTALANDS LÄN</t>
        </is>
      </c>
      <c r="G277" t="inlineStr">
        <is>
          <t>BORÅS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46298</v>
      </c>
      <c r="F278" t="inlineStr">
        <is>
          <t>VÄSTRA GÖTALANDS LÄN</t>
        </is>
      </c>
      <c r="G278" t="inlineStr">
        <is>
          <t>BORÅS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50382-2022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44866</v>
      </c>
      <c r="E279" s="1" t="n">
        <v>46298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44886</v>
      </c>
      <c r="E280" s="1" t="n">
        <v>46298</v>
      </c>
      <c r="F280" t="inlineStr">
        <is>
          <t>VÄSTRA GÖTALANDS LÄN</t>
        </is>
      </c>
      <c r="G280" t="inlineStr">
        <is>
          <t>BORÅS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46298</v>
      </c>
      <c r="F281" t="inlineStr">
        <is>
          <t>VÄSTRA GÖTALANDS LÄN</t>
        </is>
      </c>
      <c r="G281" t="inlineStr">
        <is>
          <t>BORÅS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46298</v>
      </c>
      <c r="F282" t="inlineStr">
        <is>
          <t>VÄSTRA GÖTALANDS LÄN</t>
        </is>
      </c>
      <c r="G282" t="inlineStr">
        <is>
          <t>BORÅS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54871-2022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46298</v>
      </c>
      <c r="F283" t="inlineStr">
        <is>
          <t>VÄSTRA GÖTALANDS LÄN</t>
        </is>
      </c>
      <c r="G283" t="inlineStr">
        <is>
          <t>BORÅS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54878-2022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44886</v>
      </c>
      <c r="E284" s="1" t="n">
        <v>46298</v>
      </c>
      <c r="F284" t="inlineStr">
        <is>
          <t>VÄSTRA GÖTALANDS LÄN</t>
        </is>
      </c>
      <c r="G284" t="inlineStr">
        <is>
          <t>BORÅS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46298</v>
      </c>
      <c r="F285" t="inlineStr">
        <is>
          <t>VÄSTRA GÖTALANDS LÄN</t>
        </is>
      </c>
      <c r="G285" t="inlineStr">
        <is>
          <t>BORÅS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44854</v>
      </c>
      <c r="E286" s="1" t="n">
        <v>46298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46298</v>
      </c>
      <c r="F287" t="inlineStr">
        <is>
          <t>VÄSTRA GÖTALANDS LÄN</t>
        </is>
      </c>
      <c r="G287" t="inlineStr">
        <is>
          <t>BORÅS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56376-2025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45974</v>
      </c>
      <c r="E288" s="1" t="n">
        <v>46298</v>
      </c>
      <c r="F288" t="inlineStr">
        <is>
          <t>VÄSTRA GÖTALANDS LÄN</t>
        </is>
      </c>
      <c r="G288" t="inlineStr">
        <is>
          <t>BORÅS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46298</v>
      </c>
      <c r="F289" t="inlineStr">
        <is>
          <t>VÄSTRA GÖTALANDS LÄN</t>
        </is>
      </c>
      <c r="G289" t="inlineStr">
        <is>
          <t>BORÅS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57429-2024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46298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13436-2025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45735</v>
      </c>
      <c r="E291" s="1" t="n">
        <v>46298</v>
      </c>
      <c r="F291" t="inlineStr">
        <is>
          <t>VÄSTRA GÖTALANDS LÄN</t>
        </is>
      </c>
      <c r="G291" t="inlineStr">
        <is>
          <t>BORÅS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46298</v>
      </c>
      <c r="F292" t="inlineStr">
        <is>
          <t>VÄSTRA GÖTALANDS LÄN</t>
        </is>
      </c>
      <c r="G292" t="inlineStr">
        <is>
          <t>BORÅS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46298</v>
      </c>
      <c r="F293" t="inlineStr">
        <is>
          <t>VÄSTRA GÖTALANDS LÄN</t>
        </is>
      </c>
      <c r="G293" t="inlineStr">
        <is>
          <t>BORÅS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15193-2026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46105</v>
      </c>
      <c r="E294" s="1" t="n">
        <v>46298</v>
      </c>
      <c r="F294" t="inlineStr">
        <is>
          <t>VÄSTRA GÖTALANDS LÄN</t>
        </is>
      </c>
      <c r="G294" t="inlineStr">
        <is>
          <t>BORÅS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46298</v>
      </c>
      <c r="F295" t="inlineStr">
        <is>
          <t>VÄSTRA GÖTALANDS LÄN</t>
        </is>
      </c>
      <c r="G295" t="inlineStr">
        <is>
          <t>BORÅS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45379</v>
      </c>
      <c r="E296" s="1" t="n">
        <v>46298</v>
      </c>
      <c r="F296" t="inlineStr">
        <is>
          <t>VÄSTRA GÖTALANDS LÄN</t>
        </is>
      </c>
      <c r="G296" t="inlineStr">
        <is>
          <t>BORÅS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61681-2023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46298</v>
      </c>
      <c r="F297" t="inlineStr">
        <is>
          <t>VÄSTRA GÖTALANDS LÄN</t>
        </is>
      </c>
      <c r="G297" t="inlineStr">
        <is>
          <t>BORÅS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46298</v>
      </c>
      <c r="F298" t="inlineStr">
        <is>
          <t>VÄSTRA GÖTALANDS LÄN</t>
        </is>
      </c>
      <c r="G298" t="inlineStr">
        <is>
          <t>BORÅS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45483</v>
      </c>
      <c r="E299" s="1" t="n">
        <v>46298</v>
      </c>
      <c r="F299" t="inlineStr">
        <is>
          <t>VÄSTRA GÖTALANDS LÄN</t>
        </is>
      </c>
      <c r="G299" t="inlineStr">
        <is>
          <t>BORÅS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46298</v>
      </c>
      <c r="F300" t="inlineStr">
        <is>
          <t>VÄSTRA GÖTALANDS LÄN</t>
        </is>
      </c>
      <c r="G300" t="inlineStr">
        <is>
          <t>BORÅS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45821</v>
      </c>
      <c r="E301" s="1" t="n">
        <v>46298</v>
      </c>
      <c r="F301" t="inlineStr">
        <is>
          <t>VÄSTRA GÖTALANDS LÄN</t>
        </is>
      </c>
      <c r="G301" t="inlineStr">
        <is>
          <t>BORÅS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45982</v>
      </c>
      <c r="E302" s="1" t="n">
        <v>46298</v>
      </c>
      <c r="F302" t="inlineStr">
        <is>
          <t>VÄSTRA GÖTALANDS LÄN</t>
        </is>
      </c>
      <c r="G302" t="inlineStr">
        <is>
          <t>BORÅS</t>
        </is>
      </c>
      <c r="H302" t="inlineStr">
        <is>
          <t>Kommuner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46298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Kommuner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46298</v>
      </c>
      <c r="F304" t="inlineStr">
        <is>
          <t>VÄSTRA GÖTALANDS LÄN</t>
        </is>
      </c>
      <c r="G304" t="inlineStr">
        <is>
          <t>BORÅS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45821</v>
      </c>
      <c r="E305" s="1" t="n">
        <v>46298</v>
      </c>
      <c r="F305" t="inlineStr">
        <is>
          <t>VÄSTRA GÖTALANDS LÄN</t>
        </is>
      </c>
      <c r="G305" t="inlineStr">
        <is>
          <t>BORÅS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58304-2025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45982</v>
      </c>
      <c r="E306" s="1" t="n">
        <v>46298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Kommuner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  <c r="X306">
        <f>HYPERLINK("https://klasma.github.io/Logging_1490/kartor/A 58304-2025 karta.png", "A 58304-2025")</f>
        <v/>
      </c>
      <c r="Y306">
        <f>HYPERLINK("https://klasma.github.io/Logging_1490/kartor_geotiff/A 58304-2025 georefererad karta.tif", "A 58304-2025")</f>
        <v/>
      </c>
      <c r="AA306">
        <f>HYPERLINK("https://klasma.github.io/Logging_1490/klagomål/A 58304-2025 FSC-klagomål.docx", "A 58304-2025")</f>
        <v/>
      </c>
      <c r="AB306">
        <f>HYPERLINK("https://klasma.github.io/Logging_1490/klagomålsmail/A 58304-2025 FSC-klagomål mail.docx", "A 58304-2025")</f>
        <v/>
      </c>
      <c r="AC306">
        <f>HYPERLINK("https://klasma.github.io/Logging_1490/tillsyn/A 58304-2025 tillsynsbegäran.docx", "A 58304-2025")</f>
        <v/>
      </c>
      <c r="AD306">
        <f>HYPERLINK("https://klasma.github.io/Logging_1490/tillsynsmail/A 58304-2025 tillsynsbegäran mail.docx", "A 58304-2025")</f>
        <v/>
      </c>
    </row>
    <row r="307" ht="15" customHeight="1">
      <c r="A307" t="inlineStr">
        <is>
          <t>A 37122-2023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46298</v>
      </c>
      <c r="F307" t="inlineStr">
        <is>
          <t>VÄSTRA GÖTALANDS LÄN</t>
        </is>
      </c>
      <c r="G307" t="inlineStr">
        <is>
          <t>BORÅS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45472</v>
      </c>
      <c r="E308" s="1" t="n">
        <v>46298</v>
      </c>
      <c r="F308" t="inlineStr">
        <is>
          <t>VÄSTRA GÖTALANDS LÄN</t>
        </is>
      </c>
      <c r="G308" t="inlineStr">
        <is>
          <t>BORÅS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45823</v>
      </c>
      <c r="E309" s="1" t="n">
        <v>46298</v>
      </c>
      <c r="F309" t="inlineStr">
        <is>
          <t>VÄSTRA GÖTALANDS LÄN</t>
        </is>
      </c>
      <c r="G309" t="inlineStr">
        <is>
          <t>BORÅS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17234-2026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46119</v>
      </c>
      <c r="E310" s="1" t="n">
        <v>46298</v>
      </c>
      <c r="F310" t="inlineStr">
        <is>
          <t>VÄSTRA GÖTALANDS LÄN</t>
        </is>
      </c>
      <c r="G310" t="inlineStr">
        <is>
          <t>BORÅS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45989</v>
      </c>
      <c r="E311" s="1" t="n">
        <v>46298</v>
      </c>
      <c r="F311" t="inlineStr">
        <is>
          <t>VÄSTRA GÖTALANDS LÄN</t>
        </is>
      </c>
      <c r="G311" t="inlineStr">
        <is>
          <t>BORÅS</t>
        </is>
      </c>
      <c r="H311" t="inlineStr">
        <is>
          <t>Kyrkan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46298</v>
      </c>
      <c r="F312" t="inlineStr">
        <is>
          <t>VÄSTRA GÖTALANDS LÄN</t>
        </is>
      </c>
      <c r="G312" t="inlineStr">
        <is>
          <t>BORÅS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46298</v>
      </c>
      <c r="F313" t="inlineStr">
        <is>
          <t>VÄSTRA GÖTALANDS LÄN</t>
        </is>
      </c>
      <c r="G313" t="inlineStr">
        <is>
          <t>BORÅS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45727</v>
      </c>
      <c r="E314" s="1" t="n">
        <v>46298</v>
      </c>
      <c r="F314" t="inlineStr">
        <is>
          <t>VÄSTRA GÖTALANDS LÄN</t>
        </is>
      </c>
      <c r="G314" t="inlineStr">
        <is>
          <t>BORÅS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46298</v>
      </c>
      <c r="F315" t="inlineStr">
        <is>
          <t>VÄSTRA GÖTALANDS LÄN</t>
        </is>
      </c>
      <c r="G315" t="inlineStr">
        <is>
          <t>BORÅS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46298</v>
      </c>
      <c r="F316" t="inlineStr">
        <is>
          <t>VÄSTRA GÖTALANDS LÄN</t>
        </is>
      </c>
      <c r="G316" t="inlineStr">
        <is>
          <t>BORÅS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18695-2026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46298</v>
      </c>
      <c r="F317" t="inlineStr">
        <is>
          <t>VÄSTRA GÖTALANDS LÄN</t>
        </is>
      </c>
      <c r="G317" t="inlineStr">
        <is>
          <t>BORÅS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45611</v>
      </c>
      <c r="E318" s="1" t="n">
        <v>46298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60204-2025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45994</v>
      </c>
      <c r="E319" s="1" t="n">
        <v>46298</v>
      </c>
      <c r="F319" t="inlineStr">
        <is>
          <t>VÄSTRA GÖTALANDS LÄN</t>
        </is>
      </c>
      <c r="G319" t="inlineStr">
        <is>
          <t>BORÅS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45741</v>
      </c>
      <c r="E320" s="1" t="n">
        <v>46298</v>
      </c>
      <c r="F320" t="inlineStr">
        <is>
          <t>VÄSTRA GÖTALANDS LÄN</t>
        </is>
      </c>
      <c r="G320" t="inlineStr">
        <is>
          <t>BORÅS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45741</v>
      </c>
      <c r="E321" s="1" t="n">
        <v>46298</v>
      </c>
      <c r="F321" t="inlineStr">
        <is>
          <t>VÄSTRA GÖTALANDS LÄN</t>
        </is>
      </c>
      <c r="G321" t="inlineStr">
        <is>
          <t>BORÅS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46298</v>
      </c>
      <c r="F322" t="inlineStr">
        <is>
          <t>VÄSTRA GÖTALANDS LÄN</t>
        </is>
      </c>
      <c r="G322" t="inlineStr">
        <is>
          <t>BORÅS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60617-2025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45996</v>
      </c>
      <c r="E323" s="1" t="n">
        <v>46298</v>
      </c>
      <c r="F323" t="inlineStr">
        <is>
          <t>VÄSTRA GÖTALANDS LÄN</t>
        </is>
      </c>
      <c r="G323" t="inlineStr">
        <is>
          <t>BORÅS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31940-2024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45510</v>
      </c>
      <c r="E324" s="1" t="n">
        <v>46298</v>
      </c>
      <c r="F324" t="inlineStr">
        <is>
          <t>VÄSTRA GÖTALANDS LÄN</t>
        </is>
      </c>
      <c r="G324" t="inlineStr">
        <is>
          <t>BORÅS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11022-2025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45723</v>
      </c>
      <c r="E325" s="1" t="n">
        <v>46298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30312-2025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45827</v>
      </c>
      <c r="E326" s="1" t="n">
        <v>46298</v>
      </c>
      <c r="F326" t="inlineStr">
        <is>
          <t>VÄSTRA GÖTALANDS LÄN</t>
        </is>
      </c>
      <c r="G326" t="inlineStr">
        <is>
          <t>BORÅS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72806-2021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44547</v>
      </c>
      <c r="E327" s="1" t="n">
        <v>46298</v>
      </c>
      <c r="F327" t="inlineStr">
        <is>
          <t>VÄSTRA GÖTALANDS LÄN</t>
        </is>
      </c>
      <c r="G327" t="inlineStr">
        <is>
          <t>BORÅS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46298</v>
      </c>
      <c r="F328" t="inlineStr">
        <is>
          <t>VÄSTRA GÖTALANDS LÄN</t>
        </is>
      </c>
      <c r="G328" t="inlineStr">
        <is>
          <t>BORÅS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46298</v>
      </c>
      <c r="F329" t="inlineStr">
        <is>
          <t>VÄSTRA GÖTALANDS LÄN</t>
        </is>
      </c>
      <c r="G329" t="inlineStr">
        <is>
          <t>BORÅS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11362-2022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44630</v>
      </c>
      <c r="E330" s="1" t="n">
        <v>46298</v>
      </c>
      <c r="F330" t="inlineStr">
        <is>
          <t>VÄSTRA GÖTALANDS LÄN</t>
        </is>
      </c>
      <c r="G330" t="inlineStr">
        <is>
          <t>BORÅS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46298</v>
      </c>
      <c r="F331" t="inlineStr">
        <is>
          <t>VÄSTRA GÖTALANDS LÄN</t>
        </is>
      </c>
      <c r="G331" t="inlineStr">
        <is>
          <t>BORÅS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46298</v>
      </c>
      <c r="F332" t="inlineStr">
        <is>
          <t>VÄSTRA GÖTALANDS LÄN</t>
        </is>
      </c>
      <c r="G332" t="inlineStr">
        <is>
          <t>BORÅS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46298</v>
      </c>
      <c r="F333" t="inlineStr">
        <is>
          <t>VÄSTRA GÖTALANDS LÄN</t>
        </is>
      </c>
      <c r="G333" t="inlineStr">
        <is>
          <t>BORÅS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46298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44644</v>
      </c>
      <c r="E335" s="1" t="n">
        <v>46298</v>
      </c>
      <c r="F335" t="inlineStr">
        <is>
          <t>VÄSTRA GÖTALANDS LÄN</t>
        </is>
      </c>
      <c r="G335" t="inlineStr">
        <is>
          <t>BORÅS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45196</v>
      </c>
      <c r="E336" s="1" t="n">
        <v>46298</v>
      </c>
      <c r="F336" t="inlineStr">
        <is>
          <t>VÄSTRA GÖTALANDS LÄN</t>
        </is>
      </c>
      <c r="G336" t="inlineStr">
        <is>
          <t>BORÅS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14783-2022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44656</v>
      </c>
      <c r="E337" s="1" t="n">
        <v>46298</v>
      </c>
      <c r="F337" t="inlineStr">
        <is>
          <t>VÄSTRA GÖTALANDS LÄN</t>
        </is>
      </c>
      <c r="G337" t="inlineStr">
        <is>
          <t>BORÅS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45316</v>
      </c>
      <c r="E338" s="1" t="n">
        <v>46298</v>
      </c>
      <c r="F338" t="inlineStr">
        <is>
          <t>VÄSTRA GÖTALANDS LÄN</t>
        </is>
      </c>
      <c r="G338" t="inlineStr">
        <is>
          <t>BORÅS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45316</v>
      </c>
      <c r="E339" s="1" t="n">
        <v>46298</v>
      </c>
      <c r="F339" t="inlineStr">
        <is>
          <t>VÄSTRA GÖTALANDS LÄN</t>
        </is>
      </c>
      <c r="G339" t="inlineStr">
        <is>
          <t>BORÅS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45593</v>
      </c>
      <c r="E340" s="1" t="n">
        <v>46298</v>
      </c>
      <c r="F340" t="inlineStr">
        <is>
          <t>VÄSTRA GÖTALANDS LÄN</t>
        </is>
      </c>
      <c r="G340" t="inlineStr">
        <is>
          <t>BORÅS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45202</v>
      </c>
      <c r="E341" s="1" t="n">
        <v>46298</v>
      </c>
      <c r="F341" t="inlineStr">
        <is>
          <t>VÄSTRA GÖTALANDS LÄN</t>
        </is>
      </c>
      <c r="G341" t="inlineStr">
        <is>
          <t>BORÅS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45096</v>
      </c>
      <c r="E342" s="1" t="n">
        <v>46298</v>
      </c>
      <c r="F342" t="inlineStr">
        <is>
          <t>VÄSTRA GÖTALANDS LÄN</t>
        </is>
      </c>
      <c r="G342" t="inlineStr">
        <is>
          <t>BORÅS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24183-2024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45456</v>
      </c>
      <c r="E343" s="1" t="n">
        <v>46298</v>
      </c>
      <c r="F343" t="inlineStr">
        <is>
          <t>VÄSTRA GÖTALANDS LÄN</t>
        </is>
      </c>
      <c r="G343" t="inlineStr">
        <is>
          <t>BORÅS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46298</v>
      </c>
      <c r="F344" t="inlineStr">
        <is>
          <t>VÄSTRA GÖTALANDS LÄN</t>
        </is>
      </c>
      <c r="G344" t="inlineStr">
        <is>
          <t>BORÅS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45839</v>
      </c>
      <c r="E345" s="1" t="n">
        <v>46298</v>
      </c>
      <c r="F345" t="inlineStr">
        <is>
          <t>VÄSTRA GÖTALANDS LÄN</t>
        </is>
      </c>
      <c r="G345" t="inlineStr">
        <is>
          <t>BORÅS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45839</v>
      </c>
      <c r="E346" s="1" t="n">
        <v>46298</v>
      </c>
      <c r="F346" t="inlineStr">
        <is>
          <t>VÄSTRA GÖTALANDS LÄN</t>
        </is>
      </c>
      <c r="G346" t="inlineStr">
        <is>
          <t>BORÅS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45836</v>
      </c>
      <c r="E347" s="1" t="n">
        <v>46298</v>
      </c>
      <c r="F347" t="inlineStr">
        <is>
          <t>VÄSTRA GÖTALANDS LÄN</t>
        </is>
      </c>
      <c r="G347" t="inlineStr">
        <is>
          <t>BORÅS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44571</v>
      </c>
      <c r="E348" s="1" t="n">
        <v>46298</v>
      </c>
      <c r="F348" t="inlineStr">
        <is>
          <t>VÄSTRA GÖTALANDS LÄN</t>
        </is>
      </c>
      <c r="G348" t="inlineStr">
        <is>
          <t>BORÅS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45836</v>
      </c>
      <c r="E349" s="1" t="n">
        <v>46298</v>
      </c>
      <c r="F349" t="inlineStr">
        <is>
          <t>VÄSTRA GÖTALANDS LÄN</t>
        </is>
      </c>
      <c r="G349" t="inlineStr">
        <is>
          <t>BORÅS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49948-2023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46298</v>
      </c>
      <c r="F350" t="inlineStr">
        <is>
          <t>VÄSTRA GÖTALANDS LÄN</t>
        </is>
      </c>
      <c r="G350" t="inlineStr">
        <is>
          <t>BORÅS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70988-2021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44538</v>
      </c>
      <c r="E351" s="1" t="n">
        <v>46298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Kommuner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45547</v>
      </c>
      <c r="E352" s="1" t="n">
        <v>46298</v>
      </c>
      <c r="F352" t="inlineStr">
        <is>
          <t>VÄSTRA GÖTALANDS LÄN</t>
        </is>
      </c>
      <c r="G352" t="inlineStr">
        <is>
          <t>BORÅS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46298</v>
      </c>
      <c r="F353" t="inlineStr">
        <is>
          <t>VÄSTRA GÖTALANDS LÄN</t>
        </is>
      </c>
      <c r="G353" t="inlineStr">
        <is>
          <t>BORÅS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45863</v>
      </c>
      <c r="E354" s="1" t="n">
        <v>46298</v>
      </c>
      <c r="F354" t="inlineStr">
        <is>
          <t>VÄSTRA GÖTALANDS LÄN</t>
        </is>
      </c>
      <c r="G354" t="inlineStr">
        <is>
          <t>BORÅS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46298</v>
      </c>
      <c r="F355" t="inlineStr">
        <is>
          <t>VÄSTRA GÖTALANDS LÄN</t>
        </is>
      </c>
      <c r="G355" t="inlineStr">
        <is>
          <t>BORÅS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45392</v>
      </c>
      <c r="E356" s="1" t="n">
        <v>46298</v>
      </c>
      <c r="F356" t="inlineStr">
        <is>
          <t>VÄSTRA GÖTALANDS LÄN</t>
        </is>
      </c>
      <c r="G356" t="inlineStr">
        <is>
          <t>BORÅS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46298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45547</v>
      </c>
      <c r="E358" s="1" t="n">
        <v>46298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46298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45453</v>
      </c>
      <c r="E360" s="1" t="n">
        <v>46298</v>
      </c>
      <c r="F360" t="inlineStr">
        <is>
          <t>VÄSTRA GÖTALANDS LÄN</t>
        </is>
      </c>
      <c r="G360" t="inlineStr">
        <is>
          <t>BORÅS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46298</v>
      </c>
      <c r="F361" t="inlineStr">
        <is>
          <t>VÄSTRA GÖTALANDS LÄN</t>
        </is>
      </c>
      <c r="G361" t="inlineStr">
        <is>
          <t>BORÅS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45846</v>
      </c>
      <c r="E362" s="1" t="n">
        <v>46298</v>
      </c>
      <c r="F362" t="inlineStr">
        <is>
          <t>VÄSTRA GÖTALANDS LÄN</t>
        </is>
      </c>
      <c r="G362" t="inlineStr">
        <is>
          <t>BORÅS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21739-2026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46147</v>
      </c>
      <c r="E363" s="1" t="n">
        <v>46298</v>
      </c>
      <c r="F363" t="inlineStr">
        <is>
          <t>VÄSTRA GÖTALANDS LÄN</t>
        </is>
      </c>
      <c r="G363" t="inlineStr">
        <is>
          <t>BORÅS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34695-2025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46298</v>
      </c>
      <c r="F364" t="inlineStr">
        <is>
          <t>VÄSTRA GÖTALANDS LÄN</t>
        </is>
      </c>
      <c r="G364" t="inlineStr">
        <is>
          <t>BORÅS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46298</v>
      </c>
      <c r="F365" t="inlineStr">
        <is>
          <t>VÄSTRA GÖTALANDS LÄN</t>
        </is>
      </c>
      <c r="G365" t="inlineStr">
        <is>
          <t>BORÅS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61453-2024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46298</v>
      </c>
      <c r="F366" t="inlineStr">
        <is>
          <t>VÄSTRA GÖTALANDS LÄN</t>
        </is>
      </c>
      <c r="G366" t="inlineStr">
        <is>
          <t>BORÅS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45688</v>
      </c>
      <c r="E367" s="1" t="n">
        <v>46298</v>
      </c>
      <c r="F367" t="inlineStr">
        <is>
          <t>VÄSTRA GÖTALANDS LÄN</t>
        </is>
      </c>
      <c r="G367" t="inlineStr">
        <is>
          <t>BORÅS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48358-2023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45205</v>
      </c>
      <c r="E368" s="1" t="n">
        <v>46298</v>
      </c>
      <c r="F368" t="inlineStr">
        <is>
          <t>VÄSTRA GÖTALANDS LÄN</t>
        </is>
      </c>
      <c r="G368" t="inlineStr">
        <is>
          <t>BORÅS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46298</v>
      </c>
      <c r="F369" t="inlineStr">
        <is>
          <t>VÄSTRA GÖTALANDS LÄN</t>
        </is>
      </c>
      <c r="G369" t="inlineStr">
        <is>
          <t>BORÅS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45196</v>
      </c>
      <c r="E370" s="1" t="n">
        <v>46298</v>
      </c>
      <c r="F370" t="inlineStr">
        <is>
          <t>VÄSTRA GÖTALANDS LÄN</t>
        </is>
      </c>
      <c r="G370" t="inlineStr">
        <is>
          <t>BORÅS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45805</v>
      </c>
      <c r="E371" s="1" t="n">
        <v>46298</v>
      </c>
      <c r="F371" t="inlineStr">
        <is>
          <t>VÄSTRA GÖTALANDS LÄN</t>
        </is>
      </c>
      <c r="G371" t="inlineStr">
        <is>
          <t>BORÅS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46298</v>
      </c>
      <c r="F372" t="inlineStr">
        <is>
          <t>VÄSTRA GÖTALANDS LÄN</t>
        </is>
      </c>
      <c r="G372" t="inlineStr">
        <is>
          <t>BORÅS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45842</v>
      </c>
      <c r="E373" s="1" t="n">
        <v>46298</v>
      </c>
      <c r="F373" t="inlineStr">
        <is>
          <t>VÄSTRA GÖTALANDS LÄN</t>
        </is>
      </c>
      <c r="G373" t="inlineStr">
        <is>
          <t>BORÅS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46298</v>
      </c>
      <c r="F374" t="inlineStr">
        <is>
          <t>VÄSTRA GÖTALANDS LÄN</t>
        </is>
      </c>
      <c r="G374" t="inlineStr">
        <is>
          <t>BORÅS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45855</v>
      </c>
      <c r="E375" s="1" t="n">
        <v>46298</v>
      </c>
      <c r="F375" t="inlineStr">
        <is>
          <t>VÄSTRA GÖTALANDS LÄN</t>
        </is>
      </c>
      <c r="G375" t="inlineStr">
        <is>
          <t>BORÅS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45098</v>
      </c>
      <c r="E376" s="1" t="n">
        <v>46298</v>
      </c>
      <c r="F376" t="inlineStr">
        <is>
          <t>VÄSTRA GÖTALANDS LÄN</t>
        </is>
      </c>
      <c r="G376" t="inlineStr">
        <is>
          <t>BORÅS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45308</v>
      </c>
      <c r="E377" s="1" t="n">
        <v>46298</v>
      </c>
      <c r="F377" t="inlineStr">
        <is>
          <t>VÄSTRA GÖTALANDS LÄN</t>
        </is>
      </c>
      <c r="G377" t="inlineStr">
        <is>
          <t>BORÅS</t>
        </is>
      </c>
      <c r="H377" t="inlineStr">
        <is>
          <t>Kommuner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46298</v>
      </c>
      <c r="F378" t="inlineStr">
        <is>
          <t>VÄSTRA GÖTALANDS LÄN</t>
        </is>
      </c>
      <c r="G378" t="inlineStr">
        <is>
          <t>BORÅS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52367-2025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46298</v>
      </c>
      <c r="F379" t="inlineStr">
        <is>
          <t>VÄSTRA GÖTALANDS LÄN</t>
        </is>
      </c>
      <c r="G379" t="inlineStr">
        <is>
          <t>BORÅS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20653-2026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46141</v>
      </c>
      <c r="E380" s="1" t="n">
        <v>46298</v>
      </c>
      <c r="F380" t="inlineStr">
        <is>
          <t>VÄSTRA GÖTALANDS LÄN</t>
        </is>
      </c>
      <c r="G380" t="inlineStr">
        <is>
          <t>BORÅS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46298</v>
      </c>
      <c r="F381" t="inlineStr">
        <is>
          <t>VÄSTRA GÖTALANDS LÄN</t>
        </is>
      </c>
      <c r="G381" t="inlineStr">
        <is>
          <t>BORÅS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45294</v>
      </c>
      <c r="E382" s="1" t="n">
        <v>46298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46298</v>
      </c>
      <c r="F383" t="inlineStr">
        <is>
          <t>VÄSTRA GÖTALANDS LÄN</t>
        </is>
      </c>
      <c r="G383" t="inlineStr">
        <is>
          <t>BORÅS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45866</v>
      </c>
      <c r="E384" s="1" t="n">
        <v>46298</v>
      </c>
      <c r="F384" t="inlineStr">
        <is>
          <t>VÄSTRA GÖTALANDS LÄN</t>
        </is>
      </c>
      <c r="G384" t="inlineStr">
        <is>
          <t>BORÅS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19862-2023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45053</v>
      </c>
      <c r="E385" s="1" t="n">
        <v>46298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48886-2022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44859</v>
      </c>
      <c r="E386" s="1" t="n">
        <v>46298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46574-2022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44848</v>
      </c>
      <c r="E387" s="1" t="n">
        <v>46298</v>
      </c>
      <c r="F387" t="inlineStr">
        <is>
          <t>VÄSTRA GÖTALANDS LÄN</t>
        </is>
      </c>
      <c r="G387" t="inlineStr">
        <is>
          <t>BORÅS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46298</v>
      </c>
      <c r="F388" t="inlineStr">
        <is>
          <t>VÄSTRA GÖTALANDS LÄN</t>
        </is>
      </c>
      <c r="G388" t="inlineStr">
        <is>
          <t>BORÅS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54361-2022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44882</v>
      </c>
      <c r="E389" s="1" t="n">
        <v>46298</v>
      </c>
      <c r="F389" t="inlineStr">
        <is>
          <t>VÄSTRA GÖTALANDS LÄN</t>
        </is>
      </c>
      <c r="G389" t="inlineStr">
        <is>
          <t>BORÅS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45870</v>
      </c>
      <c r="E390" s="1" t="n">
        <v>46298</v>
      </c>
      <c r="F390" t="inlineStr">
        <is>
          <t>VÄSTRA GÖTALANDS LÄN</t>
        </is>
      </c>
      <c r="G390" t="inlineStr">
        <is>
          <t>BORÅS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41778-2023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45176</v>
      </c>
      <c r="E391" s="1" t="n">
        <v>46298</v>
      </c>
      <c r="F391" t="inlineStr">
        <is>
          <t>VÄSTRA GÖTALANDS LÄN</t>
        </is>
      </c>
      <c r="G391" t="inlineStr">
        <is>
          <t>BORÅS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45610</v>
      </c>
      <c r="E392" s="1" t="n">
        <v>46298</v>
      </c>
      <c r="F392" t="inlineStr">
        <is>
          <t>VÄSTRA GÖTALANDS LÄN</t>
        </is>
      </c>
      <c r="G392" t="inlineStr">
        <is>
          <t>BORÅS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44592</v>
      </c>
      <c r="E393" s="1" t="n">
        <v>46298</v>
      </c>
      <c r="F393" t="inlineStr">
        <is>
          <t>VÄSTRA GÖTALANDS LÄN</t>
        </is>
      </c>
      <c r="G393" t="inlineStr">
        <is>
          <t>BORÅS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45315</v>
      </c>
      <c r="E394" s="1" t="n">
        <v>46298</v>
      </c>
      <c r="F394" t="inlineStr">
        <is>
          <t>VÄSTRA GÖTALANDS LÄN</t>
        </is>
      </c>
      <c r="G394" t="inlineStr">
        <is>
          <t>BORÅS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57365-2022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44896</v>
      </c>
      <c r="E395" s="1" t="n">
        <v>46298</v>
      </c>
      <c r="F395" t="inlineStr">
        <is>
          <t>VÄSTRA GÖTALANDS LÄN</t>
        </is>
      </c>
      <c r="G395" t="inlineStr">
        <is>
          <t>BORÅS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20279-2026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46136</v>
      </c>
      <c r="E396" s="1" t="n">
        <v>46298</v>
      </c>
      <c r="F396" t="inlineStr">
        <is>
          <t>VÄSTRA GÖTALANDS LÄN</t>
        </is>
      </c>
      <c r="G396" t="inlineStr">
        <is>
          <t>BORÅS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45085</v>
      </c>
      <c r="E397" s="1" t="n">
        <v>46298</v>
      </c>
      <c r="F397" t="inlineStr">
        <is>
          <t>VÄSTRA GÖTALANDS LÄN</t>
        </is>
      </c>
      <c r="G397" t="inlineStr">
        <is>
          <t>BORÅS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43185-2024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45567</v>
      </c>
      <c r="E398" s="1" t="n">
        <v>46298</v>
      </c>
      <c r="F398" t="inlineStr">
        <is>
          <t>VÄSTRA GÖTALANDS LÄN</t>
        </is>
      </c>
      <c r="G398" t="inlineStr">
        <is>
          <t>BORÅS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45935</v>
      </c>
      <c r="E399" s="1" t="n">
        <v>46298</v>
      </c>
      <c r="F399" t="inlineStr">
        <is>
          <t>VÄSTRA GÖTALANDS LÄN</t>
        </is>
      </c>
      <c r="G399" t="inlineStr">
        <is>
          <t>BORÅS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27334-2024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45472</v>
      </c>
      <c r="E400" s="1" t="n">
        <v>46298</v>
      </c>
      <c r="F400" t="inlineStr">
        <is>
          <t>VÄSTRA GÖTALANDS LÄN</t>
        </is>
      </c>
      <c r="G400" t="inlineStr">
        <is>
          <t>BORÅS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45612</v>
      </c>
      <c r="E401" s="1" t="n">
        <v>46298</v>
      </c>
      <c r="F401" t="inlineStr">
        <is>
          <t>VÄSTRA GÖTALANDS LÄN</t>
        </is>
      </c>
      <c r="G401" t="inlineStr">
        <is>
          <t>BORÅS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46298</v>
      </c>
      <c r="F402" t="inlineStr">
        <is>
          <t>VÄSTRA GÖTALANDS LÄN</t>
        </is>
      </c>
      <c r="G402" t="inlineStr">
        <is>
          <t>BORÅS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22016-2026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46298</v>
      </c>
      <c r="F403" t="inlineStr">
        <is>
          <t>VÄSTRA GÖTALANDS LÄN</t>
        </is>
      </c>
      <c r="G403" t="inlineStr">
        <is>
          <t>BORÅS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45412</v>
      </c>
      <c r="E404" s="1" t="n">
        <v>46298</v>
      </c>
      <c r="F404" t="inlineStr">
        <is>
          <t>VÄSTRA GÖTALANDS LÄN</t>
        </is>
      </c>
      <c r="G404" t="inlineStr">
        <is>
          <t>BORÅS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46298</v>
      </c>
      <c r="F405" t="inlineStr">
        <is>
          <t>VÄSTRA GÖTALANDS LÄN</t>
        </is>
      </c>
      <c r="G405" t="inlineStr">
        <is>
          <t>BORÅS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9056-2024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45357</v>
      </c>
      <c r="E406" s="1" t="n">
        <v>46298</v>
      </c>
      <c r="F406" t="inlineStr">
        <is>
          <t>VÄSTRA GÖTALANDS LÄN</t>
        </is>
      </c>
      <c r="G406" t="inlineStr">
        <is>
          <t>BORÅS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46298</v>
      </c>
      <c r="F407" t="inlineStr">
        <is>
          <t>VÄSTRA GÖTALANDS LÄN</t>
        </is>
      </c>
      <c r="G407" t="inlineStr">
        <is>
          <t>BORÅS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46298</v>
      </c>
      <c r="F408" t="inlineStr">
        <is>
          <t>VÄSTRA GÖTALANDS LÄN</t>
        </is>
      </c>
      <c r="G408" t="inlineStr">
        <is>
          <t>BORÅS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46298</v>
      </c>
      <c r="F409" t="inlineStr">
        <is>
          <t>VÄSTRA GÖTALANDS LÄN</t>
        </is>
      </c>
      <c r="G409" t="inlineStr">
        <is>
          <t>BORÅS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46298</v>
      </c>
      <c r="F410" t="inlineStr">
        <is>
          <t>VÄSTRA GÖTALANDS LÄN</t>
        </is>
      </c>
      <c r="G410" t="inlineStr">
        <is>
          <t>BORÅS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46113</v>
      </c>
      <c r="E411" s="1" t="n">
        <v>46298</v>
      </c>
      <c r="F411" t="inlineStr">
        <is>
          <t>VÄSTRA GÖTALANDS LÄN</t>
        </is>
      </c>
      <c r="G411" t="inlineStr">
        <is>
          <t>BORÅS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22369-2026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46298</v>
      </c>
      <c r="F412" t="inlineStr">
        <is>
          <t>VÄSTRA GÖTALANDS LÄN</t>
        </is>
      </c>
      <c r="G412" t="inlineStr">
        <is>
          <t>BORÅS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46298</v>
      </c>
      <c r="F413" t="inlineStr">
        <is>
          <t>VÄSTRA GÖTALANDS LÄN</t>
        </is>
      </c>
      <c r="G413" t="inlineStr">
        <is>
          <t>BORÅS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45546</v>
      </c>
      <c r="E414" s="1" t="n">
        <v>46298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46298</v>
      </c>
      <c r="F415" t="inlineStr">
        <is>
          <t>VÄSTRA GÖTALANDS LÄN</t>
        </is>
      </c>
      <c r="G415" t="inlineStr">
        <is>
          <t>BORÅS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52410-2023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45224</v>
      </c>
      <c r="E416" s="1" t="n">
        <v>46298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45762</v>
      </c>
      <c r="E417" s="1" t="n">
        <v>46298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Kommuner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6203-2024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45337</v>
      </c>
      <c r="E418" s="1" t="n">
        <v>46298</v>
      </c>
      <c r="F418" t="inlineStr">
        <is>
          <t>VÄSTRA GÖTALANDS LÄN</t>
        </is>
      </c>
      <c r="G418" t="inlineStr">
        <is>
          <t>BORÅS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61452-2023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45264</v>
      </c>
      <c r="E419" s="1" t="n">
        <v>46298</v>
      </c>
      <c r="F419" t="inlineStr">
        <is>
          <t>VÄSTRA GÖTALANDS LÄN</t>
        </is>
      </c>
      <c r="G419" t="inlineStr">
        <is>
          <t>BORÅS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46298</v>
      </c>
      <c r="F420" t="inlineStr">
        <is>
          <t>VÄSTRA GÖTALANDS LÄN</t>
        </is>
      </c>
      <c r="G420" t="inlineStr">
        <is>
          <t>BORÅS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46298</v>
      </c>
      <c r="F421" t="inlineStr">
        <is>
          <t>VÄSTRA GÖTALANDS LÄN</t>
        </is>
      </c>
      <c r="G421" t="inlineStr">
        <is>
          <t>BORÅS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46298</v>
      </c>
      <c r="F422" t="inlineStr">
        <is>
          <t>VÄSTRA GÖTALANDS LÄN</t>
        </is>
      </c>
      <c r="G422" t="inlineStr">
        <is>
          <t>BORÅS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45119</v>
      </c>
      <c r="E423" s="1" t="n">
        <v>46298</v>
      </c>
      <c r="F423" t="inlineStr">
        <is>
          <t>VÄSTRA GÖTALANDS LÄN</t>
        </is>
      </c>
      <c r="G423" t="inlineStr">
        <is>
          <t>BORÅS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41048-2022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44825</v>
      </c>
      <c r="E424" s="1" t="n">
        <v>46298</v>
      </c>
      <c r="F424" t="inlineStr">
        <is>
          <t>VÄSTRA GÖTALANDS LÄN</t>
        </is>
      </c>
      <c r="G424" t="inlineStr">
        <is>
          <t>BORÅS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46298</v>
      </c>
      <c r="F425" t="inlineStr">
        <is>
          <t>VÄSTRA GÖTALANDS LÄN</t>
        </is>
      </c>
      <c r="G425" t="inlineStr">
        <is>
          <t>BORÅS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41838-2023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45176</v>
      </c>
      <c r="E426" s="1" t="n">
        <v>46298</v>
      </c>
      <c r="F426" t="inlineStr">
        <is>
          <t>VÄSTRA GÖTALANDS LÄN</t>
        </is>
      </c>
      <c r="G426" t="inlineStr">
        <is>
          <t>BORÅS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46298</v>
      </c>
      <c r="F427" t="inlineStr">
        <is>
          <t>VÄSTRA GÖTALANDS LÄN</t>
        </is>
      </c>
      <c r="G427" t="inlineStr">
        <is>
          <t>BORÅS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45308</v>
      </c>
      <c r="E428" s="1" t="n">
        <v>46298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Kommuner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44958</v>
      </c>
      <c r="E429" s="1" t="n">
        <v>46298</v>
      </c>
      <c r="F429" t="inlineStr">
        <is>
          <t>VÄSTRA GÖTALANDS LÄN</t>
        </is>
      </c>
      <c r="G429" t="inlineStr">
        <is>
          <t>BORÅS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46298</v>
      </c>
      <c r="F430" t="inlineStr">
        <is>
          <t>VÄSTRA GÖTALANDS LÄN</t>
        </is>
      </c>
      <c r="G430" t="inlineStr">
        <is>
          <t>BORÅS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46298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44941</v>
      </c>
      <c r="E432" s="1" t="n">
        <v>46298</v>
      </c>
      <c r="F432" t="inlineStr">
        <is>
          <t>VÄSTRA GÖTALANDS LÄN</t>
        </is>
      </c>
      <c r="G432" t="inlineStr">
        <is>
          <t>BORÅS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45268</v>
      </c>
      <c r="E433" s="1" t="n">
        <v>46298</v>
      </c>
      <c r="F433" t="inlineStr">
        <is>
          <t>VÄSTRA GÖTALANDS LÄN</t>
        </is>
      </c>
      <c r="G433" t="inlineStr">
        <is>
          <t>BORÅS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46298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46298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45845</v>
      </c>
      <c r="E436" s="1" t="n">
        <v>46298</v>
      </c>
      <c r="F436" t="inlineStr">
        <is>
          <t>VÄSTRA GÖTALANDS LÄN</t>
        </is>
      </c>
      <c r="G436" t="inlineStr">
        <is>
          <t>BORÅS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59217-2024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45637</v>
      </c>
      <c r="E437" s="1" t="n">
        <v>46298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46298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46176</v>
      </c>
      <c r="E439" s="1" t="n">
        <v>46298</v>
      </c>
      <c r="F439" t="inlineStr">
        <is>
          <t>VÄSTRA GÖTALANDS LÄN</t>
        </is>
      </c>
      <c r="G439" t="inlineStr">
        <is>
          <t>BORÅS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25238-2026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46175</v>
      </c>
      <c r="E440" s="1" t="n">
        <v>46298</v>
      </c>
      <c r="F440" t="inlineStr">
        <is>
          <t>VÄSTRA GÖTALANDS LÄN</t>
        </is>
      </c>
      <c r="G440" t="inlineStr">
        <is>
          <t>BORÅS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49112-2023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45210</v>
      </c>
      <c r="E441" s="1" t="n">
        <v>46298</v>
      </c>
      <c r="F441" t="inlineStr">
        <is>
          <t>VÄSTRA GÖTALANDS LÄN</t>
        </is>
      </c>
      <c r="G441" t="inlineStr">
        <is>
          <t>BORÅS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46298</v>
      </c>
      <c r="F442" t="inlineStr">
        <is>
          <t>VÄSTRA GÖTALANDS LÄN</t>
        </is>
      </c>
      <c r="G442" t="inlineStr">
        <is>
          <t>BORÅS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26233-2026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46298</v>
      </c>
      <c r="F443" t="inlineStr">
        <is>
          <t>VÄSTRA GÖTALANDS LÄN</t>
        </is>
      </c>
      <c r="G443" t="inlineStr">
        <is>
          <t>BORÅS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46183</v>
      </c>
      <c r="E444" s="1" t="n">
        <v>46298</v>
      </c>
      <c r="F444" t="inlineStr">
        <is>
          <t>VÄSTRA GÖTALANDS LÄN</t>
        </is>
      </c>
      <c r="G444" t="inlineStr">
        <is>
          <t>BORÅS</t>
        </is>
      </c>
      <c r="H444" t="inlineStr">
        <is>
          <t>Kyrkan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46298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Kyrkan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46298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Kyrkan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46184</v>
      </c>
      <c r="E447" s="1" t="n">
        <v>46298</v>
      </c>
      <c r="F447" t="inlineStr">
        <is>
          <t>VÄSTRA GÖTALANDS LÄN</t>
        </is>
      </c>
      <c r="G447" t="inlineStr">
        <is>
          <t>BORÅS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46298</v>
      </c>
      <c r="F448" t="inlineStr">
        <is>
          <t>VÄSTRA GÖTALANDS LÄN</t>
        </is>
      </c>
      <c r="G448" t="inlineStr">
        <is>
          <t>BORÅS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46184</v>
      </c>
      <c r="E449" s="1" t="n">
        <v>46298</v>
      </c>
      <c r="F449" t="inlineStr">
        <is>
          <t>VÄSTRA GÖTALANDS LÄN</t>
        </is>
      </c>
      <c r="G449" t="inlineStr">
        <is>
          <t>BORÅS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46298</v>
      </c>
      <c r="F450" t="inlineStr">
        <is>
          <t>VÄSTRA GÖTALANDS LÄN</t>
        </is>
      </c>
      <c r="G450" t="inlineStr">
        <is>
          <t>BORÅS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45321</v>
      </c>
      <c r="E451" s="1" t="n">
        <v>46298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Kommuner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45321</v>
      </c>
      <c r="E452" s="1" t="n">
        <v>46298</v>
      </c>
      <c r="F452" t="inlineStr">
        <is>
          <t>VÄSTRA GÖTALANDS LÄN</t>
        </is>
      </c>
      <c r="G452" t="inlineStr">
        <is>
          <t>BORÅS</t>
        </is>
      </c>
      <c r="H452" t="inlineStr">
        <is>
          <t>Kommuner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32443-2023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45120</v>
      </c>
      <c r="E453" s="1" t="n">
        <v>46298</v>
      </c>
      <c r="F453" t="inlineStr">
        <is>
          <t>VÄSTRA GÖTALANDS LÄN</t>
        </is>
      </c>
      <c r="G453" t="inlineStr">
        <is>
          <t>BORÅS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46298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21168-2022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44704</v>
      </c>
      <c r="E455" s="1" t="n">
        <v>46298</v>
      </c>
      <c r="F455" t="inlineStr">
        <is>
          <t>VÄSTRA GÖTALANDS LÄN</t>
        </is>
      </c>
      <c r="G455" t="inlineStr">
        <is>
          <t>BORÅS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57782-2022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44897</v>
      </c>
      <c r="E456" s="1" t="n">
        <v>46298</v>
      </c>
      <c r="F456" t="inlineStr">
        <is>
          <t>VÄSTRA GÖTALANDS LÄN</t>
        </is>
      </c>
      <c r="G456" t="inlineStr">
        <is>
          <t>BORÅS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44652</v>
      </c>
      <c r="E457" s="1" t="n">
        <v>46298</v>
      </c>
      <c r="F457" t="inlineStr">
        <is>
          <t>VÄSTRA GÖTALANDS LÄN</t>
        </is>
      </c>
      <c r="G457" t="inlineStr">
        <is>
          <t>BORÅS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38421-2024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45546</v>
      </c>
      <c r="E458" s="1" t="n">
        <v>46298</v>
      </c>
      <c r="F458" t="inlineStr">
        <is>
          <t>VÄSTRA GÖTALANDS LÄN</t>
        </is>
      </c>
      <c r="G458" t="inlineStr">
        <is>
          <t>BORÅS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47835-2023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46298</v>
      </c>
      <c r="F459" t="inlineStr">
        <is>
          <t>VÄSTRA GÖTALANDS LÄN</t>
        </is>
      </c>
      <c r="G459" t="inlineStr">
        <is>
          <t>BORÅS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20062-2025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45772</v>
      </c>
      <c r="E460" s="1" t="n">
        <v>46298</v>
      </c>
      <c r="F460" t="inlineStr">
        <is>
          <t>VÄSTRA GÖTALANDS LÄN</t>
        </is>
      </c>
      <c r="G460" t="inlineStr">
        <is>
          <t>BORÅS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46298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46298</v>
      </c>
      <c r="F462" t="inlineStr">
        <is>
          <t>VÄSTRA GÖTALANDS LÄN</t>
        </is>
      </c>
      <c r="G462" t="inlineStr">
        <is>
          <t>BORÅS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29513-2026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46298</v>
      </c>
      <c r="F463" t="inlineStr">
        <is>
          <t>VÄSTRA GÖTALANDS LÄN</t>
        </is>
      </c>
      <c r="G463" t="inlineStr">
        <is>
          <t>BORÅS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19482-2023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45050</v>
      </c>
      <c r="E464" s="1" t="n">
        <v>46298</v>
      </c>
      <c r="F464" t="inlineStr">
        <is>
          <t>VÄSTRA GÖTALANDS LÄN</t>
        </is>
      </c>
      <c r="G464" t="inlineStr">
        <is>
          <t>BORÅS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44155-2022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44839</v>
      </c>
      <c r="E465" s="1" t="n">
        <v>46298</v>
      </c>
      <c r="F465" t="inlineStr">
        <is>
          <t>VÄSTRA GÖTALANDS LÄN</t>
        </is>
      </c>
      <c r="G465" t="inlineStr">
        <is>
          <t>BORÅS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46298</v>
      </c>
      <c r="F466" t="inlineStr">
        <is>
          <t>VÄSTRA GÖTALANDS LÄN</t>
        </is>
      </c>
      <c r="G466" t="inlineStr">
        <is>
          <t>BORÅS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45120</v>
      </c>
      <c r="E467" s="1" t="n">
        <v>46298</v>
      </c>
      <c r="F467" t="inlineStr">
        <is>
          <t>VÄSTRA GÖTALANDS LÄN</t>
        </is>
      </c>
      <c r="G467" t="inlineStr">
        <is>
          <t>BORÅS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46298</v>
      </c>
      <c r="F468" t="inlineStr">
        <is>
          <t>VÄSTRA GÖTALANDS LÄN</t>
        </is>
      </c>
      <c r="G468" t="inlineStr">
        <is>
          <t>BORÅS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46298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5964-2023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44964</v>
      </c>
      <c r="E470" s="1" t="n">
        <v>46298</v>
      </c>
      <c r="F470" t="inlineStr">
        <is>
          <t>VÄSTRA GÖTALANDS LÄN</t>
        </is>
      </c>
      <c r="G470" t="inlineStr">
        <is>
          <t>BORÅS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46298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Kyrkan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12584-2022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44639</v>
      </c>
      <c r="E472" s="1" t="n">
        <v>46298</v>
      </c>
      <c r="F472" t="inlineStr">
        <is>
          <t>VÄSTRA GÖTALANDS LÄN</t>
        </is>
      </c>
      <c r="G472" t="inlineStr">
        <is>
          <t>BORÅS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46298</v>
      </c>
      <c r="F473" t="inlineStr">
        <is>
          <t>VÄSTRA GÖTALANDS LÄN</t>
        </is>
      </c>
      <c r="G473" t="inlineStr">
        <is>
          <t>BORÅS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45212</v>
      </c>
      <c r="E474" s="1" t="n">
        <v>46298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45239</v>
      </c>
      <c r="E475" s="1" t="n">
        <v>46298</v>
      </c>
      <c r="F475" t="inlineStr">
        <is>
          <t>VÄSTRA GÖTALANDS LÄN</t>
        </is>
      </c>
      <c r="G475" t="inlineStr">
        <is>
          <t>BORÅS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45538</v>
      </c>
      <c r="E476" s="1" t="n">
        <v>46298</v>
      </c>
      <c r="F476" t="inlineStr">
        <is>
          <t>VÄSTRA GÖTALANDS LÄN</t>
        </is>
      </c>
      <c r="G476" t="inlineStr">
        <is>
          <t>BORÅS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46298</v>
      </c>
      <c r="F477" t="inlineStr">
        <is>
          <t>VÄSTRA GÖTALANDS LÄN</t>
        </is>
      </c>
      <c r="G477" t="inlineStr">
        <is>
          <t>BORÅS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46298</v>
      </c>
      <c r="F478" t="inlineStr">
        <is>
          <t>VÄSTRA GÖTALANDS LÄN</t>
        </is>
      </c>
      <c r="G478" t="inlineStr">
        <is>
          <t>BORÅS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46298</v>
      </c>
      <c r="F479" t="inlineStr">
        <is>
          <t>VÄSTRA GÖTALANDS LÄN</t>
        </is>
      </c>
      <c r="G479" t="inlineStr">
        <is>
          <t>BORÅS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46298</v>
      </c>
      <c r="F480" t="inlineStr">
        <is>
          <t>VÄSTRA GÖTALANDS LÄN</t>
        </is>
      </c>
      <c r="G480" t="inlineStr">
        <is>
          <t>BORÅS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46203</v>
      </c>
      <c r="E481" s="1" t="n">
        <v>46298</v>
      </c>
      <c r="F481" t="inlineStr">
        <is>
          <t>VÄSTRA GÖTALANDS LÄN</t>
        </is>
      </c>
      <c r="G481" t="inlineStr">
        <is>
          <t>BORÅS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30152-2026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46298</v>
      </c>
      <c r="F482" t="inlineStr">
        <is>
          <t>VÄSTRA GÖTALANDS LÄN</t>
        </is>
      </c>
      <c r="G482" t="inlineStr">
        <is>
          <t>BORÅS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44958</v>
      </c>
      <c r="E483" s="1" t="n">
        <v>46298</v>
      </c>
      <c r="F483" t="inlineStr">
        <is>
          <t>VÄSTRA GÖTALANDS LÄN</t>
        </is>
      </c>
      <c r="G483" t="inlineStr">
        <is>
          <t>BORÅS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45148</v>
      </c>
      <c r="E484" s="1" t="n">
        <v>46298</v>
      </c>
      <c r="F484" t="inlineStr">
        <is>
          <t>VÄSTRA GÖTALANDS LÄN</t>
        </is>
      </c>
      <c r="G484" t="inlineStr">
        <is>
          <t>BORÅS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45015</v>
      </c>
      <c r="E485" s="1" t="n">
        <v>46298</v>
      </c>
      <c r="F485" t="inlineStr">
        <is>
          <t>VÄSTRA GÖTALANDS LÄN</t>
        </is>
      </c>
      <c r="G485" t="inlineStr">
        <is>
          <t>BORÅS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72566-2021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44546</v>
      </c>
      <c r="E486" s="1" t="n">
        <v>46298</v>
      </c>
      <c r="F486" t="inlineStr">
        <is>
          <t>VÄSTRA GÖTALANDS LÄN</t>
        </is>
      </c>
      <c r="G486" t="inlineStr">
        <is>
          <t>BORÅS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45205</v>
      </c>
      <c r="E487" s="1" t="n">
        <v>46298</v>
      </c>
      <c r="F487" t="inlineStr">
        <is>
          <t>VÄSTRA GÖTALANDS LÄN</t>
        </is>
      </c>
      <c r="G487" t="inlineStr">
        <is>
          <t>BORÅS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46298</v>
      </c>
      <c r="F488" t="inlineStr">
        <is>
          <t>VÄSTRA GÖTALANDS LÄN</t>
        </is>
      </c>
      <c r="G488" t="inlineStr">
        <is>
          <t>BORÅS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45044</v>
      </c>
      <c r="E489" s="1" t="n">
        <v>46298</v>
      </c>
      <c r="F489" t="inlineStr">
        <is>
          <t>VÄSTRA GÖTALANDS LÄN</t>
        </is>
      </c>
      <c r="G489" t="inlineStr">
        <is>
          <t>BORÅS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45582</v>
      </c>
      <c r="E490" s="1" t="n">
        <v>46298</v>
      </c>
      <c r="F490" t="inlineStr">
        <is>
          <t>VÄSTRA GÖTALANDS LÄN</t>
        </is>
      </c>
      <c r="G490" t="inlineStr">
        <is>
          <t>BORÅS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46298</v>
      </c>
      <c r="F491" t="inlineStr">
        <is>
          <t>VÄSTRA GÖTALANDS LÄN</t>
        </is>
      </c>
      <c r="G491" t="inlineStr">
        <is>
          <t>BORÅS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44506-2023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45189</v>
      </c>
      <c r="E492" s="1" t="n">
        <v>46298</v>
      </c>
      <c r="F492" t="inlineStr">
        <is>
          <t>VÄSTRA GÖTALANDS LÄN</t>
        </is>
      </c>
      <c r="G492" t="inlineStr">
        <is>
          <t>BORÅS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35245-2026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46260</v>
      </c>
      <c r="E493" s="1" t="n">
        <v>46298</v>
      </c>
      <c r="F493" t="inlineStr">
        <is>
          <t>VÄSTRA GÖTALANDS LÄN</t>
        </is>
      </c>
      <c r="G493" t="inlineStr">
        <is>
          <t>BORÅS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19852-2025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45771</v>
      </c>
      <c r="E494" s="1" t="n">
        <v>46298</v>
      </c>
      <c r="F494" t="inlineStr">
        <is>
          <t>VÄSTRA GÖTALANDS LÄN</t>
        </is>
      </c>
      <c r="G494" t="inlineStr">
        <is>
          <t>BORÅS</t>
        </is>
      </c>
      <c r="I494" t="n">
        <v>8.6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46217</v>
      </c>
      <c r="E495" s="1" t="n">
        <v>46298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46260</v>
      </c>
      <c r="E496" s="1" t="n">
        <v>46298</v>
      </c>
      <c r="F496" t="inlineStr">
        <is>
          <t>VÄSTRA GÖTALANDS LÄN</t>
        </is>
      </c>
      <c r="G496" t="inlineStr">
        <is>
          <t>BORÅS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35243-2026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46298</v>
      </c>
      <c r="F497" t="inlineStr">
        <is>
          <t>VÄSTRA GÖTALANDS LÄN</t>
        </is>
      </c>
      <c r="G497" t="inlineStr">
        <is>
          <t>BORÅS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48504-2024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45593</v>
      </c>
      <c r="E498" s="1" t="n">
        <v>46298</v>
      </c>
      <c r="F498" t="inlineStr">
        <is>
          <t>VÄSTRA GÖTALANDS LÄN</t>
        </is>
      </c>
      <c r="G498" t="inlineStr">
        <is>
          <t>BORÅS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35130-2026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46260</v>
      </c>
      <c r="E499" s="1" t="n">
        <v>46298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46260</v>
      </c>
      <c r="E500" s="1" t="n">
        <v>46298</v>
      </c>
      <c r="F500" t="inlineStr">
        <is>
          <t>VÄSTRA GÖTALANDS LÄN</t>
        </is>
      </c>
      <c r="G500" t="inlineStr">
        <is>
          <t>BORÅS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35139-2026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46260</v>
      </c>
      <c r="E501" s="1" t="n">
        <v>46298</v>
      </c>
      <c r="F501" t="inlineStr">
        <is>
          <t>VÄSTRA GÖTALANDS LÄN</t>
        </is>
      </c>
      <c r="G501" t="inlineStr">
        <is>
          <t>BORÅS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38970-2024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45548</v>
      </c>
      <c r="E502" s="1" t="n">
        <v>46298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46298</v>
      </c>
      <c r="F503" t="inlineStr">
        <is>
          <t>VÄSTRA GÖTALANDS LÄN</t>
        </is>
      </c>
      <c r="G503" t="inlineStr">
        <is>
          <t>BORÅS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45756</v>
      </c>
      <c r="E504" s="1" t="n">
        <v>46298</v>
      </c>
      <c r="F504" t="inlineStr">
        <is>
          <t>VÄSTRA GÖTALANDS LÄN</t>
        </is>
      </c>
      <c r="G504" t="inlineStr">
        <is>
          <t>BORÅS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21180-2024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45440</v>
      </c>
      <c r="E505" s="1" t="n">
        <v>46298</v>
      </c>
      <c r="F505" t="inlineStr">
        <is>
          <t>VÄSTRA GÖTALANDS LÄN</t>
        </is>
      </c>
      <c r="G505" t="inlineStr">
        <is>
          <t>BORÅS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45670</v>
      </c>
      <c r="E506" s="1" t="n">
        <v>46298</v>
      </c>
      <c r="F506" t="inlineStr">
        <is>
          <t>VÄSTRA GÖTALANDS LÄN</t>
        </is>
      </c>
      <c r="G506" t="inlineStr">
        <is>
          <t>BORÅS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46298</v>
      </c>
      <c r="F507" t="inlineStr">
        <is>
          <t>VÄSTRA GÖTALANDS LÄN</t>
        </is>
      </c>
      <c r="G507" t="inlineStr">
        <is>
          <t>BORÅS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20724-2023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45058</v>
      </c>
      <c r="E508" s="1" t="n">
        <v>46298</v>
      </c>
      <c r="F508" t="inlineStr">
        <is>
          <t>VÄSTRA GÖTALANDS LÄN</t>
        </is>
      </c>
      <c r="G508" t="inlineStr">
        <is>
          <t>BORÅS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46298</v>
      </c>
      <c r="F509" t="inlineStr">
        <is>
          <t>VÄSTRA GÖTALANDS LÄN</t>
        </is>
      </c>
      <c r="G509" t="inlineStr">
        <is>
          <t>BORÅS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46224</v>
      </c>
      <c r="E510" s="1" t="n">
        <v>46298</v>
      </c>
      <c r="F510" t="inlineStr">
        <is>
          <t>VÄSTRA GÖTALANDS LÄN</t>
        </is>
      </c>
      <c r="G510" t="inlineStr">
        <is>
          <t>BORÅS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46268</v>
      </c>
      <c r="E511" s="1" t="n">
        <v>46298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45294</v>
      </c>
      <c r="E512" s="1" t="n">
        <v>46298</v>
      </c>
      <c r="F512" t="inlineStr">
        <is>
          <t>VÄSTRA GÖTALANDS LÄN</t>
        </is>
      </c>
      <c r="G512" t="inlineStr">
        <is>
          <t>BORÅS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45308</v>
      </c>
      <c r="E513" s="1" t="n">
        <v>46298</v>
      </c>
      <c r="F513" t="inlineStr">
        <is>
          <t>VÄSTRA GÖTALANDS LÄN</t>
        </is>
      </c>
      <c r="G513" t="inlineStr">
        <is>
          <t>BORÅS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46298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46298</v>
      </c>
      <c r="F515" t="inlineStr">
        <is>
          <t>VÄSTRA GÖTALANDS LÄN</t>
        </is>
      </c>
      <c r="G515" t="inlineStr">
        <is>
          <t>BORÅS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45294</v>
      </c>
      <c r="E516" s="1" t="n">
        <v>46298</v>
      </c>
      <c r="F516" t="inlineStr">
        <is>
          <t>VÄSTRA GÖTALANDS LÄN</t>
        </is>
      </c>
      <c r="G516" t="inlineStr">
        <is>
          <t>BORÅS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45294</v>
      </c>
      <c r="E517" s="1" t="n">
        <v>46298</v>
      </c>
      <c r="F517" t="inlineStr">
        <is>
          <t>VÄSTRA GÖTALANDS LÄN</t>
        </is>
      </c>
      <c r="G517" t="inlineStr">
        <is>
          <t>BORÅS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45294</v>
      </c>
      <c r="E518" s="1" t="n">
        <v>46298</v>
      </c>
      <c r="F518" t="inlineStr">
        <is>
          <t>VÄSTRA GÖTALANDS LÄN</t>
        </is>
      </c>
      <c r="G518" t="inlineStr">
        <is>
          <t>BORÅS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50605-2022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44866</v>
      </c>
      <c r="E519" s="1" t="n">
        <v>46298</v>
      </c>
      <c r="F519" t="inlineStr">
        <is>
          <t>VÄSTRA GÖTALANDS LÄN</t>
        </is>
      </c>
      <c r="G519" t="inlineStr">
        <is>
          <t>BORÅS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56007-2023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45240</v>
      </c>
      <c r="E520" s="1" t="n">
        <v>46298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45113</v>
      </c>
      <c r="E521" s="1" t="n">
        <v>46298</v>
      </c>
      <c r="F521" t="inlineStr">
        <is>
          <t>VÄSTRA GÖTALANDS LÄN</t>
        </is>
      </c>
      <c r="G521" t="inlineStr">
        <is>
          <t>BORÅS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38127-2026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46280</v>
      </c>
      <c r="E522" s="1" t="n">
        <v>46298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46298</v>
      </c>
      <c r="F523" t="inlineStr">
        <is>
          <t>VÄSTRA GÖTALANDS LÄN</t>
        </is>
      </c>
      <c r="G523" t="inlineStr">
        <is>
          <t>BORÅS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46382-2023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45197</v>
      </c>
      <c r="E524" s="1" t="n">
        <v>46298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43645-2023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45186</v>
      </c>
      <c r="E525" s="1" t="n">
        <v>46298</v>
      </c>
      <c r="F525" t="inlineStr">
        <is>
          <t>VÄSTRA GÖTALANDS LÄN</t>
        </is>
      </c>
      <c r="G525" t="inlineStr">
        <is>
          <t>BORÅS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49477-2023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46298</v>
      </c>
      <c r="F526" t="inlineStr">
        <is>
          <t>VÄSTRA GÖTALANDS LÄN</t>
        </is>
      </c>
      <c r="G526" t="inlineStr">
        <is>
          <t>BORÅS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45477</v>
      </c>
      <c r="E527" s="1" t="n">
        <v>46298</v>
      </c>
      <c r="F527" t="inlineStr">
        <is>
          <t>VÄSTRA GÖTALANDS LÄN</t>
        </is>
      </c>
      <c r="G527" t="inlineStr">
        <is>
          <t>BORÅS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46298</v>
      </c>
      <c r="F528" t="inlineStr">
        <is>
          <t>VÄSTRA GÖTALANDS LÄN</t>
        </is>
      </c>
      <c r="G528" t="inlineStr">
        <is>
          <t>BORÅS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45119</v>
      </c>
      <c r="E529" s="1" t="n">
        <v>46298</v>
      </c>
      <c r="F529" t="inlineStr">
        <is>
          <t>VÄSTRA GÖTALANDS LÄN</t>
        </is>
      </c>
      <c r="G529" t="inlineStr">
        <is>
          <t>BORÅS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31213-2022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44771</v>
      </c>
      <c r="E530" s="1" t="n">
        <v>46298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Kyrkan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23504-2025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45792</v>
      </c>
      <c r="E531" s="1" t="n">
        <v>46298</v>
      </c>
      <c r="F531" t="inlineStr">
        <is>
          <t>VÄSTRA GÖTALANDS LÄN</t>
        </is>
      </c>
      <c r="G531" t="inlineStr">
        <is>
          <t>BORÅS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52486-2023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45225</v>
      </c>
      <c r="E532" s="1" t="n">
        <v>46298</v>
      </c>
      <c r="F532" t="inlineStr">
        <is>
          <t>VÄSTRA GÖTALANDS LÄN</t>
        </is>
      </c>
      <c r="G532" t="inlineStr">
        <is>
          <t>BORÅS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52957-2022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44875</v>
      </c>
      <c r="E533" s="1" t="n">
        <v>46298</v>
      </c>
      <c r="F533" t="inlineStr">
        <is>
          <t>VÄSTRA GÖTALANDS LÄN</t>
        </is>
      </c>
      <c r="G533" t="inlineStr">
        <is>
          <t>BORÅS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45895</v>
      </c>
      <c r="E534" s="1" t="n">
        <v>46298</v>
      </c>
      <c r="F534" t="inlineStr">
        <is>
          <t>VÄSTRA GÖTALANDS LÄN</t>
        </is>
      </c>
      <c r="G534" t="inlineStr">
        <is>
          <t>BORÅS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46298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45631</v>
      </c>
      <c r="E536" s="1" t="n">
        <v>46298</v>
      </c>
      <c r="F536" t="inlineStr">
        <is>
          <t>VÄSTRA GÖTALANDS LÄN</t>
        </is>
      </c>
      <c r="G536" t="inlineStr">
        <is>
          <t>BORÅS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46298</v>
      </c>
      <c r="F537" t="inlineStr">
        <is>
          <t>VÄSTRA GÖTALANDS LÄN</t>
        </is>
      </c>
      <c r="G537" t="inlineStr">
        <is>
          <t>BORÅS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46298</v>
      </c>
      <c r="F538" t="inlineStr">
        <is>
          <t>VÄSTRA GÖTALANDS LÄN</t>
        </is>
      </c>
      <c r="G538" t="inlineStr">
        <is>
          <t>BORÅS</t>
        </is>
      </c>
      <c r="H538" t="inlineStr">
        <is>
          <t>Kommuner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45120</v>
      </c>
      <c r="E539" s="1" t="n">
        <v>46298</v>
      </c>
      <c r="F539" t="inlineStr">
        <is>
          <t>VÄSTRA GÖTALANDS LÄN</t>
        </is>
      </c>
      <c r="G539" t="inlineStr">
        <is>
          <t>BORÅS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46298</v>
      </c>
      <c r="F540" t="inlineStr">
        <is>
          <t>VÄSTRA GÖTALANDS LÄN</t>
        </is>
      </c>
      <c r="G540" t="inlineStr">
        <is>
          <t>BORÅS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11903-2023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44995</v>
      </c>
      <c r="E541" s="1" t="n">
        <v>46298</v>
      </c>
      <c r="F541" t="inlineStr">
        <is>
          <t>VÄSTRA GÖTALANDS LÄN</t>
        </is>
      </c>
      <c r="G541" t="inlineStr">
        <is>
          <t>BORÅS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46289</v>
      </c>
      <c r="E542" s="1" t="n">
        <v>46298</v>
      </c>
      <c r="F542" t="inlineStr">
        <is>
          <t>VÄSTRA GÖTALANDS LÄN</t>
        </is>
      </c>
      <c r="G542" t="inlineStr">
        <is>
          <t>BORÅS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46298</v>
      </c>
      <c r="F543" t="inlineStr">
        <is>
          <t>VÄSTRA GÖTALANDS LÄN</t>
        </is>
      </c>
      <c r="G543" t="inlineStr">
        <is>
          <t>BORÅS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46298</v>
      </c>
      <c r="F544" t="inlineStr">
        <is>
          <t>VÄSTRA GÖTALANDS LÄN</t>
        </is>
      </c>
      <c r="G544" t="inlineStr">
        <is>
          <t>BORÅS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46246</v>
      </c>
      <c r="E545" s="1" t="n">
        <v>46298</v>
      </c>
      <c r="F545" t="inlineStr">
        <is>
          <t>VÄSTRA GÖTALANDS LÄN</t>
        </is>
      </c>
      <c r="G545" t="inlineStr">
        <is>
          <t>BORÅS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65200-2023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45289</v>
      </c>
      <c r="E546" s="1" t="n">
        <v>46298</v>
      </c>
      <c r="F546" t="inlineStr">
        <is>
          <t>VÄSTRA GÖTALANDS LÄN</t>
        </is>
      </c>
      <c r="G546" t="inlineStr">
        <is>
          <t>BORÅS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38355-2024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45545</v>
      </c>
      <c r="E547" s="1" t="n">
        <v>46298</v>
      </c>
      <c r="F547" t="inlineStr">
        <is>
          <t>VÄSTRA GÖTALANDS LÄN</t>
        </is>
      </c>
      <c r="G547" t="inlineStr">
        <is>
          <t>BORÅS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46298</v>
      </c>
      <c r="F548" t="inlineStr">
        <is>
          <t>VÄSTRA GÖTALANDS LÄN</t>
        </is>
      </c>
      <c r="G548" t="inlineStr">
        <is>
          <t>BORÅS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46298</v>
      </c>
      <c r="F549" t="inlineStr">
        <is>
          <t>VÄSTRA GÖTALANDS LÄN</t>
        </is>
      </c>
      <c r="G549" t="inlineStr">
        <is>
          <t>BORÅS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45618-2024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46298</v>
      </c>
      <c r="F550" t="inlineStr">
        <is>
          <t>VÄSTRA GÖTALANDS LÄN</t>
        </is>
      </c>
      <c r="G550" t="inlineStr">
        <is>
          <t>BORÅS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29854-2023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46298</v>
      </c>
      <c r="F551" t="inlineStr">
        <is>
          <t>VÄSTRA GÖTALANDS LÄN</t>
        </is>
      </c>
      <c r="G551" t="inlineStr">
        <is>
          <t>BORÅS</t>
        </is>
      </c>
      <c r="H551" t="inlineStr">
        <is>
          <t>Kommuner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45964</v>
      </c>
      <c r="E552" s="1" t="n">
        <v>46298</v>
      </c>
      <c r="F552" t="inlineStr">
        <is>
          <t>VÄSTRA GÖTALANDS LÄN</t>
        </is>
      </c>
      <c r="G552" t="inlineStr">
        <is>
          <t>BORÅS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46298</v>
      </c>
      <c r="F553" t="inlineStr">
        <is>
          <t>VÄSTRA GÖTALANDS LÄN</t>
        </is>
      </c>
      <c r="G553" t="inlineStr">
        <is>
          <t>BORÅS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10291-2025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45720</v>
      </c>
      <c r="E554" s="1" t="n">
        <v>46298</v>
      </c>
      <c r="F554" t="inlineStr">
        <is>
          <t>VÄSTRA GÖTALANDS LÄN</t>
        </is>
      </c>
      <c r="G554" t="inlineStr">
        <is>
          <t>BORÅS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46298</v>
      </c>
      <c r="F555" t="inlineStr">
        <is>
          <t>VÄSTRA GÖTALANDS LÄN</t>
        </is>
      </c>
      <c r="G555" t="inlineStr">
        <is>
          <t>BORÅS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44564</v>
      </c>
      <c r="E556" s="1" t="n">
        <v>46298</v>
      </c>
      <c r="F556" t="inlineStr">
        <is>
          <t>VÄSTRA GÖTALANDS LÄN</t>
        </is>
      </c>
      <c r="G556" t="inlineStr">
        <is>
          <t>BORÅS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45062</v>
      </c>
      <c r="E557" s="1" t="n">
        <v>46298</v>
      </c>
      <c r="F557" t="inlineStr">
        <is>
          <t>VÄSTRA GÖTALANDS LÄN</t>
        </is>
      </c>
      <c r="G557" t="inlineStr">
        <is>
          <t>BORÅS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45062</v>
      </c>
      <c r="E558" s="1" t="n">
        <v>46298</v>
      </c>
      <c r="F558" t="inlineStr">
        <is>
          <t>VÄSTRA GÖTALANDS LÄN</t>
        </is>
      </c>
      <c r="G558" t="inlineStr">
        <is>
          <t>BORÅS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53125-2024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45611</v>
      </c>
      <c r="E559" s="1" t="n">
        <v>46298</v>
      </c>
      <c r="F559" t="inlineStr">
        <is>
          <t>VÄSTRA GÖTALANDS LÄN</t>
        </is>
      </c>
      <c r="G559" t="inlineStr">
        <is>
          <t>BORÅS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46298</v>
      </c>
      <c r="F560" t="inlineStr">
        <is>
          <t>VÄSTRA GÖTALANDS LÄN</t>
        </is>
      </c>
      <c r="G560" t="inlineStr">
        <is>
          <t>BORÅS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46298</v>
      </c>
      <c r="F561" t="inlineStr">
        <is>
          <t>VÄSTRA GÖTALANDS LÄN</t>
        </is>
      </c>
      <c r="G561" t="inlineStr">
        <is>
          <t>BORÅS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45670</v>
      </c>
      <c r="E562" s="1" t="n">
        <v>46298</v>
      </c>
      <c r="F562" t="inlineStr">
        <is>
          <t>VÄSTRA GÖTALANDS LÄN</t>
        </is>
      </c>
      <c r="G562" t="inlineStr">
        <is>
          <t>BORÅS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40575-2026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46295</v>
      </c>
      <c r="E563" s="1" t="n">
        <v>46298</v>
      </c>
      <c r="F563" t="inlineStr">
        <is>
          <t>VÄSTRA GÖTALANDS LÄN</t>
        </is>
      </c>
      <c r="G563" t="inlineStr">
        <is>
          <t>BORÅS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46298</v>
      </c>
      <c r="F564" t="inlineStr">
        <is>
          <t>VÄSTRA GÖTALANDS LÄN</t>
        </is>
      </c>
      <c r="G564" t="inlineStr">
        <is>
          <t>BORÅS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10147-2024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45364</v>
      </c>
      <c r="E565" s="1" t="n">
        <v>46298</v>
      </c>
      <c r="F565" t="inlineStr">
        <is>
          <t>VÄSTRA GÖTALANDS LÄN</t>
        </is>
      </c>
      <c r="G565" t="inlineStr">
        <is>
          <t>BORÅS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46254</v>
      </c>
      <c r="E566" s="1" t="n">
        <v>46298</v>
      </c>
      <c r="F566" t="inlineStr">
        <is>
          <t>VÄSTRA GÖTALANDS LÄN</t>
        </is>
      </c>
      <c r="G566" t="inlineStr">
        <is>
          <t>BORÅS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46254</v>
      </c>
      <c r="E567" s="1" t="n">
        <v>46298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46253</v>
      </c>
      <c r="E568" s="1" t="n">
        <v>46298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45671</v>
      </c>
      <c r="E569" s="1" t="n">
        <v>46298</v>
      </c>
      <c r="F569" t="inlineStr">
        <is>
          <t>VÄSTRA GÖTALANDS LÄN</t>
        </is>
      </c>
      <c r="G569" t="inlineStr">
        <is>
          <t>BORÅS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44577</v>
      </c>
      <c r="E570" s="1" t="n">
        <v>46298</v>
      </c>
      <c r="F570" t="inlineStr">
        <is>
          <t>VÄSTRA GÖTALANDS LÄN</t>
        </is>
      </c>
      <c r="G570" t="inlineStr">
        <is>
          <t>BORÅS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27335-2024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45472</v>
      </c>
      <c r="E571" s="1" t="n">
        <v>46298</v>
      </c>
      <c r="F571" t="inlineStr">
        <is>
          <t>VÄSTRA GÖTALANDS LÄN</t>
        </is>
      </c>
      <c r="G571" t="inlineStr">
        <is>
          <t>BORÅS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58895-2024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45636</v>
      </c>
      <c r="E572" s="1" t="n">
        <v>46298</v>
      </c>
      <c r="F572" t="inlineStr">
        <is>
          <t>VÄSTRA GÖTALANDS LÄN</t>
        </is>
      </c>
      <c r="G572" t="inlineStr">
        <is>
          <t>BORÅS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32158-2023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45119</v>
      </c>
      <c r="E573" s="1" t="n">
        <v>46298</v>
      </c>
      <c r="F573" t="inlineStr">
        <is>
          <t>VÄSTRA GÖTALANDS LÄN</t>
        </is>
      </c>
      <c r="G573" t="inlineStr">
        <is>
          <t>BORÅS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46298</v>
      </c>
      <c r="F574" t="inlineStr">
        <is>
          <t>VÄSTRA GÖTALANDS LÄN</t>
        </is>
      </c>
      <c r="G574" t="inlineStr">
        <is>
          <t>BORÅS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46298</v>
      </c>
      <c r="F575" t="inlineStr">
        <is>
          <t>VÄSTRA GÖTALANDS LÄN</t>
        </is>
      </c>
      <c r="G575" t="inlineStr">
        <is>
          <t>BORÅS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62532-2022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44916</v>
      </c>
      <c r="E576" s="1" t="n">
        <v>46298</v>
      </c>
      <c r="F576" t="inlineStr">
        <is>
          <t>VÄSTRA GÖTALANDS LÄN</t>
        </is>
      </c>
      <c r="G576" t="inlineStr">
        <is>
          <t>BORÅS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46298</v>
      </c>
      <c r="F577" t="inlineStr">
        <is>
          <t>VÄSTRA GÖTALANDS LÄN</t>
        </is>
      </c>
      <c r="G577" t="inlineStr">
        <is>
          <t>BORÅS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45120</v>
      </c>
      <c r="E578" s="1" t="n">
        <v>46298</v>
      </c>
      <c r="F578" t="inlineStr">
        <is>
          <t>VÄSTRA GÖTALANDS LÄN</t>
        </is>
      </c>
      <c r="G578" t="inlineStr">
        <is>
          <t>BORÅS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45632</v>
      </c>
      <c r="E579" s="1" t="n">
        <v>46298</v>
      </c>
      <c r="F579" t="inlineStr">
        <is>
          <t>VÄSTRA GÖTALANDS LÄN</t>
        </is>
      </c>
      <c r="G579" t="inlineStr">
        <is>
          <t>BORÅS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43573-2022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44837</v>
      </c>
      <c r="E580" s="1" t="n">
        <v>46298</v>
      </c>
      <c r="F580" t="inlineStr">
        <is>
          <t>VÄSTRA GÖTALANDS LÄN</t>
        </is>
      </c>
      <c r="G580" t="inlineStr">
        <is>
          <t>BORÅS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45048</v>
      </c>
      <c r="E581" s="1" t="n">
        <v>46298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28171-2022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44746</v>
      </c>
      <c r="E582" s="1" t="n">
        <v>46298</v>
      </c>
      <c r="F582" t="inlineStr">
        <is>
          <t>VÄSTRA GÖTALANDS LÄN</t>
        </is>
      </c>
      <c r="G582" t="inlineStr">
        <is>
          <t>BORÅS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32237-2023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46298</v>
      </c>
      <c r="F583" t="inlineStr">
        <is>
          <t>VÄSTRA GÖTALANDS LÄN</t>
        </is>
      </c>
      <c r="G583" t="inlineStr">
        <is>
          <t>BORÅS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32742-2024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45516</v>
      </c>
      <c r="E584" s="1" t="n">
        <v>46298</v>
      </c>
      <c r="F584" t="inlineStr">
        <is>
          <t>VÄSTRA GÖTALANDS LÄN</t>
        </is>
      </c>
      <c r="G584" t="inlineStr">
        <is>
          <t>BORÅS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50282-2023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45216</v>
      </c>
      <c r="E585" s="1" t="n">
        <v>46298</v>
      </c>
      <c r="F585" t="inlineStr">
        <is>
          <t>VÄSTRA GÖTALANDS LÄN</t>
        </is>
      </c>
      <c r="G585" t="inlineStr">
        <is>
          <t>BORÅS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44992</v>
      </c>
      <c r="E586" s="1" t="n">
        <v>46298</v>
      </c>
      <c r="F586" t="inlineStr">
        <is>
          <t>VÄSTRA GÖTALANDS LÄN</t>
        </is>
      </c>
      <c r="G586" t="inlineStr">
        <is>
          <t>BORÅS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63178-2023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45273</v>
      </c>
      <c r="E587" s="1" t="n">
        <v>46298</v>
      </c>
      <c r="F587" t="inlineStr">
        <is>
          <t>VÄSTRA GÖTALANDS LÄN</t>
        </is>
      </c>
      <c r="G587" t="inlineStr">
        <is>
          <t>BORÅS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32241-2023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45119</v>
      </c>
      <c r="E588" s="1" t="n">
        <v>46298</v>
      </c>
      <c r="F588" t="inlineStr">
        <is>
          <t>VÄSTRA GÖTALANDS LÄN</t>
        </is>
      </c>
      <c r="G588" t="inlineStr">
        <is>
          <t>BORÅS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18248-2024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45421</v>
      </c>
      <c r="E589" s="1" t="n">
        <v>46298</v>
      </c>
      <c r="F589" t="inlineStr">
        <is>
          <t>VÄSTRA GÖTALANDS LÄN</t>
        </is>
      </c>
      <c r="G589" t="inlineStr">
        <is>
          <t>BORÅS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45486-2023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46298</v>
      </c>
      <c r="F590" t="inlineStr">
        <is>
          <t>VÄSTRA GÖTALANDS LÄN</t>
        </is>
      </c>
      <c r="G590" t="inlineStr">
        <is>
          <t>BORÅS</t>
        </is>
      </c>
      <c r="I590" t="n">
        <v>11.7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32198-2023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46298</v>
      </c>
      <c r="F591" t="inlineStr">
        <is>
          <t>VÄSTRA GÖTALANDS LÄN</t>
        </is>
      </c>
      <c r="G591" t="inlineStr">
        <is>
          <t>BORÅS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28552-2022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44748</v>
      </c>
      <c r="E592" s="1" t="n">
        <v>46298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45302</v>
      </c>
      <c r="E593" s="1" t="n">
        <v>46298</v>
      </c>
      <c r="F593" t="inlineStr">
        <is>
          <t>VÄSTRA GÖTALANDS LÄN</t>
        </is>
      </c>
      <c r="G593" t="inlineStr">
        <is>
          <t>BORÅS</t>
        </is>
      </c>
      <c r="H593" t="inlineStr">
        <is>
          <t>Sveaskog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45432</v>
      </c>
      <c r="E594" s="1" t="n">
        <v>46298</v>
      </c>
      <c r="F594" t="inlineStr">
        <is>
          <t>VÄSTRA GÖTALANDS LÄN</t>
        </is>
      </c>
      <c r="G594" t="inlineStr">
        <is>
          <t>BORÅS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45216</v>
      </c>
      <c r="E595" s="1" t="n">
        <v>46298</v>
      </c>
      <c r="F595" t="inlineStr">
        <is>
          <t>VÄSTRA GÖTALANDS LÄN</t>
        </is>
      </c>
      <c r="G595" t="inlineStr">
        <is>
          <t>BORÅS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45321</v>
      </c>
      <c r="E596" s="1" t="n">
        <v>46298</v>
      </c>
      <c r="F596" t="inlineStr">
        <is>
          <t>VÄSTRA GÖTALANDS LÄN</t>
        </is>
      </c>
      <c r="G596" t="inlineStr">
        <is>
          <t>BORÅS</t>
        </is>
      </c>
      <c r="H596" t="inlineStr">
        <is>
          <t>Kommuner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60931-2022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44914</v>
      </c>
      <c r="E597" s="1" t="n">
        <v>46298</v>
      </c>
      <c r="F597" t="inlineStr">
        <is>
          <t>VÄSTRA GÖTALANDS LÄN</t>
        </is>
      </c>
      <c r="G597" t="inlineStr">
        <is>
          <t>BORÅS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40118-2023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45168</v>
      </c>
      <c r="E598" s="1" t="n">
        <v>46298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32193-2023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45119</v>
      </c>
      <c r="E599" s="1" t="n">
        <v>46298</v>
      </c>
      <c r="F599" t="inlineStr">
        <is>
          <t>VÄSTRA GÖTALANDS LÄN</t>
        </is>
      </c>
      <c r="G599" t="inlineStr">
        <is>
          <t>BORÅS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46298</v>
      </c>
      <c r="F600" t="inlineStr">
        <is>
          <t>VÄSTRA GÖTALANDS LÄN</t>
        </is>
      </c>
      <c r="G600" t="inlineStr">
        <is>
          <t>BORÅS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48508-2024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45593</v>
      </c>
      <c r="E601" s="1" t="n">
        <v>46298</v>
      </c>
      <c r="F601" t="inlineStr">
        <is>
          <t>VÄSTRA GÖTALANDS LÄN</t>
        </is>
      </c>
      <c r="G601" t="inlineStr">
        <is>
          <t>BORÅS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46439-2024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45582</v>
      </c>
      <c r="E602" s="1" t="n">
        <v>46298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20635-2025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45776</v>
      </c>
      <c r="E603" s="1" t="n">
        <v>46298</v>
      </c>
      <c r="F603" t="inlineStr">
        <is>
          <t>VÄSTRA GÖTALANDS LÄN</t>
        </is>
      </c>
      <c r="G603" t="inlineStr">
        <is>
          <t>BORÅS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45783</v>
      </c>
      <c r="E604" s="1" t="n">
        <v>46298</v>
      </c>
      <c r="F604" t="inlineStr">
        <is>
          <t>VÄSTRA GÖTALANDS LÄN</t>
        </is>
      </c>
      <c r="G604" t="inlineStr">
        <is>
          <t>BORÅS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45782</v>
      </c>
      <c r="E605" s="1" t="n">
        <v>46298</v>
      </c>
      <c r="F605" t="inlineStr">
        <is>
          <t>VÄSTRA GÖTALANDS LÄN</t>
        </is>
      </c>
      <c r="G605" t="inlineStr">
        <is>
          <t>BORÅS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45783</v>
      </c>
      <c r="E606" s="1" t="n">
        <v>46298</v>
      </c>
      <c r="F606" t="inlineStr">
        <is>
          <t>VÄSTRA GÖTALANDS LÄN</t>
        </is>
      </c>
      <c r="G606" t="inlineStr">
        <is>
          <t>BORÅS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45475</v>
      </c>
      <c r="E607" s="1" t="n">
        <v>46298</v>
      </c>
      <c r="F607" t="inlineStr">
        <is>
          <t>VÄSTRA GÖTALANDS LÄN</t>
        </is>
      </c>
      <c r="G607" t="inlineStr">
        <is>
          <t>BORÅS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47358-2024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45587</v>
      </c>
      <c r="E608" s="1" t="n">
        <v>46298</v>
      </c>
      <c r="F608" t="inlineStr">
        <is>
          <t>VÄSTRA GÖTALANDS LÄN</t>
        </is>
      </c>
      <c r="G608" t="inlineStr">
        <is>
          <t>BORÅS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49004-2023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45209</v>
      </c>
      <c r="E609" s="1" t="n">
        <v>46298</v>
      </c>
      <c r="F609" t="inlineStr">
        <is>
          <t>VÄSTRA GÖTALANDS LÄN</t>
        </is>
      </c>
      <c r="G609" t="inlineStr">
        <is>
          <t>BORÅS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10681-2025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46298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45784</v>
      </c>
      <c r="E611" s="1" t="n">
        <v>46298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45596</v>
      </c>
      <c r="E612" s="1" t="n">
        <v>46298</v>
      </c>
      <c r="F612" t="inlineStr">
        <is>
          <t>VÄSTRA GÖTALANDS LÄN</t>
        </is>
      </c>
      <c r="G612" t="inlineStr">
        <is>
          <t>BORÅS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2978-2023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45174</v>
      </c>
      <c r="E613" s="1" t="n">
        <v>46298</v>
      </c>
      <c r="F613" t="inlineStr">
        <is>
          <t>VÄSTRA GÖTALANDS LÄN</t>
        </is>
      </c>
      <c r="G613" t="inlineStr">
        <is>
          <t>BORÅS</t>
        </is>
      </c>
      <c r="I613" t="n">
        <v>65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4414-2022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44785</v>
      </c>
      <c r="E614" s="1" t="n">
        <v>46298</v>
      </c>
      <c r="F614" t="inlineStr">
        <is>
          <t>VÄSTRA GÖTALANDS LÄN</t>
        </is>
      </c>
      <c r="G614" t="inlineStr">
        <is>
          <t>BORÅS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45008</v>
      </c>
      <c r="E615" s="1" t="n">
        <v>46298</v>
      </c>
      <c r="F615" t="inlineStr">
        <is>
          <t>VÄSTRA GÖTALANDS LÄN</t>
        </is>
      </c>
      <c r="G615" t="inlineStr">
        <is>
          <t>BORÅS</t>
        </is>
      </c>
      <c r="I615" t="n">
        <v>18.4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46298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6936-2022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44900</v>
      </c>
      <c r="E617" s="1" t="n">
        <v>46298</v>
      </c>
      <c r="F617" t="inlineStr">
        <is>
          <t>VÄSTRA GÖTALANDS LÄN</t>
        </is>
      </c>
      <c r="G617" t="inlineStr">
        <is>
          <t>BORÅS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6156-2022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44865</v>
      </c>
      <c r="E618" s="1" t="n">
        <v>46298</v>
      </c>
      <c r="F618" t="inlineStr">
        <is>
          <t>VÄSTRA GÖTALANDS LÄN</t>
        </is>
      </c>
      <c r="G618" t="inlineStr">
        <is>
          <t>BORÅS</t>
        </is>
      </c>
      <c r="I618" t="n">
        <v>15.6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4259-2023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45257</v>
      </c>
      <c r="E619" s="1" t="n">
        <v>46298</v>
      </c>
      <c r="F619" t="inlineStr">
        <is>
          <t>VÄSTRA GÖTALANDS LÄN</t>
        </is>
      </c>
      <c r="G619" t="inlineStr">
        <is>
          <t>BORÅS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2970-2023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45173</v>
      </c>
      <c r="E620" s="1" t="n">
        <v>46298</v>
      </c>
      <c r="F620" t="inlineStr">
        <is>
          <t>VÄSTRA GÖTALANDS LÄN</t>
        </is>
      </c>
      <c r="G620" t="inlineStr">
        <is>
          <t>BORÅS</t>
        </is>
      </c>
      <c r="I620" t="n">
        <v>12.7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1559-2022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44642</v>
      </c>
      <c r="E621" s="1" t="n">
        <v>46298</v>
      </c>
      <c r="F621" t="inlineStr">
        <is>
          <t>VÄSTRA GÖTALANDS LÄN</t>
        </is>
      </c>
      <c r="G621" t="inlineStr">
        <is>
          <t>BORÅS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6934-2022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46298</v>
      </c>
      <c r="F622" t="inlineStr">
        <is>
          <t>VÄSTRA GÖTALANDS LÄN</t>
        </is>
      </c>
      <c r="G622" t="inlineStr">
        <is>
          <t>BORÅS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3027-2024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45513</v>
      </c>
      <c r="E623" s="1" t="n">
        <v>46298</v>
      </c>
      <c r="F623" t="inlineStr">
        <is>
          <t>VÄSTRA GÖTALANDS LÄN</t>
        </is>
      </c>
      <c r="G623" t="inlineStr">
        <is>
          <t>BORÅS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2814-2022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44706</v>
      </c>
      <c r="E624" s="1" t="n">
        <v>46298</v>
      </c>
      <c r="F624" t="inlineStr">
        <is>
          <t>VÄSTRA GÖTALANDS LÄN</t>
        </is>
      </c>
      <c r="G624" t="inlineStr">
        <is>
          <t>BORÅS</t>
        </is>
      </c>
      <c r="H624" t="inlineStr">
        <is>
          <t>Kyrkan</t>
        </is>
      </c>
      <c r="I624" t="n">
        <v>39.7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46298</v>
      </c>
      <c r="F625" t="inlineStr">
        <is>
          <t>VÄSTRA GÖTALANDS LÄN</t>
        </is>
      </c>
      <c r="G625" t="inlineStr">
        <is>
          <t>BORÅS</t>
        </is>
      </c>
      <c r="I625" t="n">
        <v>30.4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6937-2022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46298</v>
      </c>
      <c r="F626" t="inlineStr">
        <is>
          <t>VÄSTRA GÖTALANDS LÄN</t>
        </is>
      </c>
      <c r="G626" t="inlineStr">
        <is>
          <t>BORÅS</t>
        </is>
      </c>
      <c r="I626" t="n">
        <v>7.6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3398-2024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45534</v>
      </c>
      <c r="E627" s="1" t="n">
        <v>46298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1800-2025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46298</v>
      </c>
      <c r="F628" t="inlineStr">
        <is>
          <t>VÄSTRA GÖTALANDS LÄN</t>
        </is>
      </c>
      <c r="G628" t="inlineStr">
        <is>
          <t>BORÅS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1640-2024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45429</v>
      </c>
      <c r="E629" s="1" t="n">
        <v>46298</v>
      </c>
      <c r="F629" t="inlineStr">
        <is>
          <t>VÄSTRA GÖTALANDS LÄN</t>
        </is>
      </c>
      <c r="G629" t="inlineStr">
        <is>
          <t>BORÅS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1979-2025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45831</v>
      </c>
      <c r="E630" s="1" t="n">
        <v>46298</v>
      </c>
      <c r="F630" t="inlineStr">
        <is>
          <t>VÄSTRA GÖTALANDS LÄN</t>
        </is>
      </c>
      <c r="G630" t="inlineStr">
        <is>
          <t>BORÅS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2374-2025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45890</v>
      </c>
      <c r="E631" s="1" t="n">
        <v>46298</v>
      </c>
      <c r="F631" t="inlineStr">
        <is>
          <t>VÄSTRA GÖTALANDS LÄN</t>
        </is>
      </c>
      <c r="G631" t="inlineStr">
        <is>
          <t>BORÅS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3201-2025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45979</v>
      </c>
      <c r="E632" s="1" t="n">
        <v>46298</v>
      </c>
      <c r="F632" t="inlineStr">
        <is>
          <t>VÄSTRA GÖTALANDS LÄN</t>
        </is>
      </c>
      <c r="G632" t="inlineStr">
        <is>
          <t>BORÅS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944-2025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46298</v>
      </c>
      <c r="F633" t="inlineStr">
        <is>
          <t>VÄSTRA GÖTALANDS LÄN</t>
        </is>
      </c>
      <c r="G633" t="inlineStr">
        <is>
          <t>BORÅS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943-2025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45740</v>
      </c>
      <c r="E634" s="1" t="n">
        <v>46298</v>
      </c>
      <c r="F634" t="inlineStr">
        <is>
          <t>VÄSTRA GÖTALANDS LÄN</t>
        </is>
      </c>
      <c r="G634" t="inlineStr">
        <is>
          <t>BORÅS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2453-2023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45127</v>
      </c>
      <c r="E635" s="1" t="n">
        <v>46298</v>
      </c>
      <c r="F635" t="inlineStr">
        <is>
          <t>VÄSTRA GÖTALANDS LÄN</t>
        </is>
      </c>
      <c r="G635" t="inlineStr">
        <is>
          <t>BORÅS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46073</v>
      </c>
      <c r="E636" s="1" t="n">
        <v>46298</v>
      </c>
      <c r="F636" t="inlineStr">
        <is>
          <t>VÄSTRA GÖTALANDS LÄN</t>
        </is>
      </c>
      <c r="G636" t="inlineStr">
        <is>
          <t>BORÅS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560-2026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46083</v>
      </c>
      <c r="E637" s="1" t="n">
        <v>46298</v>
      </c>
      <c r="F637" t="inlineStr">
        <is>
          <t>VÄSTRA GÖTALANDS LÄN</t>
        </is>
      </c>
      <c r="G637" t="inlineStr">
        <is>
          <t>BORÅS</t>
        </is>
      </c>
      <c r="I637" t="n">
        <v>17.6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2026-10-03T01:59:37Z</dcterms:created>
  <dcterms:modified xmlns:dcterms="http://purl.org/dc/terms/" xmlns:xsi="http://www.w3.org/2001/XMLSchema-instance" xsi:type="dcterms:W3CDTF">2026-10-03T01:59:38Z</dcterms:modified>
</cp:coreProperties>
</file>