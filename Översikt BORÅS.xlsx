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46270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46270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46270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46270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46270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46270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46270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46270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46270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46270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46270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46270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46270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46270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46270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46270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46270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46270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46270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46270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46270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46270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46270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46270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46270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46270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46270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46270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46270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46270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46270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46270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46270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46270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46270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46270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46270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26833-2023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45093</v>
      </c>
      <c r="E40" s="1" t="n">
        <v>46270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6.9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HYPERLINK("https://klasma.github.io/Logging_1490/artfynd/A 26833-2023 artfynd.xlsx", "A 26833-2023")</f>
        <v/>
      </c>
      <c r="X40">
        <f>HYPERLINK("https://klasma.github.io/Logging_1490/kartor/A 26833-2023 karta.png", "A 26833-2023")</f>
        <v/>
      </c>
      <c r="Y40">
        <f>HYPERLINK("https://klasma.github.io/Logging_1490/kartor_geotiff/A 26833-2023 georefererad karta.tif", "A 26833-2023")</f>
        <v/>
      </c>
      <c r="AA40">
        <f>HYPERLINK("https://klasma.github.io/Logging_1490/klagomål/A 26833-2023 FSC-klagomål.docx", "A 26833-2023")</f>
        <v/>
      </c>
      <c r="AB40">
        <f>HYPERLINK("https://klasma.github.io/Logging_1490/klagomålsmail/A 26833-2023 FSC-klagomål mail.docx", "A 26833-2023")</f>
        <v/>
      </c>
      <c r="AC40">
        <f>HYPERLINK("https://klasma.github.io/Logging_1490/tillsyn/A 26833-2023 tillsynsbegäran.docx", "A 26833-2023")</f>
        <v/>
      </c>
      <c r="AD40">
        <f>HYPERLINK("https://klasma.github.io/Logging_1490/tillsynsmail/A 26833-2023 tillsynsbegäran mail.docx", "A 26833-2023")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46270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46270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46270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46270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46270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46270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46270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46270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46270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46270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46270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46270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46270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46270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46270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46270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46270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Lönnlav</t>
        </is>
      </c>
      <c r="W57">
        <f>HYPERLINK("https://klasma.github.io/Logging_1490/artfynd/A 29911-2025 artfynd.xlsx", "A 29911-2025")</f>
        <v/>
      </c>
      <c r="X57">
        <f>HYPERLINK("https://klasma.github.io/Logging_1490/kartor/A 29911-2025 karta.png", "A 29911-2025")</f>
        <v/>
      </c>
      <c r="Y57">
        <f>HYPERLINK("https://klasma.github.io/Logging_1490/kartor_geotiff/A 29911-2025 georefererad karta.tif", "A 29911-2025")</f>
        <v/>
      </c>
      <c r="AA57">
        <f>HYPERLINK("https://klasma.github.io/Logging_1490/klagomål/A 29911-2025 FSC-klagomål.docx", "A 29911-2025")</f>
        <v/>
      </c>
      <c r="AB57">
        <f>HYPERLINK("https://klasma.github.io/Logging_1490/klagomålsmail/A 29911-2025 FSC-klagomål mail.docx", "A 29911-2025")</f>
        <v/>
      </c>
      <c r="AC57">
        <f>HYPERLINK("https://klasma.github.io/Logging_1490/tillsyn/A 29911-2025 tillsynsbegäran.docx", "A 29911-2025")</f>
        <v/>
      </c>
      <c r="AD57">
        <f>HYPERLINK("https://klasma.github.io/Logging_1490/tillsynsmail/A 29911-2025 tillsynsbegäran mail.docx", "A 29911-2025")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46270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46270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46270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46270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46270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46270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27342-2022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46270</v>
      </c>
      <c r="F64" t="inlineStr">
        <is>
          <t>VÄSTRA GÖTALANDS LÄN</t>
        </is>
      </c>
      <c r="G64" t="inlineStr">
        <is>
          <t>BORÅS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Järnsparv</t>
        </is>
      </c>
      <c r="W64">
        <f>HYPERLINK("https://klasma.github.io/Logging_1490/artfynd/A 27342-2022 artfynd.xlsx", "A 27342-2022")</f>
        <v/>
      </c>
      <c r="X64">
        <f>HYPERLINK("https://klasma.github.io/Logging_1490/kartor/A 27342-2022 karta.png", "A 27342-2022")</f>
        <v/>
      </c>
      <c r="Y64">
        <f>HYPERLINK("https://klasma.github.io/Logging_1490/kartor_geotiff/A 27342-2022 georefererad karta.tif", "A 27342-2022")</f>
        <v/>
      </c>
      <c r="AA64">
        <f>HYPERLINK("https://klasma.github.io/Logging_1490/klagomål/A 27342-2022 FSC-klagomål.docx", "A 27342-2022")</f>
        <v/>
      </c>
      <c r="AB64">
        <f>HYPERLINK("https://klasma.github.io/Logging_1490/klagomålsmail/A 27342-2022 FSC-klagomål mail.docx", "A 27342-2022")</f>
        <v/>
      </c>
      <c r="AC64">
        <f>HYPERLINK("https://klasma.github.io/Logging_1490/tillsyn/A 27342-2022 tillsynsbegäran.docx", "A 27342-2022")</f>
        <v/>
      </c>
      <c r="AD64">
        <f>HYPERLINK("https://klasma.github.io/Logging_1490/tillsynsmail/A 27342-2022 tillsynsbegäran mail.docx", "A 27342-2022")</f>
        <v/>
      </c>
      <c r="AE64">
        <f>HYPERLINK("https://klasma.github.io/Logging_1490/fåglar/A 27342-2022 prioriterade fågelarter.docx", "A 27342-2022")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46270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3760-2024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46270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6.8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Kråka</t>
        </is>
      </c>
      <c r="W66">
        <f>HYPERLINK("https://klasma.github.io/Logging_1490/artfynd/A 3760-2024 artfynd.xlsx", "A 3760-2024")</f>
        <v/>
      </c>
      <c r="X66">
        <f>HYPERLINK("https://klasma.github.io/Logging_1490/kartor/A 3760-2024 karta.png", "A 3760-2024")</f>
        <v/>
      </c>
      <c r="Y66">
        <f>HYPERLINK("https://klasma.github.io/Logging_1490/kartor_geotiff/A 3760-2024 georefererad karta.tif", "A 3760-2024")</f>
        <v/>
      </c>
      <c r="AA66">
        <f>HYPERLINK("https://klasma.github.io/Logging_1490/klagomål/A 3760-2024 FSC-klagomål.docx", "A 3760-2024")</f>
        <v/>
      </c>
      <c r="AB66">
        <f>HYPERLINK("https://klasma.github.io/Logging_1490/klagomålsmail/A 3760-2024 FSC-klagomål mail.docx", "A 3760-2024")</f>
        <v/>
      </c>
      <c r="AC66">
        <f>HYPERLINK("https://klasma.github.io/Logging_1490/tillsyn/A 3760-2024 tillsynsbegäran.docx", "A 3760-2024")</f>
        <v/>
      </c>
      <c r="AD66">
        <f>HYPERLINK("https://klasma.github.io/Logging_1490/tillsynsmail/A 3760-2024 tillsynsbegäran mail.docx", "A 3760-2024")</f>
        <v/>
      </c>
    </row>
    <row r="67" ht="15" customHeight="1">
      <c r="A67" t="inlineStr">
        <is>
          <t>A 19911-2023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46270</v>
      </c>
      <c r="F67" t="inlineStr">
        <is>
          <t>VÄSTRA GÖTALANDS LÄN</t>
        </is>
      </c>
      <c r="G67" t="inlineStr">
        <is>
          <t>BORÅS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Vanlig padda</t>
        </is>
      </c>
      <c r="W67">
        <f>HYPERLINK("https://klasma.github.io/Logging_1490/artfynd/A 19911-2023 artfynd.xlsx", "A 19911-2023")</f>
        <v/>
      </c>
      <c r="X67">
        <f>HYPERLINK("https://klasma.github.io/Logging_1490/kartor/A 19911-2023 karta.png", "A 19911-2023")</f>
        <v/>
      </c>
      <c r="Y67">
        <f>HYPERLINK("https://klasma.github.io/Logging_1490/kartor_geotiff/A 19911-2023 georefererad karta.tif", "A 19911-2023")</f>
        <v/>
      </c>
      <c r="AA67">
        <f>HYPERLINK("https://klasma.github.io/Logging_1490/klagomål/A 19911-2023 FSC-klagomål.docx", "A 19911-2023")</f>
        <v/>
      </c>
      <c r="AB67">
        <f>HYPERLINK("https://klasma.github.io/Logging_1490/klagomålsmail/A 19911-2023 FSC-klagomål mail.docx", "A 19911-2023")</f>
        <v/>
      </c>
      <c r="AC67">
        <f>HYPERLINK("https://klasma.github.io/Logging_1490/tillsyn/A 19911-2023 tillsynsbegäran.docx", "A 19911-2023")</f>
        <v/>
      </c>
      <c r="AD67">
        <f>HYPERLINK("https://klasma.github.io/Logging_1490/tillsynsmail/A 19911-2023 tillsynsbegäran mail.docx", "A 19911-2023")</f>
        <v/>
      </c>
    </row>
    <row r="68" ht="15" customHeight="1">
      <c r="A68" t="inlineStr">
        <is>
          <t>A 3719-2024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46270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Hasselmus</t>
        </is>
      </c>
      <c r="W68">
        <f>HYPERLINK("https://klasma.github.io/Logging_1490/artfynd/A 3719-2024 artfynd.xlsx", "A 3719-2024")</f>
        <v/>
      </c>
      <c r="X68">
        <f>HYPERLINK("https://klasma.github.io/Logging_1490/kartor/A 3719-2024 karta.png", "A 3719-2024")</f>
        <v/>
      </c>
      <c r="Y68">
        <f>HYPERLINK("https://klasma.github.io/Logging_1490/kartor_geotiff/A 3719-2024 georefererad karta.tif", "A 3719-2024")</f>
        <v/>
      </c>
      <c r="AA68">
        <f>HYPERLINK("https://klasma.github.io/Logging_1490/klagomål/A 3719-2024 FSC-klagomål.docx", "A 3719-2024")</f>
        <v/>
      </c>
      <c r="AB68">
        <f>HYPERLINK("https://klasma.github.io/Logging_1490/klagomålsmail/A 3719-2024 FSC-klagomål mail.docx", "A 3719-2024")</f>
        <v/>
      </c>
      <c r="AC68">
        <f>HYPERLINK("https://klasma.github.io/Logging_1490/tillsyn/A 3719-2024 tillsynsbegäran.docx", "A 3719-2024")</f>
        <v/>
      </c>
      <c r="AD68">
        <f>HYPERLINK("https://klasma.github.io/Logging_1490/tillsynsmail/A 3719-2024 tillsynsbegäran mail.docx", "A 3719-2024")</f>
        <v/>
      </c>
    </row>
    <row r="69" ht="15" customHeight="1">
      <c r="A69" t="inlineStr">
        <is>
          <t>A 53533-2022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46270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Kungsfågel</t>
        </is>
      </c>
      <c r="W69">
        <f>HYPERLINK("https://klasma.github.io/Logging_1490/artfynd/A 53533-2022 artfynd.xlsx", "A 53533-2022")</f>
        <v/>
      </c>
      <c r="X69">
        <f>HYPERLINK("https://klasma.github.io/Logging_1490/kartor/A 53533-2022 karta.png", "A 53533-2022")</f>
        <v/>
      </c>
      <c r="Y69">
        <f>HYPERLINK("https://klasma.github.io/Logging_1490/kartor_geotiff/A 53533-2022 georefererad karta.tif", "A 53533-2022")</f>
        <v/>
      </c>
      <c r="AA69">
        <f>HYPERLINK("https://klasma.github.io/Logging_1490/klagomål/A 53533-2022 FSC-klagomål.docx", "A 53533-2022")</f>
        <v/>
      </c>
      <c r="AB69">
        <f>HYPERLINK("https://klasma.github.io/Logging_1490/klagomålsmail/A 53533-2022 FSC-klagomål mail.docx", "A 53533-2022")</f>
        <v/>
      </c>
      <c r="AC69">
        <f>HYPERLINK("https://klasma.github.io/Logging_1490/tillsyn/A 53533-2022 tillsynsbegäran.docx", "A 53533-2022")</f>
        <v/>
      </c>
      <c r="AD69">
        <f>HYPERLINK("https://klasma.github.io/Logging_1490/tillsynsmail/A 53533-2022 tillsynsbegäran mail.docx", "A 53533-2022")</f>
        <v/>
      </c>
    </row>
    <row r="70" ht="15" customHeight="1">
      <c r="A70" t="inlineStr">
        <is>
          <t>A 33140-2023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46270</v>
      </c>
      <c r="F70" t="inlineStr">
        <is>
          <t>VÄSTRA GÖTALANDS LÄN</t>
        </is>
      </c>
      <c r="G70" t="inlineStr">
        <is>
          <t>BORÅS</t>
        </is>
      </c>
      <c r="I70" t="n">
        <v>5.1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HYPERLINK("https://klasma.github.io/Logging_1490/artfynd/A 33140-2023 artfynd.xlsx", "A 33140-2023")</f>
        <v/>
      </c>
      <c r="X70">
        <f>HYPERLINK("https://klasma.github.io/Logging_1490/kartor/A 33140-2023 karta.png", "A 33140-2023")</f>
        <v/>
      </c>
      <c r="Y70">
        <f>HYPERLINK("https://klasma.github.io/Logging_1490/kartor_geotiff/A 33140-2023 georefererad karta.tif", "A 33140-2023")</f>
        <v/>
      </c>
      <c r="AA70">
        <f>HYPERLINK("https://klasma.github.io/Logging_1490/klagomål/A 33140-2023 FSC-klagomål.docx", "A 33140-2023")</f>
        <v/>
      </c>
      <c r="AB70">
        <f>HYPERLINK("https://klasma.github.io/Logging_1490/klagomålsmail/A 33140-2023 FSC-klagomål mail.docx", "A 33140-2023")</f>
        <v/>
      </c>
      <c r="AC70">
        <f>HYPERLINK("https://klasma.github.io/Logging_1490/tillsyn/A 33140-2023 tillsynsbegäran.docx", "A 33140-2023")</f>
        <v/>
      </c>
      <c r="AD70">
        <f>HYPERLINK("https://klasma.github.io/Logging_1490/tillsynsmail/A 33140-2023 tillsynsbegäran mail.docx", "A 33140-2023")</f>
        <v/>
      </c>
    </row>
    <row r="71" ht="15" customHeight="1">
      <c r="A71" t="inlineStr">
        <is>
          <t>A 3772-2024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46270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4.1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Vågbandad barkbock</t>
        </is>
      </c>
      <c r="W71">
        <f>HYPERLINK("https://klasma.github.io/Logging_1490/artfynd/A 3772-2024 artfynd.xlsx", "A 3772-2024")</f>
        <v/>
      </c>
      <c r="X71">
        <f>HYPERLINK("https://klasma.github.io/Logging_1490/kartor/A 3772-2024 karta.png", "A 3772-2024")</f>
        <v/>
      </c>
      <c r="Y71">
        <f>HYPERLINK("https://klasma.github.io/Logging_1490/kartor_geotiff/A 3772-2024 georefererad karta.tif", "A 3772-2024")</f>
        <v/>
      </c>
      <c r="AA71">
        <f>HYPERLINK("https://klasma.github.io/Logging_1490/klagomål/A 3772-2024 FSC-klagomål.docx", "A 3772-2024")</f>
        <v/>
      </c>
      <c r="AB71">
        <f>HYPERLINK("https://klasma.github.io/Logging_1490/klagomålsmail/A 3772-2024 FSC-klagomål mail.docx", "A 3772-2024")</f>
        <v/>
      </c>
      <c r="AC71">
        <f>HYPERLINK("https://klasma.github.io/Logging_1490/tillsyn/A 3772-2024 tillsynsbegäran.docx", "A 3772-2024")</f>
        <v/>
      </c>
      <c r="AD71">
        <f>HYPERLINK("https://klasma.github.io/Logging_1490/tillsynsmail/A 3772-2024 tillsynsbegäran mail.docx", "A 3772-2024")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46270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29499-2026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46270</v>
      </c>
      <c r="F73" t="inlineStr">
        <is>
          <t>VÄSTRA GÖTALANDS LÄN</t>
        </is>
      </c>
      <c r="G73" t="inlineStr">
        <is>
          <t>BORÅS</t>
        </is>
      </c>
      <c r="I73" t="n">
        <v>7.4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HYPERLINK("https://klasma.github.io/Logging_1490/artfynd/A 29499-2026 artfynd.xlsx", "A 29499-2026")</f>
        <v/>
      </c>
      <c r="X73">
        <f>HYPERLINK("https://klasma.github.io/Logging_1490/kartor/A 29499-2026 karta.png", "A 29499-2026")</f>
        <v/>
      </c>
      <c r="Y73">
        <f>HYPERLINK("https://klasma.github.io/Logging_1490/kartor_geotiff/A 29499-2026 georefererad karta.tif", "A 29499-2026")</f>
        <v/>
      </c>
      <c r="AA73">
        <f>HYPERLINK("https://klasma.github.io/Logging_1490/klagomål/A 29499-2026 FSC-klagomål.docx", "A 29499-2026")</f>
        <v/>
      </c>
      <c r="AB73">
        <f>HYPERLINK("https://klasma.github.io/Logging_1490/klagomålsmail/A 29499-2026 FSC-klagomål mail.docx", "A 29499-2026")</f>
        <v/>
      </c>
      <c r="AC73">
        <f>HYPERLINK("https://klasma.github.io/Logging_1490/tillsyn/A 29499-2026 tillsynsbegäran.docx", "A 29499-2026")</f>
        <v/>
      </c>
      <c r="AD73">
        <f>HYPERLINK("https://klasma.github.io/Logging_1490/tillsynsmail/A 29499-2026 tillsynsbegäran mail.docx", "A 29499-2026")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46270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46270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46270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35135-2026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46259</v>
      </c>
      <c r="E77" s="1" t="n">
        <v>46270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Strandskata</t>
        </is>
      </c>
      <c r="W77">
        <f>HYPERLINK("https://klasma.github.io/Logging_1490/artfynd/A 35135-2026 artfynd.xlsx", "A 35135-2026")</f>
        <v/>
      </c>
      <c r="X77">
        <f>HYPERLINK("https://klasma.github.io/Logging_1490/kartor/A 35135-2026 karta.png", "A 35135-2026")</f>
        <v/>
      </c>
      <c r="Y77">
        <f>HYPERLINK("https://klasma.github.io/Logging_1490/kartor_geotiff/A 35135-2026 georefererad karta.tif", "A 35135-2026")</f>
        <v/>
      </c>
      <c r="AA77">
        <f>HYPERLINK("https://klasma.github.io/Logging_1490/klagomål/A 35135-2026 FSC-klagomål.docx", "A 35135-2026")</f>
        <v/>
      </c>
      <c r="AB77">
        <f>HYPERLINK("https://klasma.github.io/Logging_1490/klagomålsmail/A 35135-2026 FSC-klagomål mail.docx", "A 35135-2026")</f>
        <v/>
      </c>
      <c r="AC77">
        <f>HYPERLINK("https://klasma.github.io/Logging_1490/tillsyn/A 35135-2026 tillsynsbegäran.docx", "A 35135-2026")</f>
        <v/>
      </c>
      <c r="AD77">
        <f>HYPERLINK("https://klasma.github.io/Logging_1490/tillsynsmail/A 35135-2026 tillsynsbegäran mail.docx", "A 35135-2026")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46270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46270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46270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46270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46270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46270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46270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46270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46270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46270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46270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46270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46270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46270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46270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46270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46270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46270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46270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46270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46270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46270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46270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46270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46270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46270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46270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46270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46270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46270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46270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46270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46270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46270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46270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46270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46270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44605</v>
      </c>
      <c r="E115" s="1" t="n">
        <v>46270</v>
      </c>
      <c r="F115" t="inlineStr">
        <is>
          <t>VÄSTRA GÖTALANDS LÄN</t>
        </is>
      </c>
      <c r="G115" t="inlineStr">
        <is>
          <t>BORÅS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46270</v>
      </c>
      <c r="F116" t="inlineStr">
        <is>
          <t>VÄSTRA GÖTALANDS LÄN</t>
        </is>
      </c>
      <c r="G116" t="inlineStr">
        <is>
          <t>BORÅS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46270</v>
      </c>
      <c r="F117" t="inlineStr">
        <is>
          <t>VÄSTRA GÖTALANDS LÄN</t>
        </is>
      </c>
      <c r="G117" t="inlineStr">
        <is>
          <t>BORÅS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46270</v>
      </c>
      <c r="F118" t="inlineStr">
        <is>
          <t>VÄSTRA GÖTALANDS LÄN</t>
        </is>
      </c>
      <c r="G118" t="inlineStr">
        <is>
          <t>BORÅS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46270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46270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46270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46270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46270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46270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46270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46270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46270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46270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46270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12802-2022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44642</v>
      </c>
      <c r="E130" s="1" t="n">
        <v>46270</v>
      </c>
      <c r="F130" t="inlineStr">
        <is>
          <t>VÄSTRA GÖTALANDS LÄN</t>
        </is>
      </c>
      <c r="G130" t="inlineStr">
        <is>
          <t>BORÅS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63038-2021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46270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46270</v>
      </c>
      <c r="F132" t="inlineStr">
        <is>
          <t>VÄSTRA GÖTALANDS LÄN</t>
        </is>
      </c>
      <c r="G132" t="inlineStr">
        <is>
          <t>BORÅS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68634-2021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46270</v>
      </c>
      <c r="F133" t="inlineStr">
        <is>
          <t>VÄSTRA GÖTALANDS LÄN</t>
        </is>
      </c>
      <c r="G133" t="inlineStr">
        <is>
          <t>BORÅS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46270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46270</v>
      </c>
      <c r="F135" t="inlineStr">
        <is>
          <t>VÄSTRA GÖTALANDS LÄN</t>
        </is>
      </c>
      <c r="G135" t="inlineStr">
        <is>
          <t>BORÅS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46270</v>
      </c>
      <c r="F136" t="inlineStr">
        <is>
          <t>VÄSTRA GÖTALANDS LÄN</t>
        </is>
      </c>
      <c r="G136" t="inlineStr">
        <is>
          <t>BORÅS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46270</v>
      </c>
      <c r="F137" t="inlineStr">
        <is>
          <t>VÄSTRA GÖTALANDS LÄN</t>
        </is>
      </c>
      <c r="G137" t="inlineStr">
        <is>
          <t>BORÅS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46270</v>
      </c>
      <c r="F138" t="inlineStr">
        <is>
          <t>VÄSTRA GÖTALANDS LÄN</t>
        </is>
      </c>
      <c r="G138" t="inlineStr">
        <is>
          <t>BORÅS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8240-2022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46270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46270</v>
      </c>
      <c r="F140" t="inlineStr">
        <is>
          <t>VÄSTRA GÖTALANDS LÄN</t>
        </is>
      </c>
      <c r="G140" t="inlineStr">
        <is>
          <t>BORÅS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46270</v>
      </c>
      <c r="F141" t="inlineStr">
        <is>
          <t>VÄSTRA GÖTALANDS LÄN</t>
        </is>
      </c>
      <c r="G141" t="inlineStr">
        <is>
          <t>BORÅS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46270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46270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46270</v>
      </c>
      <c r="F144" t="inlineStr">
        <is>
          <t>VÄSTRA GÖTALANDS LÄN</t>
        </is>
      </c>
      <c r="G144" t="inlineStr">
        <is>
          <t>BORÅS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46270</v>
      </c>
      <c r="F145" t="inlineStr">
        <is>
          <t>VÄSTRA GÖTALANDS LÄN</t>
        </is>
      </c>
      <c r="G145" t="inlineStr">
        <is>
          <t>BORÅS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46270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46270</v>
      </c>
      <c r="F147" t="inlineStr">
        <is>
          <t>VÄSTRA GÖTALANDS LÄN</t>
        </is>
      </c>
      <c r="G147" t="inlineStr">
        <is>
          <t>BORÅS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46270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19481-2023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45050</v>
      </c>
      <c r="E149" s="1" t="n">
        <v>46270</v>
      </c>
      <c r="F149" t="inlineStr">
        <is>
          <t>VÄSTRA GÖTALANDS LÄN</t>
        </is>
      </c>
      <c r="G149" t="inlineStr">
        <is>
          <t>BORÅS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45050</v>
      </c>
      <c r="E150" s="1" t="n">
        <v>46270</v>
      </c>
      <c r="F150" t="inlineStr">
        <is>
          <t>VÄSTRA GÖTALANDS LÄN</t>
        </is>
      </c>
      <c r="G150" t="inlineStr">
        <is>
          <t>BORÅS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46270</v>
      </c>
      <c r="F151" t="inlineStr">
        <is>
          <t>VÄSTRA GÖTALANDS LÄN</t>
        </is>
      </c>
      <c r="G151" t="inlineStr">
        <is>
          <t>BORÅS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46270</v>
      </c>
      <c r="F152" t="inlineStr">
        <is>
          <t>VÄSTRA GÖTALANDS LÄN</t>
        </is>
      </c>
      <c r="G152" t="inlineStr">
        <is>
          <t>BORÅS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46270</v>
      </c>
      <c r="F153" t="inlineStr">
        <is>
          <t>VÄSTRA GÖTALANDS LÄN</t>
        </is>
      </c>
      <c r="G153" t="inlineStr">
        <is>
          <t>BORÅS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46270</v>
      </c>
      <c r="F154" t="inlineStr">
        <is>
          <t>VÄSTRA GÖTALANDS LÄN</t>
        </is>
      </c>
      <c r="G154" t="inlineStr">
        <is>
          <t>BORÅS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46270</v>
      </c>
      <c r="F155" t="inlineStr">
        <is>
          <t>VÄSTRA GÖTALANDS LÄN</t>
        </is>
      </c>
      <c r="G155" t="inlineStr">
        <is>
          <t>BORÅS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46270</v>
      </c>
      <c r="F156" t="inlineStr">
        <is>
          <t>VÄSTRA GÖTALANDS LÄN</t>
        </is>
      </c>
      <c r="G156" t="inlineStr">
        <is>
          <t>BORÅS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46270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46270</v>
      </c>
      <c r="F158" t="inlineStr">
        <is>
          <t>VÄSTRA GÖTALANDS LÄN</t>
        </is>
      </c>
      <c r="G158" t="inlineStr">
        <is>
          <t>BORÅS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46270</v>
      </c>
      <c r="F159" t="inlineStr">
        <is>
          <t>VÄSTRA GÖTALANDS LÄN</t>
        </is>
      </c>
      <c r="G159" t="inlineStr">
        <is>
          <t>BORÅS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46270</v>
      </c>
      <c r="F160" t="inlineStr">
        <is>
          <t>VÄSTRA GÖTALANDS LÄN</t>
        </is>
      </c>
      <c r="G160" t="inlineStr">
        <is>
          <t>BORÅS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45197</v>
      </c>
      <c r="E161" s="1" t="n">
        <v>46270</v>
      </c>
      <c r="F161" t="inlineStr">
        <is>
          <t>VÄSTRA GÖTALANDS LÄN</t>
        </is>
      </c>
      <c r="G161" t="inlineStr">
        <is>
          <t>BORÅS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46270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46270</v>
      </c>
      <c r="F163" t="inlineStr">
        <is>
          <t>VÄSTRA GÖTALANDS LÄN</t>
        </is>
      </c>
      <c r="G163" t="inlineStr">
        <is>
          <t>BORÅS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46270</v>
      </c>
      <c r="F164" t="inlineStr">
        <is>
          <t>VÄSTRA GÖTALANDS LÄN</t>
        </is>
      </c>
      <c r="G164" t="inlineStr">
        <is>
          <t>BORÅS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45650</v>
      </c>
      <c r="E165" s="1" t="n">
        <v>46270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44639</v>
      </c>
      <c r="E166" s="1" t="n">
        <v>46270</v>
      </c>
      <c r="F166" t="inlineStr">
        <is>
          <t>VÄSTRA GÖTALANDS LÄN</t>
        </is>
      </c>
      <c r="G166" t="inlineStr">
        <is>
          <t>BORÅS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46270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46270</v>
      </c>
      <c r="F168" t="inlineStr">
        <is>
          <t>VÄSTRA GÖTALANDS LÄN</t>
        </is>
      </c>
      <c r="G168" t="inlineStr">
        <is>
          <t>BORÅS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46270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46270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46270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46270</v>
      </c>
      <c r="F172" t="inlineStr">
        <is>
          <t>VÄSTRA GÖTALANDS LÄN</t>
        </is>
      </c>
      <c r="G172" t="inlineStr">
        <is>
          <t>BORÅS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46270</v>
      </c>
      <c r="F173" t="inlineStr">
        <is>
          <t>VÄSTRA GÖTALANDS LÄN</t>
        </is>
      </c>
      <c r="G173" t="inlineStr">
        <is>
          <t>BORÅS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44910</v>
      </c>
      <c r="E174" s="1" t="n">
        <v>46270</v>
      </c>
      <c r="F174" t="inlineStr">
        <is>
          <t>VÄSTRA GÖTALANDS LÄN</t>
        </is>
      </c>
      <c r="G174" t="inlineStr">
        <is>
          <t>BORÅS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44916</v>
      </c>
      <c r="E175" s="1" t="n">
        <v>46270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46270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46270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46270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46270</v>
      </c>
      <c r="F179" t="inlineStr">
        <is>
          <t>VÄSTRA GÖTALANDS LÄN</t>
        </is>
      </c>
      <c r="G179" t="inlineStr">
        <is>
          <t>BORÅS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46270</v>
      </c>
      <c r="F180" t="inlineStr">
        <is>
          <t>VÄSTRA GÖTALANDS LÄN</t>
        </is>
      </c>
      <c r="G180" t="inlineStr">
        <is>
          <t>BORÅS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46270</v>
      </c>
      <c r="F181" t="inlineStr">
        <is>
          <t>VÄSTRA GÖTALANDS LÄN</t>
        </is>
      </c>
      <c r="G181" t="inlineStr">
        <is>
          <t>BORÅS</t>
        </is>
      </c>
      <c r="H181" t="inlineStr">
        <is>
          <t>Kommuner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46270</v>
      </c>
      <c r="F182" t="inlineStr">
        <is>
          <t>VÄSTRA GÖTALANDS LÄN</t>
        </is>
      </c>
      <c r="G182" t="inlineStr">
        <is>
          <t>BORÅS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46270</v>
      </c>
      <c r="F183" t="inlineStr">
        <is>
          <t>VÄSTRA GÖTALANDS LÄN</t>
        </is>
      </c>
      <c r="G183" t="inlineStr">
        <is>
          <t>BORÅS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46270</v>
      </c>
      <c r="F184" t="inlineStr">
        <is>
          <t>VÄSTRA GÖTALANDS LÄN</t>
        </is>
      </c>
      <c r="G184" t="inlineStr">
        <is>
          <t>BORÅS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46270</v>
      </c>
      <c r="F185" t="inlineStr">
        <is>
          <t>VÄSTRA GÖTALANDS LÄN</t>
        </is>
      </c>
      <c r="G185" t="inlineStr">
        <is>
          <t>BORÅS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46270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45294</v>
      </c>
      <c r="E187" s="1" t="n">
        <v>46270</v>
      </c>
      <c r="F187" t="inlineStr">
        <is>
          <t>VÄSTRA GÖTALANDS LÄN</t>
        </is>
      </c>
      <c r="G187" t="inlineStr">
        <is>
          <t>BORÅS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46270</v>
      </c>
      <c r="F188" t="inlineStr">
        <is>
          <t>VÄSTRA GÖTALANDS LÄN</t>
        </is>
      </c>
      <c r="G188" t="inlineStr">
        <is>
          <t>BORÅS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46270</v>
      </c>
      <c r="F189" t="inlineStr">
        <is>
          <t>VÄSTRA GÖTALANDS LÄN</t>
        </is>
      </c>
      <c r="G189" t="inlineStr">
        <is>
          <t>BORÅS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45225</v>
      </c>
      <c r="E190" s="1" t="n">
        <v>46270</v>
      </c>
      <c r="F190" t="inlineStr">
        <is>
          <t>VÄSTRA GÖTALANDS LÄN</t>
        </is>
      </c>
      <c r="G190" t="inlineStr">
        <is>
          <t>BORÅS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46270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46270</v>
      </c>
      <c r="F192" t="inlineStr">
        <is>
          <t>VÄSTRA GÖTALANDS LÄN</t>
        </is>
      </c>
      <c r="G192" t="inlineStr">
        <is>
          <t>BORÅS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46270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44656</v>
      </c>
      <c r="E194" s="1" t="n">
        <v>46270</v>
      </c>
      <c r="F194" t="inlineStr">
        <is>
          <t>VÄSTRA GÖTALANDS LÄN</t>
        </is>
      </c>
      <c r="G194" t="inlineStr">
        <is>
          <t>BORÅS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46270</v>
      </c>
      <c r="F195" t="inlineStr">
        <is>
          <t>VÄSTRA GÖTALANDS LÄN</t>
        </is>
      </c>
      <c r="G195" t="inlineStr">
        <is>
          <t>BORÅS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46270</v>
      </c>
      <c r="F196" t="inlineStr">
        <is>
          <t>VÄSTRA GÖTALANDS LÄN</t>
        </is>
      </c>
      <c r="G196" t="inlineStr">
        <is>
          <t>BORÅS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46270</v>
      </c>
      <c r="F197" t="inlineStr">
        <is>
          <t>VÄSTRA GÖTALANDS LÄN</t>
        </is>
      </c>
      <c r="G197" t="inlineStr">
        <is>
          <t>BORÅS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27370-2025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45812</v>
      </c>
      <c r="E198" s="1" t="n">
        <v>46270</v>
      </c>
      <c r="F198" t="inlineStr">
        <is>
          <t>VÄSTRA GÖTALANDS LÄN</t>
        </is>
      </c>
      <c r="G198" t="inlineStr">
        <is>
          <t>BORÅS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46270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46270</v>
      </c>
      <c r="F200" t="inlineStr">
        <is>
          <t>VÄSTRA GÖTALANDS LÄN</t>
        </is>
      </c>
      <c r="G200" t="inlineStr">
        <is>
          <t>BORÅS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45538</v>
      </c>
      <c r="E201" s="1" t="n">
        <v>46270</v>
      </c>
      <c r="F201" t="inlineStr">
        <is>
          <t>VÄSTRA GÖTALANDS LÄN</t>
        </is>
      </c>
      <c r="G201" t="inlineStr">
        <is>
          <t>BORÅS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46270</v>
      </c>
      <c r="F202" t="inlineStr">
        <is>
          <t>VÄSTRA GÖTALANDS LÄN</t>
        </is>
      </c>
      <c r="G202" t="inlineStr">
        <is>
          <t>BORÅS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46270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46270</v>
      </c>
      <c r="F204" t="inlineStr">
        <is>
          <t>VÄSTRA GÖTALANDS LÄN</t>
        </is>
      </c>
      <c r="G204" t="inlineStr">
        <is>
          <t>BORÅS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46270</v>
      </c>
      <c r="F205" t="inlineStr">
        <is>
          <t>VÄSTRA GÖTALANDS LÄN</t>
        </is>
      </c>
      <c r="G205" t="inlineStr">
        <is>
          <t>BORÅS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13436-2025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45735</v>
      </c>
      <c r="E206" s="1" t="n">
        <v>46270</v>
      </c>
      <c r="F206" t="inlineStr">
        <is>
          <t>VÄSTRA GÖTALANDS LÄN</t>
        </is>
      </c>
      <c r="G206" t="inlineStr">
        <is>
          <t>BORÅS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46270</v>
      </c>
      <c r="F207" t="inlineStr">
        <is>
          <t>VÄSTRA GÖTALANDS LÄN</t>
        </is>
      </c>
      <c r="G207" t="inlineStr">
        <is>
          <t>BORÅS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46270</v>
      </c>
      <c r="F208" t="inlineStr">
        <is>
          <t>VÄSTRA GÖTALANDS LÄN</t>
        </is>
      </c>
      <c r="G208" t="inlineStr">
        <is>
          <t>BORÅS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46270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46270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46270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45321</v>
      </c>
      <c r="E212" s="1" t="n">
        <v>46270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46270</v>
      </c>
      <c r="F213" t="inlineStr">
        <is>
          <t>VÄSTRA GÖTALANDS LÄN</t>
        </is>
      </c>
      <c r="G213" t="inlineStr">
        <is>
          <t>BORÅS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46270</v>
      </c>
      <c r="F214" t="inlineStr">
        <is>
          <t>VÄSTRA GÖTALANDS LÄN</t>
        </is>
      </c>
      <c r="G214" t="inlineStr">
        <is>
          <t>BORÅS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46270</v>
      </c>
      <c r="F215" t="inlineStr">
        <is>
          <t>VÄSTRA GÖTALANDS LÄN</t>
        </is>
      </c>
      <c r="G215" t="inlineStr">
        <is>
          <t>BORÅS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46270</v>
      </c>
      <c r="F216" t="inlineStr">
        <is>
          <t>VÄSTRA GÖTALANDS LÄN</t>
        </is>
      </c>
      <c r="G216" t="inlineStr">
        <is>
          <t>BORÅS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46270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46270</v>
      </c>
      <c r="F218" t="inlineStr">
        <is>
          <t>VÄSTRA GÖTALANDS LÄN</t>
        </is>
      </c>
      <c r="G218" t="inlineStr">
        <is>
          <t>BORÅS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45472</v>
      </c>
      <c r="E219" s="1" t="n">
        <v>46270</v>
      </c>
      <c r="F219" t="inlineStr">
        <is>
          <t>VÄSTRA GÖTALANDS LÄN</t>
        </is>
      </c>
      <c r="G219" t="inlineStr">
        <is>
          <t>BORÅS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46270</v>
      </c>
      <c r="F220" t="inlineStr">
        <is>
          <t>VÄSTRA GÖTALANDS LÄN</t>
        </is>
      </c>
      <c r="G220" t="inlineStr">
        <is>
          <t>BORÅS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45823</v>
      </c>
      <c r="E221" s="1" t="n">
        <v>46270</v>
      </c>
      <c r="F221" t="inlineStr">
        <is>
          <t>VÄSTRA GÖTALANDS LÄN</t>
        </is>
      </c>
      <c r="G221" t="inlineStr">
        <is>
          <t>BORÅS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45758</v>
      </c>
      <c r="E222" s="1" t="n">
        <v>46270</v>
      </c>
      <c r="F222" t="inlineStr">
        <is>
          <t>VÄSTRA GÖTALANDS LÄN</t>
        </is>
      </c>
      <c r="G222" t="inlineStr">
        <is>
          <t>BORÅS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44581</v>
      </c>
      <c r="E223" s="1" t="n">
        <v>46270</v>
      </c>
      <c r="F223" t="inlineStr">
        <is>
          <t>VÄSTRA GÖTALANDS LÄN</t>
        </is>
      </c>
      <c r="G223" t="inlineStr">
        <is>
          <t>BORÅS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46270</v>
      </c>
      <c r="F224" t="inlineStr">
        <is>
          <t>VÄSTRA GÖTALANDS LÄN</t>
        </is>
      </c>
      <c r="G224" t="inlineStr">
        <is>
          <t>BORÅS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46270</v>
      </c>
      <c r="F225" t="inlineStr">
        <is>
          <t>VÄSTRA GÖTALANDS LÄN</t>
        </is>
      </c>
      <c r="G225" t="inlineStr">
        <is>
          <t>BORÅS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46270</v>
      </c>
      <c r="F226" t="inlineStr">
        <is>
          <t>VÄSTRA GÖTALANDS LÄN</t>
        </is>
      </c>
      <c r="G226" t="inlineStr">
        <is>
          <t>BORÅS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46270</v>
      </c>
      <c r="F227" t="inlineStr">
        <is>
          <t>VÄSTRA GÖTALANDS LÄN</t>
        </is>
      </c>
      <c r="G227" t="inlineStr">
        <is>
          <t>BORÅS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46270</v>
      </c>
      <c r="F228" t="inlineStr">
        <is>
          <t>VÄSTRA GÖTALANDS LÄN</t>
        </is>
      </c>
      <c r="G228" t="inlineStr">
        <is>
          <t>BORÅS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46270</v>
      </c>
      <c r="F229" t="inlineStr">
        <is>
          <t>VÄSTRA GÖTALANDS LÄN</t>
        </is>
      </c>
      <c r="G229" t="inlineStr">
        <is>
          <t>BORÅS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46270</v>
      </c>
      <c r="F230" t="inlineStr">
        <is>
          <t>VÄSTRA GÖTALANDS LÄN</t>
        </is>
      </c>
      <c r="G230" t="inlineStr">
        <is>
          <t>BORÅS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46270</v>
      </c>
      <c r="F231" t="inlineStr">
        <is>
          <t>VÄSTRA GÖTALANDS LÄN</t>
        </is>
      </c>
      <c r="G231" t="inlineStr">
        <is>
          <t>BORÅS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30312-2025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45827</v>
      </c>
      <c r="E232" s="1" t="n">
        <v>46270</v>
      </c>
      <c r="F232" t="inlineStr">
        <is>
          <t>VÄSTRA GÖTALANDS LÄN</t>
        </is>
      </c>
      <c r="G232" t="inlineStr">
        <is>
          <t>BORÅS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46270</v>
      </c>
      <c r="F233" t="inlineStr">
        <is>
          <t>VÄSTRA GÖTALANDS LÄN</t>
        </is>
      </c>
      <c r="G233" t="inlineStr">
        <is>
          <t>BORÅS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44858</v>
      </c>
      <c r="E234" s="1" t="n">
        <v>46270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46270</v>
      </c>
      <c r="F235" t="inlineStr">
        <is>
          <t>VÄSTRA GÖTALANDS LÄN</t>
        </is>
      </c>
      <c r="G235" t="inlineStr">
        <is>
          <t>BORÅS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46270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46270</v>
      </c>
      <c r="F237" t="inlineStr">
        <is>
          <t>VÄSTRA GÖTALANDS LÄN</t>
        </is>
      </c>
      <c r="G237" t="inlineStr">
        <is>
          <t>BORÅS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46270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46270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46270</v>
      </c>
      <c r="F240" t="inlineStr">
        <is>
          <t>VÄSTRA GÖTALANDS LÄN</t>
        </is>
      </c>
      <c r="G240" t="inlineStr">
        <is>
          <t>BORÅS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45120</v>
      </c>
      <c r="E241" s="1" t="n">
        <v>46270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46270</v>
      </c>
      <c r="F242" t="inlineStr">
        <is>
          <t>VÄSTRA GÖTALANDS LÄN</t>
        </is>
      </c>
      <c r="G242" t="inlineStr">
        <is>
          <t>BORÅS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32482-2023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45120</v>
      </c>
      <c r="E243" s="1" t="n">
        <v>46270</v>
      </c>
      <c r="F243" t="inlineStr">
        <is>
          <t>VÄSTRA GÖTALANDS LÄN</t>
        </is>
      </c>
      <c r="G243" t="inlineStr">
        <is>
          <t>BORÅS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46270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Kyrkan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45194</v>
      </c>
      <c r="E245" s="1" t="n">
        <v>46270</v>
      </c>
      <c r="F245" t="inlineStr">
        <is>
          <t>VÄSTRA GÖTALANDS LÄN</t>
        </is>
      </c>
      <c r="G245" t="inlineStr">
        <is>
          <t>BORÅS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46270</v>
      </c>
      <c r="F246" t="inlineStr">
        <is>
          <t>VÄSTRA GÖTALANDS LÄN</t>
        </is>
      </c>
      <c r="G246" t="inlineStr">
        <is>
          <t>BORÅS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46270</v>
      </c>
      <c r="F247" t="inlineStr">
        <is>
          <t>VÄSTRA GÖTALANDS LÄN</t>
        </is>
      </c>
      <c r="G247" t="inlineStr">
        <is>
          <t>BORÅS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32323-2025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45836</v>
      </c>
      <c r="E248" s="1" t="n">
        <v>46270</v>
      </c>
      <c r="F248" t="inlineStr">
        <is>
          <t>VÄSTRA GÖTALANDS LÄN</t>
        </is>
      </c>
      <c r="G248" t="inlineStr">
        <is>
          <t>BORÅS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45836</v>
      </c>
      <c r="E249" s="1" t="n">
        <v>46270</v>
      </c>
      <c r="F249" t="inlineStr">
        <is>
          <t>VÄSTRA GÖTALANDS LÄN</t>
        </is>
      </c>
      <c r="G249" t="inlineStr">
        <is>
          <t>BORÅS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46270</v>
      </c>
      <c r="F250" t="inlineStr">
        <is>
          <t>VÄSTRA GÖTALANDS LÄN</t>
        </is>
      </c>
      <c r="G250" t="inlineStr">
        <is>
          <t>BORÅS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46270</v>
      </c>
      <c r="F251" t="inlineStr">
        <is>
          <t>VÄSTRA GÖTALANDS LÄN</t>
        </is>
      </c>
      <c r="G251" t="inlineStr">
        <is>
          <t>BORÅS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46270</v>
      </c>
      <c r="F252" t="inlineStr">
        <is>
          <t>VÄSTRA GÖTALANDS LÄN</t>
        </is>
      </c>
      <c r="G252" t="inlineStr">
        <is>
          <t>BORÅS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46270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46270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46270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46270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46270</v>
      </c>
      <c r="F257" t="inlineStr">
        <is>
          <t>VÄSTRA GÖTALANDS LÄN</t>
        </is>
      </c>
      <c r="G257" t="inlineStr">
        <is>
          <t>BORÅS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46270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46035</v>
      </c>
      <c r="E259" s="1" t="n">
        <v>46270</v>
      </c>
      <c r="F259" t="inlineStr">
        <is>
          <t>VÄSTRA GÖTALANDS LÄN</t>
        </is>
      </c>
      <c r="G259" t="inlineStr">
        <is>
          <t>BORÅS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46270</v>
      </c>
      <c r="F260" t="inlineStr">
        <is>
          <t>VÄSTRA GÖTALANDS LÄN</t>
        </is>
      </c>
      <c r="G260" t="inlineStr">
        <is>
          <t>BORÅS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56684-2022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44888</v>
      </c>
      <c r="E261" s="1" t="n">
        <v>46270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Kyrkan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46270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46270</v>
      </c>
      <c r="F263" t="inlineStr">
        <is>
          <t>VÄSTRA GÖTALANDS LÄN</t>
        </is>
      </c>
      <c r="G263" t="inlineStr">
        <is>
          <t>BORÅS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46270</v>
      </c>
      <c r="F264" t="inlineStr">
        <is>
          <t>VÄSTRA GÖTALANDS LÄN</t>
        </is>
      </c>
      <c r="G264" t="inlineStr">
        <is>
          <t>BORÅS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46270</v>
      </c>
      <c r="F265" t="inlineStr">
        <is>
          <t>VÄSTRA GÖTALANDS LÄN</t>
        </is>
      </c>
      <c r="G265" t="inlineStr">
        <is>
          <t>BORÅS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46270</v>
      </c>
      <c r="F266" t="inlineStr">
        <is>
          <t>VÄSTRA GÖTALANDS LÄN</t>
        </is>
      </c>
      <c r="G266" t="inlineStr">
        <is>
          <t>BORÅS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46270</v>
      </c>
      <c r="F267" t="inlineStr">
        <is>
          <t>VÄSTRA GÖTALANDS LÄN</t>
        </is>
      </c>
      <c r="G267" t="inlineStr">
        <is>
          <t>BORÅS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45848</v>
      </c>
      <c r="E268" s="1" t="n">
        <v>46270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46270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Kommuner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46270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46270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46270</v>
      </c>
      <c r="F272" t="inlineStr">
        <is>
          <t>VÄSTRA GÖTALANDS LÄN</t>
        </is>
      </c>
      <c r="G272" t="inlineStr">
        <is>
          <t>BORÅS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46270</v>
      </c>
      <c r="F273" t="inlineStr">
        <is>
          <t>VÄSTRA GÖTALANDS LÄN</t>
        </is>
      </c>
      <c r="G273" t="inlineStr">
        <is>
          <t>BORÅS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45935</v>
      </c>
      <c r="E274" s="1" t="n">
        <v>46270</v>
      </c>
      <c r="F274" t="inlineStr">
        <is>
          <t>VÄSTRA GÖTALANDS LÄN</t>
        </is>
      </c>
      <c r="G274" t="inlineStr">
        <is>
          <t>BORÅS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46270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46270</v>
      </c>
      <c r="F276" t="inlineStr">
        <is>
          <t>VÄSTRA GÖTALANDS LÄN</t>
        </is>
      </c>
      <c r="G276" t="inlineStr">
        <is>
          <t>BORÅS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46270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46270</v>
      </c>
      <c r="F278" t="inlineStr">
        <is>
          <t>VÄSTRA GÖTALANDS LÄN</t>
        </is>
      </c>
      <c r="G278" t="inlineStr">
        <is>
          <t>BORÅS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46270</v>
      </c>
      <c r="F279" t="inlineStr">
        <is>
          <t>VÄSTRA GÖTALANDS LÄN</t>
        </is>
      </c>
      <c r="G279" t="inlineStr">
        <is>
          <t>BORÅS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49262-2025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46270</v>
      </c>
      <c r="F280" t="inlineStr">
        <is>
          <t>VÄSTRA GÖTALANDS LÄN</t>
        </is>
      </c>
      <c r="G280" t="inlineStr">
        <is>
          <t>BORÅS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46270</v>
      </c>
      <c r="F281" t="inlineStr">
        <is>
          <t>VÄSTRA GÖTALANDS LÄN</t>
        </is>
      </c>
      <c r="G281" t="inlineStr">
        <is>
          <t>BORÅS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46270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46270</v>
      </c>
      <c r="F283" t="inlineStr">
        <is>
          <t>VÄSTRA GÖTALANDS LÄN</t>
        </is>
      </c>
      <c r="G283" t="inlineStr">
        <is>
          <t>BORÅS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45379</v>
      </c>
      <c r="E284" s="1" t="n">
        <v>46270</v>
      </c>
      <c r="F284" t="inlineStr">
        <is>
          <t>VÄSTRA GÖTALANDS LÄN</t>
        </is>
      </c>
      <c r="G284" t="inlineStr">
        <is>
          <t>BORÅS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46270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46270</v>
      </c>
      <c r="F286" t="inlineStr">
        <is>
          <t>VÄSTRA GÖTALANDS LÄN</t>
        </is>
      </c>
      <c r="G286" t="inlineStr">
        <is>
          <t>BORÅS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46270</v>
      </c>
      <c r="F287" t="inlineStr">
        <is>
          <t>VÄSTRA GÖTALANDS LÄN</t>
        </is>
      </c>
      <c r="G287" t="inlineStr">
        <is>
          <t>BORÅS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46270</v>
      </c>
      <c r="F288" t="inlineStr">
        <is>
          <t>VÄSTRA GÖTALANDS LÄN</t>
        </is>
      </c>
      <c r="G288" t="inlineStr">
        <is>
          <t>BORÅS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46270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46270</v>
      </c>
      <c r="F290" t="inlineStr">
        <is>
          <t>VÄSTRA GÖTALANDS LÄN</t>
        </is>
      </c>
      <c r="G290" t="inlineStr">
        <is>
          <t>BORÅS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44882</v>
      </c>
      <c r="E291" s="1" t="n">
        <v>46270</v>
      </c>
      <c r="F291" t="inlineStr">
        <is>
          <t>VÄSTRA GÖTALANDS LÄN</t>
        </is>
      </c>
      <c r="G291" t="inlineStr">
        <is>
          <t>BORÅS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46270</v>
      </c>
      <c r="F292" t="inlineStr">
        <is>
          <t>VÄSTRA GÖTALANDS LÄN</t>
        </is>
      </c>
      <c r="G292" t="inlineStr">
        <is>
          <t>BORÅS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46270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46270</v>
      </c>
      <c r="F294" t="inlineStr">
        <is>
          <t>VÄSTRA GÖTALANDS LÄN</t>
        </is>
      </c>
      <c r="G294" t="inlineStr">
        <is>
          <t>BORÅS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46270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46270</v>
      </c>
      <c r="F296" t="inlineStr">
        <is>
          <t>VÄSTRA GÖTALANDS LÄN</t>
        </is>
      </c>
      <c r="G296" t="inlineStr">
        <is>
          <t>BORÅS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45612</v>
      </c>
      <c r="E297" s="1" t="n">
        <v>46270</v>
      </c>
      <c r="F297" t="inlineStr">
        <is>
          <t>VÄSTRA GÖTALANDS LÄN</t>
        </is>
      </c>
      <c r="G297" t="inlineStr">
        <is>
          <t>BORÅS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46270</v>
      </c>
      <c r="F298" t="inlineStr">
        <is>
          <t>VÄSTRA GÖTALANDS LÄN</t>
        </is>
      </c>
      <c r="G298" t="inlineStr">
        <is>
          <t>BORÅS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46270</v>
      </c>
      <c r="F299" t="inlineStr">
        <is>
          <t>VÄSTRA GÖTALANDS LÄN</t>
        </is>
      </c>
      <c r="G299" t="inlineStr">
        <is>
          <t>BORÅS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46270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46270</v>
      </c>
      <c r="F301" t="inlineStr">
        <is>
          <t>VÄSTRA GÖTALANDS LÄN</t>
        </is>
      </c>
      <c r="G301" t="inlineStr">
        <is>
          <t>BORÅS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46270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46270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52369-2025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45953</v>
      </c>
      <c r="E304" s="1" t="n">
        <v>46270</v>
      </c>
      <c r="F304" t="inlineStr">
        <is>
          <t>VÄSTRA GÖTALANDS LÄN</t>
        </is>
      </c>
      <c r="G304" t="inlineStr">
        <is>
          <t>BORÅS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46270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46270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46270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46270</v>
      </c>
      <c r="F308" t="inlineStr">
        <is>
          <t>VÄSTRA GÖTALANDS LÄN</t>
        </is>
      </c>
      <c r="G308" t="inlineStr">
        <is>
          <t>BORÅS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46270</v>
      </c>
      <c r="F309" t="inlineStr">
        <is>
          <t>VÄSTRA GÖTALANDS LÄN</t>
        </is>
      </c>
      <c r="G309" t="inlineStr">
        <is>
          <t>BORÅS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46270</v>
      </c>
      <c r="F310" t="inlineStr">
        <is>
          <t>VÄSTRA GÖTALANDS LÄN</t>
        </is>
      </c>
      <c r="G310" t="inlineStr">
        <is>
          <t>BORÅS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45510</v>
      </c>
      <c r="E311" s="1" t="n">
        <v>46270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72806-2021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44547</v>
      </c>
      <c r="E312" s="1" t="n">
        <v>46270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46270</v>
      </c>
      <c r="F313" t="inlineStr">
        <is>
          <t>VÄSTRA GÖTALANDS LÄN</t>
        </is>
      </c>
      <c r="G313" t="inlineStr">
        <is>
          <t>BORÅS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46270</v>
      </c>
      <c r="F314" t="inlineStr">
        <is>
          <t>VÄSTRA GÖTALANDS LÄN</t>
        </is>
      </c>
      <c r="G314" t="inlineStr">
        <is>
          <t>BORÅS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46270</v>
      </c>
      <c r="F315" t="inlineStr">
        <is>
          <t>VÄSTRA GÖTALANDS LÄN</t>
        </is>
      </c>
      <c r="G315" t="inlineStr">
        <is>
          <t>BORÅS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44630</v>
      </c>
      <c r="E316" s="1" t="n">
        <v>46270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46270</v>
      </c>
      <c r="F317" t="inlineStr">
        <is>
          <t>VÄSTRA GÖTALANDS LÄN</t>
        </is>
      </c>
      <c r="G317" t="inlineStr">
        <is>
          <t>BORÅS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45961</v>
      </c>
      <c r="E318" s="1" t="n">
        <v>46270</v>
      </c>
      <c r="F318" t="inlineStr">
        <is>
          <t>VÄSTRA GÖTALANDS LÄN</t>
        </is>
      </c>
      <c r="G318" t="inlineStr">
        <is>
          <t>BORÅS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46270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44644</v>
      </c>
      <c r="E320" s="1" t="n">
        <v>46270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46270</v>
      </c>
      <c r="F321" t="inlineStr">
        <is>
          <t>VÄSTRA GÖTALANDS LÄN</t>
        </is>
      </c>
      <c r="G321" t="inlineStr">
        <is>
          <t>BORÅS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46270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45196</v>
      </c>
      <c r="E323" s="1" t="n">
        <v>46270</v>
      </c>
      <c r="F323" t="inlineStr">
        <is>
          <t>VÄSTRA GÖTALANDS LÄN</t>
        </is>
      </c>
      <c r="G323" t="inlineStr">
        <is>
          <t>BORÅS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44656</v>
      </c>
      <c r="E324" s="1" t="n">
        <v>46270</v>
      </c>
      <c r="F324" t="inlineStr">
        <is>
          <t>VÄSTRA GÖTALANDS LÄN</t>
        </is>
      </c>
      <c r="G324" t="inlineStr">
        <is>
          <t>BORÅS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45316</v>
      </c>
      <c r="E325" s="1" t="n">
        <v>46270</v>
      </c>
      <c r="F325" t="inlineStr">
        <is>
          <t>VÄSTRA GÖTALANDS LÄN</t>
        </is>
      </c>
      <c r="G325" t="inlineStr">
        <is>
          <t>BORÅS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46270</v>
      </c>
      <c r="F326" t="inlineStr">
        <is>
          <t>VÄSTRA GÖTALANDS LÄN</t>
        </is>
      </c>
      <c r="G326" t="inlineStr">
        <is>
          <t>BORÅS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45593</v>
      </c>
      <c r="E327" s="1" t="n">
        <v>46270</v>
      </c>
      <c r="F327" t="inlineStr">
        <is>
          <t>VÄSTRA GÖTALANDS LÄN</t>
        </is>
      </c>
      <c r="G327" t="inlineStr">
        <is>
          <t>BORÅS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46270</v>
      </c>
      <c r="F328" t="inlineStr">
        <is>
          <t>VÄSTRA GÖTALANDS LÄN</t>
        </is>
      </c>
      <c r="G328" t="inlineStr">
        <is>
          <t>BORÅS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45096</v>
      </c>
      <c r="E329" s="1" t="n">
        <v>46270</v>
      </c>
      <c r="F329" t="inlineStr">
        <is>
          <t>VÄSTRA GÖTALANDS LÄN</t>
        </is>
      </c>
      <c r="G329" t="inlineStr">
        <is>
          <t>BORÅS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45456</v>
      </c>
      <c r="E330" s="1" t="n">
        <v>46270</v>
      </c>
      <c r="F330" t="inlineStr">
        <is>
          <t>VÄSTRA GÖTALANDS LÄN</t>
        </is>
      </c>
      <c r="G330" t="inlineStr">
        <is>
          <t>BORÅS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60923-2022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44914</v>
      </c>
      <c r="E331" s="1" t="n">
        <v>46270</v>
      </c>
      <c r="F331" t="inlineStr">
        <is>
          <t>VÄSTRA GÖTALANDS LÄN</t>
        </is>
      </c>
      <c r="G331" t="inlineStr">
        <is>
          <t>BORÅS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44571</v>
      </c>
      <c r="E332" s="1" t="n">
        <v>46270</v>
      </c>
      <c r="F332" t="inlineStr">
        <is>
          <t>VÄSTRA GÖTALANDS LÄN</t>
        </is>
      </c>
      <c r="G332" t="inlineStr">
        <is>
          <t>BORÅS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46270</v>
      </c>
      <c r="F333" t="inlineStr">
        <is>
          <t>VÄSTRA GÖTALANDS LÄN</t>
        </is>
      </c>
      <c r="G333" t="inlineStr">
        <is>
          <t>BORÅS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45547</v>
      </c>
      <c r="E334" s="1" t="n">
        <v>46270</v>
      </c>
      <c r="F334" t="inlineStr">
        <is>
          <t>VÄSTRA GÖTALANDS LÄN</t>
        </is>
      </c>
      <c r="G334" t="inlineStr">
        <is>
          <t>BORÅS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56376-2025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45974</v>
      </c>
      <c r="E335" s="1" t="n">
        <v>46270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46270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45547</v>
      </c>
      <c r="E337" s="1" t="n">
        <v>46270</v>
      </c>
      <c r="F337" t="inlineStr">
        <is>
          <t>VÄSTRA GÖTALANDS LÄN</t>
        </is>
      </c>
      <c r="G337" t="inlineStr">
        <is>
          <t>BORÅS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46270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46270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46270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46270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46270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46270</v>
      </c>
      <c r="F343" t="inlineStr">
        <is>
          <t>VÄSTRA GÖTALANDS LÄN</t>
        </is>
      </c>
      <c r="G343" t="inlineStr">
        <is>
          <t>BORÅS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45982</v>
      </c>
      <c r="E344" s="1" t="n">
        <v>46270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  <c r="X344">
        <f>HYPERLINK("https://klasma.github.io/Logging_1490/kartor/A 58304-2025 karta.png", "A 58304-2025")</f>
        <v/>
      </c>
      <c r="Y344">
        <f>HYPERLINK("https://klasma.github.io/Logging_1490/kartor_geotiff/A 58304-2025 georefererad karta.tif", "A 58304-2025")</f>
        <v/>
      </c>
      <c r="AA344">
        <f>HYPERLINK("https://klasma.github.io/Logging_1490/klagomål/A 58304-2025 FSC-klagomål.docx", "A 58304-2025")</f>
        <v/>
      </c>
      <c r="AB344">
        <f>HYPERLINK("https://klasma.github.io/Logging_1490/klagomålsmail/A 58304-2025 FSC-klagomål mail.docx", "A 58304-2025")</f>
        <v/>
      </c>
      <c r="AC344">
        <f>HYPERLINK("https://klasma.github.io/Logging_1490/tillsyn/A 58304-2025 tillsynsbegäran.docx", "A 58304-2025")</f>
        <v/>
      </c>
      <c r="AD344">
        <f>HYPERLINK("https://klasma.github.io/Logging_1490/tillsynsmail/A 58304-2025 tillsynsbegäran mail.docx", "A 58304-2025")</f>
        <v/>
      </c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46270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48358-2023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45205</v>
      </c>
      <c r="E346" s="1" t="n">
        <v>46270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46270</v>
      </c>
      <c r="F347" t="inlineStr">
        <is>
          <t>VÄSTRA GÖTALANDS LÄN</t>
        </is>
      </c>
      <c r="G347" t="inlineStr">
        <is>
          <t>BORÅS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46270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46270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46270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45301</v>
      </c>
      <c r="E351" s="1" t="n">
        <v>46270</v>
      </c>
      <c r="F351" t="inlineStr">
        <is>
          <t>VÄSTRA GÖTALANDS LÄN</t>
        </is>
      </c>
      <c r="G351" t="inlineStr">
        <is>
          <t>BORÅS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46270</v>
      </c>
      <c r="F352" t="inlineStr">
        <is>
          <t>VÄSTRA GÖTALANDS LÄN</t>
        </is>
      </c>
      <c r="G352" t="inlineStr">
        <is>
          <t>BORÅS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46270</v>
      </c>
      <c r="F353" t="inlineStr">
        <is>
          <t>VÄSTRA GÖTALANDS LÄN</t>
        </is>
      </c>
      <c r="G353" t="inlineStr">
        <is>
          <t>BORÅS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45308</v>
      </c>
      <c r="E354" s="1" t="n">
        <v>46270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Kommuner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46270</v>
      </c>
      <c r="F355" t="inlineStr">
        <is>
          <t>VÄSTRA GÖTALANDS LÄN</t>
        </is>
      </c>
      <c r="G355" t="inlineStr">
        <is>
          <t>BORÅS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46270</v>
      </c>
      <c r="F356" t="inlineStr">
        <is>
          <t>VÄSTRA GÖTALANDS LÄN</t>
        </is>
      </c>
      <c r="G356" t="inlineStr">
        <is>
          <t>BORÅS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46270</v>
      </c>
      <c r="F357" t="inlineStr">
        <is>
          <t>VÄSTRA GÖTALANDS LÄN</t>
        </is>
      </c>
      <c r="G357" t="inlineStr">
        <is>
          <t>BORÅS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45996</v>
      </c>
      <c r="E358" s="1" t="n">
        <v>46270</v>
      </c>
      <c r="F358" t="inlineStr">
        <is>
          <t>VÄSTRA GÖTALANDS LÄN</t>
        </is>
      </c>
      <c r="G358" t="inlineStr">
        <is>
          <t>BORÅS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46270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46270</v>
      </c>
      <c r="F360" t="inlineStr">
        <is>
          <t>VÄSTRA GÖTALANDS LÄN</t>
        </is>
      </c>
      <c r="G360" t="inlineStr">
        <is>
          <t>BORÅS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46270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62850-2025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46270</v>
      </c>
      <c r="F362" t="inlineStr">
        <is>
          <t>VÄSTRA GÖTALANDS LÄN</t>
        </is>
      </c>
      <c r="G362" t="inlineStr">
        <is>
          <t>BORÅS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45053</v>
      </c>
      <c r="E363" s="1" t="n">
        <v>46270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48886-2022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44859</v>
      </c>
      <c r="E364" s="1" t="n">
        <v>46270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46574-2022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44848</v>
      </c>
      <c r="E365" s="1" t="n">
        <v>46270</v>
      </c>
      <c r="F365" t="inlineStr">
        <is>
          <t>VÄSTRA GÖTALANDS LÄN</t>
        </is>
      </c>
      <c r="G365" t="inlineStr">
        <is>
          <t>BORÅS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46270</v>
      </c>
      <c r="F366" t="inlineStr">
        <is>
          <t>VÄSTRA GÖTALANDS LÄN</t>
        </is>
      </c>
      <c r="G366" t="inlineStr">
        <is>
          <t>BORÅS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46270</v>
      </c>
      <c r="F367" t="inlineStr">
        <is>
          <t>VÄSTRA GÖTALANDS LÄN</t>
        </is>
      </c>
      <c r="G367" t="inlineStr">
        <is>
          <t>BORÅS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46270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45688</v>
      </c>
      <c r="E369" s="1" t="n">
        <v>46270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46090</v>
      </c>
      <c r="E370" s="1" t="n">
        <v>46270</v>
      </c>
      <c r="F370" t="inlineStr">
        <is>
          <t>VÄSTRA GÖTALANDS LÄN</t>
        </is>
      </c>
      <c r="G370" t="inlineStr">
        <is>
          <t>BORÅS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46270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46270</v>
      </c>
      <c r="F372" t="inlineStr">
        <is>
          <t>VÄSTRA GÖTALANDS LÄN</t>
        </is>
      </c>
      <c r="G372" t="inlineStr">
        <is>
          <t>BORÅS</t>
        </is>
      </c>
      <c r="I372" t="n">
        <v>12.8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46270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45699</v>
      </c>
      <c r="E374" s="1" t="n">
        <v>46270</v>
      </c>
      <c r="F374" t="inlineStr">
        <is>
          <t>VÄSTRA GÖTALANDS LÄN</t>
        </is>
      </c>
      <c r="G374" t="inlineStr">
        <is>
          <t>BORÅS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45615</v>
      </c>
      <c r="E375" s="1" t="n">
        <v>46270</v>
      </c>
      <c r="F375" t="inlineStr">
        <is>
          <t>VÄSTRA GÖTALANDS LÄN</t>
        </is>
      </c>
      <c r="G375" t="inlineStr">
        <is>
          <t>BORÅS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46091</v>
      </c>
      <c r="E376" s="1" t="n">
        <v>46270</v>
      </c>
      <c r="F376" t="inlineStr">
        <is>
          <t>VÄSTRA GÖTALANDS LÄN</t>
        </is>
      </c>
      <c r="G376" t="inlineStr">
        <is>
          <t>BORÅS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46270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46270</v>
      </c>
      <c r="F378" t="inlineStr">
        <is>
          <t>VÄSTRA GÖTALANDS LÄN</t>
        </is>
      </c>
      <c r="G378" t="inlineStr">
        <is>
          <t>BORÅS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57365-2022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46270</v>
      </c>
      <c r="F379" t="inlineStr">
        <is>
          <t>VÄSTRA GÖTALANDS LÄN</t>
        </is>
      </c>
      <c r="G379" t="inlineStr">
        <is>
          <t>BORÅS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46270</v>
      </c>
      <c r="F380" t="inlineStr">
        <is>
          <t>VÄSTRA GÖTALANDS LÄN</t>
        </is>
      </c>
      <c r="G380" t="inlineStr">
        <is>
          <t>BORÅS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46270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27334-2024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45472</v>
      </c>
      <c r="E382" s="1" t="n">
        <v>46270</v>
      </c>
      <c r="F382" t="inlineStr">
        <is>
          <t>VÄSTRA GÖTALANDS LÄN</t>
        </is>
      </c>
      <c r="G382" t="inlineStr">
        <is>
          <t>BORÅS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46270</v>
      </c>
      <c r="F383" t="inlineStr">
        <is>
          <t>VÄSTRA GÖTALANDS LÄN</t>
        </is>
      </c>
      <c r="G383" t="inlineStr">
        <is>
          <t>BORÅS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50382-2022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44866</v>
      </c>
      <c r="E384" s="1" t="n">
        <v>46270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54875-2022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44886</v>
      </c>
      <c r="E385" s="1" t="n">
        <v>46270</v>
      </c>
      <c r="F385" t="inlineStr">
        <is>
          <t>VÄSTRA GÖTALANDS LÄN</t>
        </is>
      </c>
      <c r="G385" t="inlineStr">
        <is>
          <t>BORÅS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46270</v>
      </c>
      <c r="F386" t="inlineStr">
        <is>
          <t>VÄSTRA GÖTALANDS LÄN</t>
        </is>
      </c>
      <c r="G386" t="inlineStr">
        <is>
          <t>BORÅS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46270</v>
      </c>
      <c r="F387" t="inlineStr">
        <is>
          <t>VÄSTRA GÖTALANDS LÄN</t>
        </is>
      </c>
      <c r="G387" t="inlineStr">
        <is>
          <t>BORÅS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46270</v>
      </c>
      <c r="F388" t="inlineStr">
        <is>
          <t>VÄSTRA GÖTALANDS LÄN</t>
        </is>
      </c>
      <c r="G388" t="inlineStr">
        <is>
          <t>BORÅS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45357</v>
      </c>
      <c r="E389" s="1" t="n">
        <v>46270</v>
      </c>
      <c r="F389" t="inlineStr">
        <is>
          <t>VÄSTRA GÖTALANDS LÄN</t>
        </is>
      </c>
      <c r="G389" t="inlineStr">
        <is>
          <t>BORÅS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44886</v>
      </c>
      <c r="E390" s="1" t="n">
        <v>46270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54878-2022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46270</v>
      </c>
      <c r="F391" t="inlineStr">
        <is>
          <t>VÄSTRA GÖTALANDS LÄN</t>
        </is>
      </c>
      <c r="G391" t="inlineStr">
        <is>
          <t>BORÅS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47616-2022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44854</v>
      </c>
      <c r="E392" s="1" t="n">
        <v>46270</v>
      </c>
      <c r="F392" t="inlineStr">
        <is>
          <t>VÄSTRA GÖTALANDS LÄN</t>
        </is>
      </c>
      <c r="G392" t="inlineStr">
        <is>
          <t>BORÅS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46270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14913-2026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46270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46105</v>
      </c>
      <c r="E395" s="1" t="n">
        <v>46270</v>
      </c>
      <c r="F395" t="inlineStr">
        <is>
          <t>VÄSTRA GÖTALANDS LÄN</t>
        </is>
      </c>
      <c r="G395" t="inlineStr">
        <is>
          <t>BORÅS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46270</v>
      </c>
      <c r="F396" t="inlineStr">
        <is>
          <t>VÄSTRA GÖTALANDS LÄN</t>
        </is>
      </c>
      <c r="G396" t="inlineStr">
        <is>
          <t>BORÅS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46270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46270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45483</v>
      </c>
      <c r="E399" s="1" t="n">
        <v>46270</v>
      </c>
      <c r="F399" t="inlineStr">
        <is>
          <t>VÄSTRA GÖTALANDS LÄN</t>
        </is>
      </c>
      <c r="G399" t="inlineStr">
        <is>
          <t>BORÅS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29318-2024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45483</v>
      </c>
      <c r="E400" s="1" t="n">
        <v>46270</v>
      </c>
      <c r="F400" t="inlineStr">
        <is>
          <t>VÄSTRA GÖTALANDS LÄN</t>
        </is>
      </c>
      <c r="G400" t="inlineStr">
        <is>
          <t>BORÅS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46270</v>
      </c>
      <c r="F401" t="inlineStr">
        <is>
          <t>VÄSTRA GÖTALANDS LÄN</t>
        </is>
      </c>
      <c r="G401" t="inlineStr">
        <is>
          <t>BORÅS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52410-2023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45224</v>
      </c>
      <c r="E402" s="1" t="n">
        <v>46270</v>
      </c>
      <c r="F402" t="inlineStr">
        <is>
          <t>VÄSTRA GÖTALANDS LÄN</t>
        </is>
      </c>
      <c r="G402" t="inlineStr">
        <is>
          <t>BORÅS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46270</v>
      </c>
      <c r="F403" t="inlineStr">
        <is>
          <t>VÄSTRA GÖTALANDS LÄN</t>
        </is>
      </c>
      <c r="G403" t="inlineStr">
        <is>
          <t>BORÅS</t>
        </is>
      </c>
      <c r="H403" t="inlineStr">
        <is>
          <t>Kommuner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46270</v>
      </c>
      <c r="F404" t="inlineStr">
        <is>
          <t>VÄSTRA GÖTALANDS LÄN</t>
        </is>
      </c>
      <c r="G404" t="inlineStr">
        <is>
          <t>BORÅS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45629</v>
      </c>
      <c r="E405" s="1" t="n">
        <v>46270</v>
      </c>
      <c r="F405" t="inlineStr">
        <is>
          <t>VÄSTRA GÖTALANDS LÄN</t>
        </is>
      </c>
      <c r="G405" t="inlineStr">
        <is>
          <t>BORÅS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46270</v>
      </c>
      <c r="F406" t="inlineStr">
        <is>
          <t>VÄSTRA GÖTALANDS LÄN</t>
        </is>
      </c>
      <c r="G406" t="inlineStr">
        <is>
          <t>BORÅS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46270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46270</v>
      </c>
      <c r="F408" t="inlineStr">
        <is>
          <t>VÄSTRA GÖTALANDS LÄN</t>
        </is>
      </c>
      <c r="G408" t="inlineStr">
        <is>
          <t>BORÅS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17234-2026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46119</v>
      </c>
      <c r="E409" s="1" t="n">
        <v>46270</v>
      </c>
      <c r="F409" t="inlineStr">
        <is>
          <t>VÄSTRA GÖTALANDS LÄN</t>
        </is>
      </c>
      <c r="G409" t="inlineStr">
        <is>
          <t>BORÅS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41838-2023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45176</v>
      </c>
      <c r="E410" s="1" t="n">
        <v>46270</v>
      </c>
      <c r="F410" t="inlineStr">
        <is>
          <t>VÄSTRA GÖTALANDS LÄN</t>
        </is>
      </c>
      <c r="G410" t="inlineStr">
        <is>
          <t>BORÅS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46270</v>
      </c>
      <c r="F411" t="inlineStr">
        <is>
          <t>VÄSTRA GÖTALANDS LÄN</t>
        </is>
      </c>
      <c r="G411" t="inlineStr">
        <is>
          <t>BORÅS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45308</v>
      </c>
      <c r="E412" s="1" t="n">
        <v>46270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Kommuner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46270</v>
      </c>
      <c r="F413" t="inlineStr">
        <is>
          <t>VÄSTRA GÖTALANDS LÄN</t>
        </is>
      </c>
      <c r="G413" t="inlineStr">
        <is>
          <t>BORÅS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46270</v>
      </c>
      <c r="F414" t="inlineStr">
        <is>
          <t>VÄSTRA GÖTALANDS LÄN</t>
        </is>
      </c>
      <c r="G414" t="inlineStr">
        <is>
          <t>BORÅS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46128</v>
      </c>
      <c r="E415" s="1" t="n">
        <v>46270</v>
      </c>
      <c r="F415" t="inlineStr">
        <is>
          <t>VÄSTRA GÖTALANDS LÄN</t>
        </is>
      </c>
      <c r="G415" t="inlineStr">
        <is>
          <t>BORÅS</t>
        </is>
      </c>
      <c r="I415" t="n">
        <v>9.199999999999999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46270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44941</v>
      </c>
      <c r="E417" s="1" t="n">
        <v>46270</v>
      </c>
      <c r="F417" t="inlineStr">
        <is>
          <t>VÄSTRA GÖTALANDS LÄN</t>
        </is>
      </c>
      <c r="G417" t="inlineStr">
        <is>
          <t>BORÅS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45268</v>
      </c>
      <c r="E418" s="1" t="n">
        <v>46270</v>
      </c>
      <c r="F418" t="inlineStr">
        <is>
          <t>VÄSTRA GÖTALANDS LÄN</t>
        </is>
      </c>
      <c r="G418" t="inlineStr">
        <is>
          <t>BORÅS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45329</v>
      </c>
      <c r="E419" s="1" t="n">
        <v>46270</v>
      </c>
      <c r="F419" t="inlineStr">
        <is>
          <t>VÄSTRA GÖTALANDS LÄN</t>
        </is>
      </c>
      <c r="G419" t="inlineStr">
        <is>
          <t>BORÅS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45637</v>
      </c>
      <c r="E420" s="1" t="n">
        <v>46270</v>
      </c>
      <c r="F420" t="inlineStr">
        <is>
          <t>VÄSTRA GÖTALANDS LÄN</t>
        </is>
      </c>
      <c r="G420" t="inlineStr">
        <is>
          <t>BORÅS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46270</v>
      </c>
      <c r="F421" t="inlineStr">
        <is>
          <t>VÄSTRA GÖTALANDS LÄN</t>
        </is>
      </c>
      <c r="G421" t="inlineStr">
        <is>
          <t>BORÅS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46270</v>
      </c>
      <c r="F422" t="inlineStr">
        <is>
          <t>VÄSTRA GÖTALANDS LÄN</t>
        </is>
      </c>
      <c r="G422" t="inlineStr">
        <is>
          <t>BORÅS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46270</v>
      </c>
      <c r="F423" t="inlineStr">
        <is>
          <t>VÄSTRA GÖTALANDS LÄN</t>
        </is>
      </c>
      <c r="G423" t="inlineStr">
        <is>
          <t>BORÅS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46270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70988-2021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44538</v>
      </c>
      <c r="E425" s="1" t="n">
        <v>46270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46270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45863</v>
      </c>
      <c r="E427" s="1" t="n">
        <v>46270</v>
      </c>
      <c r="F427" t="inlineStr">
        <is>
          <t>VÄSTRA GÖTALANDS LÄN</t>
        </is>
      </c>
      <c r="G427" t="inlineStr">
        <is>
          <t>BORÅS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46270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46270</v>
      </c>
      <c r="F429" t="inlineStr">
        <is>
          <t>VÄSTRA GÖTALANDS LÄN</t>
        </is>
      </c>
      <c r="G429" t="inlineStr">
        <is>
          <t>BORÅS</t>
        </is>
      </c>
      <c r="H429" t="inlineStr">
        <is>
          <t>Kommuner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46270</v>
      </c>
      <c r="F430" t="inlineStr">
        <is>
          <t>VÄSTRA GÖTALANDS LÄN</t>
        </is>
      </c>
      <c r="G430" t="inlineStr">
        <is>
          <t>BORÅS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50692-2023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46270</v>
      </c>
      <c r="F431" t="inlineStr">
        <is>
          <t>VÄSTRA GÖTALANDS LÄN</t>
        </is>
      </c>
      <c r="G431" t="inlineStr">
        <is>
          <t>BORÅS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44704</v>
      </c>
      <c r="E432" s="1" t="n">
        <v>46270</v>
      </c>
      <c r="F432" t="inlineStr">
        <is>
          <t>VÄSTRA GÖTALANDS LÄN</t>
        </is>
      </c>
      <c r="G432" t="inlineStr">
        <is>
          <t>BORÅS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45870</v>
      </c>
      <c r="E433" s="1" t="n">
        <v>46270</v>
      </c>
      <c r="F433" t="inlineStr">
        <is>
          <t>VÄSTRA GÖTALANDS LÄN</t>
        </is>
      </c>
      <c r="G433" t="inlineStr">
        <is>
          <t>BORÅS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45453</v>
      </c>
      <c r="E434" s="1" t="n">
        <v>46270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46270</v>
      </c>
      <c r="F435" t="inlineStr">
        <is>
          <t>VÄSTRA GÖTALANDS LÄN</t>
        </is>
      </c>
      <c r="G435" t="inlineStr">
        <is>
          <t>BORÅS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21739-2026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46147</v>
      </c>
      <c r="E436" s="1" t="n">
        <v>46270</v>
      </c>
      <c r="F436" t="inlineStr">
        <is>
          <t>VÄSTRA GÖTALANDS LÄN</t>
        </is>
      </c>
      <c r="G436" t="inlineStr">
        <is>
          <t>BORÅS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46270</v>
      </c>
      <c r="F437" t="inlineStr">
        <is>
          <t>VÄSTRA GÖTALANDS LÄN</t>
        </is>
      </c>
      <c r="G437" t="inlineStr">
        <is>
          <t>BORÅS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46270</v>
      </c>
      <c r="F438" t="inlineStr">
        <is>
          <t>VÄSTRA GÖTALANDS LÄN</t>
        </is>
      </c>
      <c r="G438" t="inlineStr">
        <is>
          <t>BORÅS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45546</v>
      </c>
      <c r="E439" s="1" t="n">
        <v>46270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46270</v>
      </c>
      <c r="F440" t="inlineStr">
        <is>
          <t>VÄSTRA GÖTALANDS LÄN</t>
        </is>
      </c>
      <c r="G440" t="inlineStr">
        <is>
          <t>BORÅS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46270</v>
      </c>
      <c r="F441" t="inlineStr">
        <is>
          <t>VÄSTRA GÖTALANDS LÄN</t>
        </is>
      </c>
      <c r="G441" t="inlineStr">
        <is>
          <t>BORÅS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45819</v>
      </c>
      <c r="E442" s="1" t="n">
        <v>46270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45772</v>
      </c>
      <c r="E443" s="1" t="n">
        <v>46270</v>
      </c>
      <c r="F443" t="inlineStr">
        <is>
          <t>VÄSTRA GÖTALANDS LÄN</t>
        </is>
      </c>
      <c r="G443" t="inlineStr">
        <is>
          <t>BORÅS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46270</v>
      </c>
      <c r="F444" t="inlineStr">
        <is>
          <t>VÄSTRA GÖTALANDS LÄN</t>
        </is>
      </c>
      <c r="G444" t="inlineStr">
        <is>
          <t>BORÅS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44839</v>
      </c>
      <c r="E445" s="1" t="n">
        <v>46270</v>
      </c>
      <c r="F445" t="inlineStr">
        <is>
          <t>VÄSTRA GÖTALANDS LÄN</t>
        </is>
      </c>
      <c r="G445" t="inlineStr">
        <is>
          <t>BORÅS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46270</v>
      </c>
      <c r="F446" t="inlineStr">
        <is>
          <t>VÄSTRA GÖTALANDS LÄN</t>
        </is>
      </c>
      <c r="G446" t="inlineStr">
        <is>
          <t>BORÅS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45842</v>
      </c>
      <c r="E447" s="1" t="n">
        <v>46270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45968</v>
      </c>
      <c r="E448" s="1" t="n">
        <v>46270</v>
      </c>
      <c r="F448" t="inlineStr">
        <is>
          <t>VÄSTRA GÖTALANDS LÄN</t>
        </is>
      </c>
      <c r="G448" t="inlineStr">
        <is>
          <t>BORÅS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45120</v>
      </c>
      <c r="E449" s="1" t="n">
        <v>46270</v>
      </c>
      <c r="F449" t="inlineStr">
        <is>
          <t>VÄSTRA GÖTALANDS LÄN</t>
        </is>
      </c>
      <c r="G449" t="inlineStr">
        <is>
          <t>BORÅS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46270</v>
      </c>
      <c r="F450" t="inlineStr">
        <is>
          <t>VÄSTRA GÖTALANDS LÄN</t>
        </is>
      </c>
      <c r="G450" t="inlineStr">
        <is>
          <t>BORÅS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44959</v>
      </c>
      <c r="E451" s="1" t="n">
        <v>46270</v>
      </c>
      <c r="F451" t="inlineStr">
        <is>
          <t>VÄSTRA GÖTALANDS LÄN</t>
        </is>
      </c>
      <c r="G451" t="inlineStr">
        <is>
          <t>BORÅS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46270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46270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5964-2023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44964</v>
      </c>
      <c r="E454" s="1" t="n">
        <v>46270</v>
      </c>
      <c r="F454" t="inlineStr">
        <is>
          <t>VÄSTRA GÖTALANDS LÄN</t>
        </is>
      </c>
      <c r="G454" t="inlineStr">
        <is>
          <t>BORÅS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44639</v>
      </c>
      <c r="E455" s="1" t="n">
        <v>46270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45953</v>
      </c>
      <c r="E456" s="1" t="n">
        <v>46270</v>
      </c>
      <c r="F456" t="inlineStr">
        <is>
          <t>VÄSTRA GÖTALANDS LÄN</t>
        </is>
      </c>
      <c r="G456" t="inlineStr">
        <is>
          <t>BORÅS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45212</v>
      </c>
      <c r="E457" s="1" t="n">
        <v>46270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20653-2026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46141</v>
      </c>
      <c r="E458" s="1" t="n">
        <v>46270</v>
      </c>
      <c r="F458" t="inlineStr">
        <is>
          <t>VÄSTRA GÖTALANDS LÄN</t>
        </is>
      </c>
      <c r="G458" t="inlineStr">
        <is>
          <t>BORÅS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45294</v>
      </c>
      <c r="E459" s="1" t="n">
        <v>46270</v>
      </c>
      <c r="F459" t="inlineStr">
        <is>
          <t>VÄSTRA GÖTALANDS LÄN</t>
        </is>
      </c>
      <c r="G459" t="inlineStr">
        <is>
          <t>BORÅS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45239</v>
      </c>
      <c r="E460" s="1" t="n">
        <v>46270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45538</v>
      </c>
      <c r="E461" s="1" t="n">
        <v>46270</v>
      </c>
      <c r="F461" t="inlineStr">
        <is>
          <t>VÄSTRA GÖTALANDS LÄN</t>
        </is>
      </c>
      <c r="G461" t="inlineStr">
        <is>
          <t>BORÅS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46270</v>
      </c>
      <c r="F462" t="inlineStr">
        <is>
          <t>VÄSTRA GÖTALANDS LÄN</t>
        </is>
      </c>
      <c r="G462" t="inlineStr">
        <is>
          <t>BORÅS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46270</v>
      </c>
      <c r="F463" t="inlineStr">
        <is>
          <t>VÄSTRA GÖTALANDS LÄN</t>
        </is>
      </c>
      <c r="G463" t="inlineStr">
        <is>
          <t>BORÅS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45148</v>
      </c>
      <c r="E464" s="1" t="n">
        <v>46270</v>
      </c>
      <c r="F464" t="inlineStr">
        <is>
          <t>VÄSTRA GÖTALANDS LÄN</t>
        </is>
      </c>
      <c r="G464" t="inlineStr">
        <is>
          <t>BORÅS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14990-2023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46270</v>
      </c>
      <c r="F465" t="inlineStr">
        <is>
          <t>VÄSTRA GÖTALANDS LÄN</t>
        </is>
      </c>
      <c r="G465" t="inlineStr">
        <is>
          <t>BORÅS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72566-2021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46270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45205</v>
      </c>
      <c r="E467" s="1" t="n">
        <v>46270</v>
      </c>
      <c r="F467" t="inlineStr">
        <is>
          <t>VÄSTRA GÖTALANDS LÄN</t>
        </is>
      </c>
      <c r="G467" t="inlineStr">
        <is>
          <t>BORÅS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36635-2025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45870</v>
      </c>
      <c r="E468" s="1" t="n">
        <v>46270</v>
      </c>
      <c r="F468" t="inlineStr">
        <is>
          <t>VÄSTRA GÖTALANDS LÄN</t>
        </is>
      </c>
      <c r="G468" t="inlineStr">
        <is>
          <t>BORÅS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41778-2023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45176</v>
      </c>
      <c r="E469" s="1" t="n">
        <v>46270</v>
      </c>
      <c r="F469" t="inlineStr">
        <is>
          <t>VÄSTRA GÖTALANDS LÄN</t>
        </is>
      </c>
      <c r="G469" t="inlineStr">
        <is>
          <t>BORÅS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18937-2023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45044</v>
      </c>
      <c r="E470" s="1" t="n">
        <v>46270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46453-2024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45582</v>
      </c>
      <c r="E471" s="1" t="n">
        <v>46270</v>
      </c>
      <c r="F471" t="inlineStr">
        <is>
          <t>VÄSTRA GÖTALANDS LÄN</t>
        </is>
      </c>
      <c r="G471" t="inlineStr">
        <is>
          <t>BORÅS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44506-2023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45189</v>
      </c>
      <c r="E472" s="1" t="n">
        <v>46270</v>
      </c>
      <c r="F472" t="inlineStr">
        <is>
          <t>VÄSTRA GÖTALANDS LÄN</t>
        </is>
      </c>
      <c r="G472" t="inlineStr">
        <is>
          <t>BORÅS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45771</v>
      </c>
      <c r="E473" s="1" t="n">
        <v>46270</v>
      </c>
      <c r="F473" t="inlineStr">
        <is>
          <t>VÄSTRA GÖTALANDS LÄN</t>
        </is>
      </c>
      <c r="G473" t="inlineStr">
        <is>
          <t>BORÅS</t>
        </is>
      </c>
      <c r="I473" t="n">
        <v>8.6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20279-2026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46136</v>
      </c>
      <c r="E474" s="1" t="n">
        <v>46270</v>
      </c>
      <c r="F474" t="inlineStr">
        <is>
          <t>VÄSTRA GÖTALANDS LÄN</t>
        </is>
      </c>
      <c r="G474" t="inlineStr">
        <is>
          <t>BORÅS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48504-2024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46270</v>
      </c>
      <c r="F475" t="inlineStr">
        <is>
          <t>VÄSTRA GÖTALANDS LÄN</t>
        </is>
      </c>
      <c r="G475" t="inlineStr">
        <is>
          <t>BORÅS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45548</v>
      </c>
      <c r="E476" s="1" t="n">
        <v>46270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48449-2025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45935</v>
      </c>
      <c r="E477" s="1" t="n">
        <v>46270</v>
      </c>
      <c r="F477" t="inlineStr">
        <is>
          <t>VÄSTRA GÖTALANDS LÄN</t>
        </is>
      </c>
      <c r="G477" t="inlineStr">
        <is>
          <t>BORÅS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46270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46270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46270</v>
      </c>
      <c r="F480" t="inlineStr">
        <is>
          <t>VÄSTRA GÖTALANDS LÄN</t>
        </is>
      </c>
      <c r="G480" t="inlineStr">
        <is>
          <t>BORÅS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45756</v>
      </c>
      <c r="E481" s="1" t="n">
        <v>46270</v>
      </c>
      <c r="F481" t="inlineStr">
        <is>
          <t>VÄSTRA GÖTALANDS LÄN</t>
        </is>
      </c>
      <c r="G481" t="inlineStr">
        <is>
          <t>BORÅS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45440</v>
      </c>
      <c r="E482" s="1" t="n">
        <v>46270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46270</v>
      </c>
      <c r="F483" t="inlineStr">
        <is>
          <t>VÄSTRA GÖTALANDS LÄN</t>
        </is>
      </c>
      <c r="G483" t="inlineStr">
        <is>
          <t>BORÅS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45670</v>
      </c>
      <c r="E484" s="1" t="n">
        <v>46270</v>
      </c>
      <c r="F484" t="inlineStr">
        <is>
          <t>VÄSTRA GÖTALANDS LÄN</t>
        </is>
      </c>
      <c r="G484" t="inlineStr">
        <is>
          <t>BORÅS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46270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46270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46270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46270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46270</v>
      </c>
      <c r="F489" t="inlineStr">
        <is>
          <t>VÄSTRA GÖTALANDS LÄN</t>
        </is>
      </c>
      <c r="G489" t="inlineStr">
        <is>
          <t>BORÅS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46270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46270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50605-2022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44866</v>
      </c>
      <c r="E492" s="1" t="n">
        <v>46270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46270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6203-2024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45337</v>
      </c>
      <c r="E494" s="1" t="n">
        <v>46270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45113</v>
      </c>
      <c r="E495" s="1" t="n">
        <v>46270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46382-2023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45197</v>
      </c>
      <c r="E496" s="1" t="n">
        <v>46270</v>
      </c>
      <c r="F496" t="inlineStr">
        <is>
          <t>VÄSTRA GÖTALANDS LÄN</t>
        </is>
      </c>
      <c r="G496" t="inlineStr">
        <is>
          <t>BORÅS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44825</v>
      </c>
      <c r="E497" s="1" t="n">
        <v>46270</v>
      </c>
      <c r="F497" t="inlineStr">
        <is>
          <t>VÄSTRA GÖTALANDS LÄN</t>
        </is>
      </c>
      <c r="G497" t="inlineStr">
        <is>
          <t>BORÅS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45186</v>
      </c>
      <c r="E498" s="1" t="n">
        <v>46270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45211</v>
      </c>
      <c r="E499" s="1" t="n">
        <v>46270</v>
      </c>
      <c r="F499" t="inlineStr">
        <is>
          <t>VÄSTRA GÖTALANDS LÄN</t>
        </is>
      </c>
      <c r="G499" t="inlineStr">
        <is>
          <t>BORÅS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45477</v>
      </c>
      <c r="E500" s="1" t="n">
        <v>46270</v>
      </c>
      <c r="F500" t="inlineStr">
        <is>
          <t>VÄSTRA GÖTALANDS LÄN</t>
        </is>
      </c>
      <c r="G500" t="inlineStr">
        <is>
          <t>BORÅS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46270</v>
      </c>
      <c r="F501" t="inlineStr">
        <is>
          <t>VÄSTRA GÖTALANDS LÄN</t>
        </is>
      </c>
      <c r="G501" t="inlineStr">
        <is>
          <t>BORÅS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44771</v>
      </c>
      <c r="E502" s="1" t="n">
        <v>46270</v>
      </c>
      <c r="F502" t="inlineStr">
        <is>
          <t>VÄSTRA GÖTALANDS LÄN</t>
        </is>
      </c>
      <c r="G502" t="inlineStr">
        <is>
          <t>BORÅS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46270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52957-2022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46270</v>
      </c>
      <c r="F504" t="inlineStr">
        <is>
          <t>VÄSTRA GÖTALANDS LÄN</t>
        </is>
      </c>
      <c r="G504" t="inlineStr">
        <is>
          <t>BORÅS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46270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45631</v>
      </c>
      <c r="E506" s="1" t="n">
        <v>46270</v>
      </c>
      <c r="F506" t="inlineStr">
        <is>
          <t>VÄSTRA GÖTALANDS LÄN</t>
        </is>
      </c>
      <c r="G506" t="inlineStr">
        <is>
          <t>BORÅS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46270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Kommuner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32450-2023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45120</v>
      </c>
      <c r="E508" s="1" t="n">
        <v>46270</v>
      </c>
      <c r="F508" t="inlineStr">
        <is>
          <t>VÄSTRA GÖTALANDS LÄN</t>
        </is>
      </c>
      <c r="G508" t="inlineStr">
        <is>
          <t>BORÅS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44782-2025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45917</v>
      </c>
      <c r="E509" s="1" t="n">
        <v>46270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44995</v>
      </c>
      <c r="E510" s="1" t="n">
        <v>46270</v>
      </c>
      <c r="F510" t="inlineStr">
        <is>
          <t>VÄSTRA GÖTALANDS LÄN</t>
        </is>
      </c>
      <c r="G510" t="inlineStr">
        <is>
          <t>BORÅS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34195-2025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45845</v>
      </c>
      <c r="E511" s="1" t="n">
        <v>46270</v>
      </c>
      <c r="F511" t="inlineStr">
        <is>
          <t>VÄSTRA GÖTALANDS LÄN</t>
        </is>
      </c>
      <c r="G511" t="inlineStr">
        <is>
          <t>BORÅS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65200-2023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45289</v>
      </c>
      <c r="E512" s="1" t="n">
        <v>46270</v>
      </c>
      <c r="F512" t="inlineStr">
        <is>
          <t>VÄSTRA GÖTALANDS LÄN</t>
        </is>
      </c>
      <c r="G512" t="inlineStr">
        <is>
          <t>BORÅS</t>
        </is>
      </c>
      <c r="I512" t="n">
        <v>12.5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46270</v>
      </c>
      <c r="F513" t="inlineStr">
        <is>
          <t>VÄSTRA GÖTALANDS LÄN</t>
        </is>
      </c>
      <c r="G513" t="inlineStr">
        <is>
          <t>BORÅS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25238-2026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46175</v>
      </c>
      <c r="E514" s="1" t="n">
        <v>46270</v>
      </c>
      <c r="F514" t="inlineStr">
        <is>
          <t>VÄSTRA GÖTALANDS LÄN</t>
        </is>
      </c>
      <c r="G514" t="inlineStr">
        <is>
          <t>BORÅS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38355-2024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46270</v>
      </c>
      <c r="F515" t="inlineStr">
        <is>
          <t>VÄSTRA GÖTALANDS LÄN</t>
        </is>
      </c>
      <c r="G515" t="inlineStr">
        <is>
          <t>BORÅS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45769</v>
      </c>
      <c r="E516" s="1" t="n">
        <v>46270</v>
      </c>
      <c r="F516" t="inlineStr">
        <is>
          <t>VÄSTRA GÖTALANDS LÄN</t>
        </is>
      </c>
      <c r="G516" t="inlineStr">
        <is>
          <t>BORÅS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45618-2024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45579</v>
      </c>
      <c r="E517" s="1" t="n">
        <v>46270</v>
      </c>
      <c r="F517" t="inlineStr">
        <is>
          <t>VÄSTRA GÖTALANDS LÄN</t>
        </is>
      </c>
      <c r="G517" t="inlineStr">
        <is>
          <t>BORÅS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46270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46270</v>
      </c>
      <c r="F519" t="inlineStr">
        <is>
          <t>VÄSTRA GÖTALANDS LÄN</t>
        </is>
      </c>
      <c r="G519" t="inlineStr">
        <is>
          <t>BORÅS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46270</v>
      </c>
      <c r="F520" t="inlineStr">
        <is>
          <t>VÄSTRA GÖTALANDS LÄN</t>
        </is>
      </c>
      <c r="G520" t="inlineStr">
        <is>
          <t>BORÅS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26559-2026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46270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Kyrkan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46270</v>
      </c>
      <c r="F522" t="inlineStr">
        <is>
          <t>VÄSTRA GÖTALANDS LÄN</t>
        </is>
      </c>
      <c r="G522" t="inlineStr">
        <is>
          <t>BORÅS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46270</v>
      </c>
      <c r="F523" t="inlineStr">
        <is>
          <t>VÄSTRA GÖTALANDS LÄN</t>
        </is>
      </c>
      <c r="G523" t="inlineStr">
        <is>
          <t>BORÅS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45062</v>
      </c>
      <c r="E524" s="1" t="n">
        <v>46270</v>
      </c>
      <c r="F524" t="inlineStr">
        <is>
          <t>VÄSTRA GÖTALANDS LÄN</t>
        </is>
      </c>
      <c r="G524" t="inlineStr">
        <is>
          <t>BORÅS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46270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Kyrkan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26555-2026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46183</v>
      </c>
      <c r="E526" s="1" t="n">
        <v>46270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Kyrkan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46270</v>
      </c>
      <c r="F527" t="inlineStr">
        <is>
          <t>VÄSTRA GÖTALANDS LÄN</t>
        </is>
      </c>
      <c r="G527" t="inlineStr">
        <is>
          <t>BORÅS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46270</v>
      </c>
      <c r="F528" t="inlineStr">
        <is>
          <t>VÄSTRA GÖTALANDS LÄN</t>
        </is>
      </c>
      <c r="G528" t="inlineStr">
        <is>
          <t>BORÅS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45611</v>
      </c>
      <c r="E529" s="1" t="n">
        <v>46270</v>
      </c>
      <c r="F529" t="inlineStr">
        <is>
          <t>VÄSTRA GÖTALANDS LÄN</t>
        </is>
      </c>
      <c r="G529" t="inlineStr">
        <is>
          <t>BORÅS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46270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45670</v>
      </c>
      <c r="E531" s="1" t="n">
        <v>46270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44445</v>
      </c>
      <c r="E532" s="1" t="n">
        <v>46270</v>
      </c>
      <c r="F532" t="inlineStr">
        <is>
          <t>VÄSTRA GÖTALANDS LÄN</t>
        </is>
      </c>
      <c r="G532" t="inlineStr">
        <is>
          <t>BORÅS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10147-2024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45364</v>
      </c>
      <c r="E533" s="1" t="n">
        <v>46270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46270</v>
      </c>
      <c r="F534" t="inlineStr">
        <is>
          <t>VÄSTRA GÖTALANDS LÄN</t>
        </is>
      </c>
      <c r="G534" t="inlineStr">
        <is>
          <t>BORÅS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44577</v>
      </c>
      <c r="E535" s="1" t="n">
        <v>46270</v>
      </c>
      <c r="F535" t="inlineStr">
        <is>
          <t>VÄSTRA GÖTALANDS LÄN</t>
        </is>
      </c>
      <c r="G535" t="inlineStr">
        <is>
          <t>BORÅS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27335-2024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45472</v>
      </c>
      <c r="E536" s="1" t="n">
        <v>46270</v>
      </c>
      <c r="F536" t="inlineStr">
        <is>
          <t>VÄSTRA GÖTALANDS LÄN</t>
        </is>
      </c>
      <c r="G536" t="inlineStr">
        <is>
          <t>BORÅS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46270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45636</v>
      </c>
      <c r="E538" s="1" t="n">
        <v>46270</v>
      </c>
      <c r="F538" t="inlineStr">
        <is>
          <t>VÄSTRA GÖTALANDS LÄN</t>
        </is>
      </c>
      <c r="G538" t="inlineStr">
        <is>
          <t>BORÅS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46270</v>
      </c>
      <c r="F539" t="inlineStr">
        <is>
          <t>VÄSTRA GÖTALANDS LÄN</t>
        </is>
      </c>
      <c r="G539" t="inlineStr">
        <is>
          <t>BORÅS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46270</v>
      </c>
      <c r="F540" t="inlineStr">
        <is>
          <t>VÄSTRA GÖTALANDS LÄN</t>
        </is>
      </c>
      <c r="G540" t="inlineStr">
        <is>
          <t>BORÅS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46270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46270</v>
      </c>
      <c r="F542" t="inlineStr">
        <is>
          <t>VÄSTRA GÖTALANDS LÄN</t>
        </is>
      </c>
      <c r="G542" t="inlineStr">
        <is>
          <t>BORÅS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46270</v>
      </c>
      <c r="F543" t="inlineStr">
        <is>
          <t>VÄSTRA GÖTALANDS LÄN</t>
        </is>
      </c>
      <c r="G543" t="inlineStr">
        <is>
          <t>BORÅS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62532-2022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44916</v>
      </c>
      <c r="E544" s="1" t="n">
        <v>46270</v>
      </c>
      <c r="F544" t="inlineStr">
        <is>
          <t>VÄSTRA GÖTALANDS LÄN</t>
        </is>
      </c>
      <c r="G544" t="inlineStr">
        <is>
          <t>BORÅS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46270</v>
      </c>
      <c r="F545" t="inlineStr">
        <is>
          <t>VÄSTRA GÖTALANDS LÄN</t>
        </is>
      </c>
      <c r="G545" t="inlineStr">
        <is>
          <t>BORÅS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46270</v>
      </c>
      <c r="F546" t="inlineStr">
        <is>
          <t>VÄSTRA GÖTALANDS LÄN</t>
        </is>
      </c>
      <c r="G546" t="inlineStr">
        <is>
          <t>BORÅS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46270</v>
      </c>
      <c r="F547" t="inlineStr">
        <is>
          <t>VÄSTRA GÖTALANDS LÄN</t>
        </is>
      </c>
      <c r="G547" t="inlineStr">
        <is>
          <t>BORÅS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44837</v>
      </c>
      <c r="E548" s="1" t="n">
        <v>46270</v>
      </c>
      <c r="F548" t="inlineStr">
        <is>
          <t>VÄSTRA GÖTALANDS LÄN</t>
        </is>
      </c>
      <c r="G548" t="inlineStr">
        <is>
          <t>BORÅS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46270</v>
      </c>
      <c r="F549" t="inlineStr">
        <is>
          <t>VÄSTRA GÖTALANDS LÄN</t>
        </is>
      </c>
      <c r="G549" t="inlineStr">
        <is>
          <t>BORÅS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46270</v>
      </c>
      <c r="F550" t="inlineStr">
        <is>
          <t>VÄSTRA GÖTALANDS LÄN</t>
        </is>
      </c>
      <c r="G550" t="inlineStr">
        <is>
          <t>BORÅS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28171-2022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44746</v>
      </c>
      <c r="E551" s="1" t="n">
        <v>46270</v>
      </c>
      <c r="F551" t="inlineStr">
        <is>
          <t>VÄSTRA GÖTALANDS LÄN</t>
        </is>
      </c>
      <c r="G551" t="inlineStr">
        <is>
          <t>BORÅS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32237-2023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46270</v>
      </c>
      <c r="F552" t="inlineStr">
        <is>
          <t>VÄSTRA GÖTALANDS LÄN</t>
        </is>
      </c>
      <c r="G552" t="inlineStr">
        <is>
          <t>BORÅS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45516</v>
      </c>
      <c r="E553" s="1" t="n">
        <v>46270</v>
      </c>
      <c r="F553" t="inlineStr">
        <is>
          <t>VÄSTRA GÖTALANDS LÄN</t>
        </is>
      </c>
      <c r="G553" t="inlineStr">
        <is>
          <t>BORÅS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46270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Kyrkan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46270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46270</v>
      </c>
      <c r="F556" t="inlineStr">
        <is>
          <t>VÄSTRA GÖTALANDS LÄN</t>
        </is>
      </c>
      <c r="G556" t="inlineStr">
        <is>
          <t>BORÅS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50282-2023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45216</v>
      </c>
      <c r="E557" s="1" t="n">
        <v>46270</v>
      </c>
      <c r="F557" t="inlineStr">
        <is>
          <t>VÄSTRA GÖTALANDS LÄN</t>
        </is>
      </c>
      <c r="G557" t="inlineStr">
        <is>
          <t>BORÅS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49191-2021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44454</v>
      </c>
      <c r="E558" s="1" t="n">
        <v>46270</v>
      </c>
      <c r="F558" t="inlineStr">
        <is>
          <t>VÄSTRA GÖTALANDS LÄN</t>
        </is>
      </c>
      <c r="G558" t="inlineStr">
        <is>
          <t>BORÅS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46270</v>
      </c>
      <c r="F559" t="inlineStr">
        <is>
          <t>VÄSTRA GÖTALANDS LÄN</t>
        </is>
      </c>
      <c r="G559" t="inlineStr">
        <is>
          <t>BORÅS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63178-2023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45273</v>
      </c>
      <c r="E560" s="1" t="n">
        <v>46270</v>
      </c>
      <c r="F560" t="inlineStr">
        <is>
          <t>VÄSTRA GÖTALANDS LÄN</t>
        </is>
      </c>
      <c r="G560" t="inlineStr">
        <is>
          <t>BORÅS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46270</v>
      </c>
      <c r="F561" t="inlineStr">
        <is>
          <t>VÄSTRA GÖTALANDS LÄN</t>
        </is>
      </c>
      <c r="G561" t="inlineStr">
        <is>
          <t>BORÅS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46270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32241-2023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46270</v>
      </c>
      <c r="F563" t="inlineStr">
        <is>
          <t>VÄSTRA GÖTALANDS LÄN</t>
        </is>
      </c>
      <c r="G563" t="inlineStr">
        <is>
          <t>BORÅS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46270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45421</v>
      </c>
      <c r="E565" s="1" t="n">
        <v>46270</v>
      </c>
      <c r="F565" t="inlineStr">
        <is>
          <t>VÄSTRA GÖTALANDS LÄN</t>
        </is>
      </c>
      <c r="G565" t="inlineStr">
        <is>
          <t>BORÅS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46270</v>
      </c>
      <c r="F566" t="inlineStr">
        <is>
          <t>VÄSTRA GÖTALANDS LÄN</t>
        </is>
      </c>
      <c r="G566" t="inlineStr">
        <is>
          <t>BORÅS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46270</v>
      </c>
      <c r="F567" t="inlineStr">
        <is>
          <t>VÄSTRA GÖTALANDS LÄN</t>
        </is>
      </c>
      <c r="G567" t="inlineStr">
        <is>
          <t>BORÅS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46270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46270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45194</v>
      </c>
      <c r="E570" s="1" t="n">
        <v>46270</v>
      </c>
      <c r="F570" t="inlineStr">
        <is>
          <t>VÄSTRA GÖTALANDS LÄN</t>
        </is>
      </c>
      <c r="G570" t="inlineStr">
        <is>
          <t>BORÅS</t>
        </is>
      </c>
      <c r="I570" t="n">
        <v>11.7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46270</v>
      </c>
      <c r="F571" t="inlineStr">
        <is>
          <t>VÄSTRA GÖTALANDS LÄN</t>
        </is>
      </c>
      <c r="G571" t="inlineStr">
        <is>
          <t>BORÅS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46270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45302</v>
      </c>
      <c r="E573" s="1" t="n">
        <v>46270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46270</v>
      </c>
      <c r="F574" t="inlineStr">
        <is>
          <t>VÄSTRA GÖTALANDS LÄN</t>
        </is>
      </c>
      <c r="G574" t="inlineStr">
        <is>
          <t>BORÅS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33792-2026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46270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46270</v>
      </c>
      <c r="F576" t="inlineStr">
        <is>
          <t>VÄSTRA GÖTALANDS LÄN</t>
        </is>
      </c>
      <c r="G576" t="inlineStr">
        <is>
          <t>BORÅS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45216</v>
      </c>
      <c r="E577" s="1" t="n">
        <v>46270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45321</v>
      </c>
      <c r="E578" s="1" t="n">
        <v>46270</v>
      </c>
      <c r="F578" t="inlineStr">
        <is>
          <t>VÄSTRA GÖTALANDS LÄN</t>
        </is>
      </c>
      <c r="G578" t="inlineStr">
        <is>
          <t>BORÅS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44914</v>
      </c>
      <c r="E579" s="1" t="n">
        <v>46270</v>
      </c>
      <c r="F579" t="inlineStr">
        <is>
          <t>VÄSTRA GÖTALANDS LÄN</t>
        </is>
      </c>
      <c r="G579" t="inlineStr">
        <is>
          <t>BORÅS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46270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46270</v>
      </c>
      <c r="F581" t="inlineStr">
        <is>
          <t>VÄSTRA GÖTALANDS LÄN</t>
        </is>
      </c>
      <c r="G581" t="inlineStr">
        <is>
          <t>BORÅS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46270</v>
      </c>
      <c r="F582" t="inlineStr">
        <is>
          <t>VÄSTRA GÖTALANDS LÄN</t>
        </is>
      </c>
      <c r="G582" t="inlineStr">
        <is>
          <t>BORÅS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46252</v>
      </c>
      <c r="E583" s="1" t="n">
        <v>46270</v>
      </c>
      <c r="F583" t="inlineStr">
        <is>
          <t>VÄSTRA GÖTALANDS LÄN</t>
        </is>
      </c>
      <c r="G583" t="inlineStr">
        <is>
          <t>BORÅS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45741</v>
      </c>
      <c r="E584" s="1" t="n">
        <v>46270</v>
      </c>
      <c r="F584" t="inlineStr">
        <is>
          <t>VÄSTRA GÖTALANDS LÄN</t>
        </is>
      </c>
      <c r="G584" t="inlineStr">
        <is>
          <t>BORÅS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48508-2024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45593</v>
      </c>
      <c r="E585" s="1" t="n">
        <v>46270</v>
      </c>
      <c r="F585" t="inlineStr">
        <is>
          <t>VÄSTRA GÖTALANDS LÄN</t>
        </is>
      </c>
      <c r="G585" t="inlineStr">
        <is>
          <t>BORÅS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46253</v>
      </c>
      <c r="E586" s="1" t="n">
        <v>46270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47624-2021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44448</v>
      </c>
      <c r="E587" s="1" t="n">
        <v>46270</v>
      </c>
      <c r="F587" t="inlineStr">
        <is>
          <t>VÄSTRA GÖTALANDS LÄN</t>
        </is>
      </c>
      <c r="G587" t="inlineStr">
        <is>
          <t>BORÅS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46270</v>
      </c>
      <c r="F588" t="inlineStr">
        <is>
          <t>VÄSTRA GÖTALANDS LÄN</t>
        </is>
      </c>
      <c r="G588" t="inlineStr">
        <is>
          <t>BORÅS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46270</v>
      </c>
      <c r="F589" t="inlineStr">
        <is>
          <t>VÄSTRA GÖTALANDS LÄN</t>
        </is>
      </c>
      <c r="G589" t="inlineStr">
        <is>
          <t>BORÅS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46254</v>
      </c>
      <c r="E590" s="1" t="n">
        <v>46270</v>
      </c>
      <c r="F590" t="inlineStr">
        <is>
          <t>VÄSTRA GÖTALANDS LÄN</t>
        </is>
      </c>
      <c r="G590" t="inlineStr">
        <is>
          <t>BORÅS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46270</v>
      </c>
      <c r="F591" t="inlineStr">
        <is>
          <t>VÄSTRA GÖTALANDS LÄN</t>
        </is>
      </c>
      <c r="G591" t="inlineStr">
        <is>
          <t>BORÅS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45783</v>
      </c>
      <c r="E592" s="1" t="n">
        <v>46270</v>
      </c>
      <c r="F592" t="inlineStr">
        <is>
          <t>VÄSTRA GÖTALANDS LÄN</t>
        </is>
      </c>
      <c r="G592" t="inlineStr">
        <is>
          <t>BORÅS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46270</v>
      </c>
      <c r="F593" t="inlineStr">
        <is>
          <t>VÄSTRA GÖTALANDS LÄN</t>
        </is>
      </c>
      <c r="G593" t="inlineStr">
        <is>
          <t>BORÅS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46270</v>
      </c>
      <c r="F594" t="inlineStr">
        <is>
          <t>VÄSTRA GÖTALANDS LÄN</t>
        </is>
      </c>
      <c r="G594" t="inlineStr">
        <is>
          <t>BORÅS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46270</v>
      </c>
      <c r="F595" t="inlineStr">
        <is>
          <t>VÄSTRA GÖTALANDS LÄN</t>
        </is>
      </c>
      <c r="G595" t="inlineStr">
        <is>
          <t>BORÅS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47358-2024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45587</v>
      </c>
      <c r="E596" s="1" t="n">
        <v>46270</v>
      </c>
      <c r="F596" t="inlineStr">
        <is>
          <t>VÄSTRA GÖTALANDS LÄN</t>
        </is>
      </c>
      <c r="G596" t="inlineStr">
        <is>
          <t>BORÅS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49004-2023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45209</v>
      </c>
      <c r="E597" s="1" t="n">
        <v>46270</v>
      </c>
      <c r="F597" t="inlineStr">
        <is>
          <t>VÄSTRA GÖTALANDS LÄN</t>
        </is>
      </c>
      <c r="G597" t="inlineStr">
        <is>
          <t>BORÅS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45721</v>
      </c>
      <c r="E598" s="1" t="n">
        <v>46270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46270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46270</v>
      </c>
      <c r="F600" t="inlineStr">
        <is>
          <t>VÄSTRA GÖTALANDS LÄN</t>
        </is>
      </c>
      <c r="G600" t="inlineStr">
        <is>
          <t>BORÅS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46270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46270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45789</v>
      </c>
      <c r="E603" s="1" t="n">
        <v>46270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45789</v>
      </c>
      <c r="E604" s="1" t="n">
        <v>46270</v>
      </c>
      <c r="F604" t="inlineStr">
        <is>
          <t>VÄSTRA GÖTALANDS LÄN</t>
        </is>
      </c>
      <c r="G604" t="inlineStr">
        <is>
          <t>BORÅS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46270</v>
      </c>
      <c r="F605" t="inlineStr">
        <is>
          <t>VÄSTRA GÖTALANDS LÄN</t>
        </is>
      </c>
      <c r="G605" t="inlineStr">
        <is>
          <t>BORÅS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46270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45142</v>
      </c>
      <c r="E607" s="1" t="n">
        <v>46270</v>
      </c>
      <c r="F607" t="inlineStr">
        <is>
          <t>VÄSTRA GÖTALANDS LÄN</t>
        </is>
      </c>
      <c r="G607" t="inlineStr">
        <is>
          <t>BORÅS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46270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11445-2025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46270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46270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46270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46270</v>
      </c>
      <c r="F612" t="inlineStr">
        <is>
          <t>VÄSTRA GÖTALANDS LÄN</t>
        </is>
      </c>
      <c r="G612" t="inlineStr">
        <is>
          <t>BORÅS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46260</v>
      </c>
      <c r="E613" s="1" t="n">
        <v>46270</v>
      </c>
      <c r="F613" t="inlineStr">
        <is>
          <t>VÄSTRA GÖTALANDS LÄN</t>
        </is>
      </c>
      <c r="G613" t="inlineStr">
        <is>
          <t>BORÅS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35139-2026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46260</v>
      </c>
      <c r="E614" s="1" t="n">
        <v>46270</v>
      </c>
      <c r="F614" t="inlineStr">
        <is>
          <t>VÄSTRA GÖTALANDS LÄN</t>
        </is>
      </c>
      <c r="G614" t="inlineStr">
        <is>
          <t>BORÅS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46270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46267</v>
      </c>
      <c r="E616" s="1" t="n">
        <v>46270</v>
      </c>
      <c r="F616" t="inlineStr">
        <is>
          <t>VÄSTRA GÖTALANDS LÄN</t>
        </is>
      </c>
      <c r="G616" t="inlineStr">
        <is>
          <t>BORÅS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36115-2026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46267</v>
      </c>
      <c r="E617" s="1" t="n">
        <v>46270</v>
      </c>
      <c r="F617" t="inlineStr">
        <is>
          <t>VÄSTRA GÖTALANDS LÄN</t>
        </is>
      </c>
      <c r="G617" t="inlineStr">
        <is>
          <t>BORÅS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46224</v>
      </c>
      <c r="E618" s="1" t="n">
        <v>46270</v>
      </c>
      <c r="F618" t="inlineStr">
        <is>
          <t>VÄSTRA GÖTALANDS LÄN</t>
        </is>
      </c>
      <c r="G618" t="inlineStr">
        <is>
          <t>BORÅS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46268</v>
      </c>
      <c r="E619" s="1" t="n">
        <v>46270</v>
      </c>
      <c r="F619" t="inlineStr">
        <is>
          <t>VÄSTRA GÖTALANDS LÄN</t>
        </is>
      </c>
      <c r="G619" t="inlineStr">
        <is>
          <t>BORÅS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45294</v>
      </c>
      <c r="E620" s="1" t="n">
        <v>46270</v>
      </c>
      <c r="F620" t="inlineStr">
        <is>
          <t>VÄSTRA GÖTALANDS LÄN</t>
        </is>
      </c>
      <c r="G620" t="inlineStr">
        <is>
          <t>BORÅS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45308</v>
      </c>
      <c r="E621" s="1" t="n">
        <v>46270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36283-2026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46268</v>
      </c>
      <c r="E622" s="1" t="n">
        <v>46270</v>
      </c>
      <c r="F622" t="inlineStr">
        <is>
          <t>VÄSTRA GÖTALANDS LÄN</t>
        </is>
      </c>
      <c r="G622" t="inlineStr">
        <is>
          <t>BORÅS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36399-2026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46268</v>
      </c>
      <c r="E623" s="1" t="n">
        <v>46270</v>
      </c>
      <c r="F623" t="inlineStr">
        <is>
          <t>VÄSTRA GÖTALANDS LÄN</t>
        </is>
      </c>
      <c r="G623" t="inlineStr">
        <is>
          <t>BORÅS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45294</v>
      </c>
      <c r="E624" s="1" t="n">
        <v>46270</v>
      </c>
      <c r="F624" t="inlineStr">
        <is>
          <t>VÄSTRA GÖTALANDS LÄN</t>
        </is>
      </c>
      <c r="G624" t="inlineStr">
        <is>
          <t>BORÅS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45294</v>
      </c>
      <c r="E625" s="1" t="n">
        <v>46270</v>
      </c>
      <c r="F625" t="inlineStr">
        <is>
          <t>VÄSTRA GÖTALANDS LÄN</t>
        </is>
      </c>
      <c r="G625" t="inlineStr">
        <is>
          <t>BORÅS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45294</v>
      </c>
      <c r="E626" s="1" t="n">
        <v>46270</v>
      </c>
      <c r="F626" t="inlineStr">
        <is>
          <t>VÄSTRA GÖTALANDS LÄN</t>
        </is>
      </c>
      <c r="G626" t="inlineStr">
        <is>
          <t>BORÅS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7249-2021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44467</v>
      </c>
      <c r="E627" s="1" t="n">
        <v>46270</v>
      </c>
      <c r="F627" t="inlineStr">
        <is>
          <t>VÄSTRA GÖTALANDS LÄN</t>
        </is>
      </c>
      <c r="G627" t="inlineStr">
        <is>
          <t>BORÅS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2978-2023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45174</v>
      </c>
      <c r="E628" s="1" t="n">
        <v>46270</v>
      </c>
      <c r="F628" t="inlineStr">
        <is>
          <t>VÄSTRA GÖTALANDS LÄN</t>
        </is>
      </c>
      <c r="G628" t="inlineStr">
        <is>
          <t>BORÅS</t>
        </is>
      </c>
      <c r="I628" t="n">
        <v>65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4414-2022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44785</v>
      </c>
      <c r="E629" s="1" t="n">
        <v>46270</v>
      </c>
      <c r="F629" t="inlineStr">
        <is>
          <t>VÄSTRA GÖTALANDS LÄN</t>
        </is>
      </c>
      <c r="G629" t="inlineStr">
        <is>
          <t>BORÅS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1019-2023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45008</v>
      </c>
      <c r="E630" s="1" t="n">
        <v>46270</v>
      </c>
      <c r="F630" t="inlineStr">
        <is>
          <t>VÄSTRA GÖTALANDS LÄN</t>
        </is>
      </c>
      <c r="G630" t="inlineStr">
        <is>
          <t>BORÅS</t>
        </is>
      </c>
      <c r="I630" t="n">
        <v>18.4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1252-2022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44624</v>
      </c>
      <c r="E631" s="1" t="n">
        <v>46270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7239-2021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44466</v>
      </c>
      <c r="E632" s="1" t="n">
        <v>46270</v>
      </c>
      <c r="F632" t="inlineStr">
        <is>
          <t>VÄSTRA GÖTALANDS LÄN</t>
        </is>
      </c>
      <c r="G632" t="inlineStr">
        <is>
          <t>BORÅS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6936-2022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46270</v>
      </c>
      <c r="F633" t="inlineStr">
        <is>
          <t>VÄSTRA GÖTALANDS LÄN</t>
        </is>
      </c>
      <c r="G633" t="inlineStr">
        <is>
          <t>BORÅS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6156-2022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44865</v>
      </c>
      <c r="E634" s="1" t="n">
        <v>46270</v>
      </c>
      <c r="F634" t="inlineStr">
        <is>
          <t>VÄSTRA GÖTALANDS LÄN</t>
        </is>
      </c>
      <c r="G634" t="inlineStr">
        <is>
          <t>BORÅS</t>
        </is>
      </c>
      <c r="I634" t="n">
        <v>15.6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4259-2023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45257</v>
      </c>
      <c r="E635" s="1" t="n">
        <v>46270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2970-2023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46270</v>
      </c>
      <c r="F636" t="inlineStr">
        <is>
          <t>VÄSTRA GÖTALANDS LÄN</t>
        </is>
      </c>
      <c r="G636" t="inlineStr">
        <is>
          <t>BORÅS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1559-2022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44642</v>
      </c>
      <c r="E637" s="1" t="n">
        <v>46270</v>
      </c>
      <c r="F637" t="inlineStr">
        <is>
          <t>VÄSTRA GÖTALANDS LÄN</t>
        </is>
      </c>
      <c r="G637" t="inlineStr">
        <is>
          <t>BORÅS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6934-2022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44900</v>
      </c>
      <c r="E638" s="1" t="n">
        <v>46270</v>
      </c>
      <c r="F638" t="inlineStr">
        <is>
          <t>VÄSTRA GÖTALANDS LÄN</t>
        </is>
      </c>
      <c r="G638" t="inlineStr">
        <is>
          <t>BORÅS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3027-2024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45513</v>
      </c>
      <c r="E639" s="1" t="n">
        <v>46270</v>
      </c>
      <c r="F639" t="inlineStr">
        <is>
          <t>VÄSTRA GÖTALANDS LÄN</t>
        </is>
      </c>
      <c r="G639" t="inlineStr">
        <is>
          <t>BORÅS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2814-2022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44706</v>
      </c>
      <c r="E640" s="1" t="n">
        <v>46270</v>
      </c>
      <c r="F640" t="inlineStr">
        <is>
          <t>VÄSTRA GÖTALANDS LÄN</t>
        </is>
      </c>
      <c r="G640" t="inlineStr">
        <is>
          <t>BORÅS</t>
        </is>
      </c>
      <c r="H640" t="inlineStr">
        <is>
          <t>Kyrkan</t>
        </is>
      </c>
      <c r="I640" t="n">
        <v>39.7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2972-2023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45173</v>
      </c>
      <c r="E641" s="1" t="n">
        <v>46270</v>
      </c>
      <c r="F641" t="inlineStr">
        <is>
          <t>VÄSTRA GÖTALANDS LÄN</t>
        </is>
      </c>
      <c r="G641" t="inlineStr">
        <is>
          <t>BORÅS</t>
        </is>
      </c>
      <c r="I641" t="n">
        <v>30.4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6937-2022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44900</v>
      </c>
      <c r="E642" s="1" t="n">
        <v>46270</v>
      </c>
      <c r="F642" t="inlineStr">
        <is>
          <t>VÄSTRA GÖTALANDS LÄN</t>
        </is>
      </c>
      <c r="G642" t="inlineStr">
        <is>
          <t>BORÅS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3398-2024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45534</v>
      </c>
      <c r="E643" s="1" t="n">
        <v>46270</v>
      </c>
      <c r="F643" t="inlineStr">
        <is>
          <t>VÄSTRA GÖTALANDS LÄN</t>
        </is>
      </c>
      <c r="G643" t="inlineStr">
        <is>
          <t>BORÅS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7266-2021</t>
        </is>
      </c>
      <c r="B644" t="inlineStr">
        <is>
          <t>samrådsanmälan</t>
        </is>
      </c>
      <c r="C644" t="inlineStr">
        <is>
          <t>Skogsbilväg</t>
        </is>
      </c>
      <c r="D644" s="1" t="n">
        <v>44468</v>
      </c>
      <c r="E644" s="1" t="n">
        <v>46270</v>
      </c>
      <c r="F644" t="inlineStr">
        <is>
          <t>VÄSTRA GÖTALANDS LÄN</t>
        </is>
      </c>
      <c r="G644" t="inlineStr">
        <is>
          <t>BORÅS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1800-2025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45814</v>
      </c>
      <c r="E645" s="1" t="n">
        <v>46270</v>
      </c>
      <c r="F645" t="inlineStr">
        <is>
          <t>VÄSTRA GÖTALANDS LÄN</t>
        </is>
      </c>
      <c r="G645" t="inlineStr">
        <is>
          <t>BORÅS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1640-2024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45429</v>
      </c>
      <c r="E646" s="1" t="n">
        <v>46270</v>
      </c>
      <c r="F646" t="inlineStr">
        <is>
          <t>VÄSTRA GÖTALANDS LÄN</t>
        </is>
      </c>
      <c r="G646" t="inlineStr">
        <is>
          <t>BORÅS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1979-2025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45831</v>
      </c>
      <c r="E647" s="1" t="n">
        <v>46270</v>
      </c>
      <c r="F647" t="inlineStr">
        <is>
          <t>VÄSTRA GÖTALANDS LÄN</t>
        </is>
      </c>
      <c r="G647" t="inlineStr">
        <is>
          <t>BORÅS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2374-2025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45890</v>
      </c>
      <c r="E648" s="1" t="n">
        <v>46270</v>
      </c>
      <c r="F648" t="inlineStr">
        <is>
          <t>VÄSTRA GÖTALANDS LÄN</t>
        </is>
      </c>
      <c r="G648" t="inlineStr">
        <is>
          <t>BORÅS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3201-2025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45979</v>
      </c>
      <c r="E649" s="1" t="n">
        <v>46270</v>
      </c>
      <c r="F649" t="inlineStr">
        <is>
          <t>VÄSTRA GÖTALANDS LÄN</t>
        </is>
      </c>
      <c r="G649" t="inlineStr">
        <is>
          <t>BORÅS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944-2025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45740</v>
      </c>
      <c r="E650" s="1" t="n">
        <v>46270</v>
      </c>
      <c r="F650" t="inlineStr">
        <is>
          <t>VÄSTRA GÖTALANDS LÄN</t>
        </is>
      </c>
      <c r="G650" t="inlineStr">
        <is>
          <t>BORÅS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943-2025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45740</v>
      </c>
      <c r="E651" s="1" t="n">
        <v>46270</v>
      </c>
      <c r="F651" t="inlineStr">
        <is>
          <t>VÄSTRA GÖTALANDS LÄN</t>
        </is>
      </c>
      <c r="G651" t="inlineStr">
        <is>
          <t>BORÅS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2453-2023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45127</v>
      </c>
      <c r="E652" s="1" t="n">
        <v>46270</v>
      </c>
      <c r="F652" t="inlineStr">
        <is>
          <t>VÄSTRA GÖTALANDS LÄN</t>
        </is>
      </c>
      <c r="G652" t="inlineStr">
        <is>
          <t>BORÅS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471-2026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46073</v>
      </c>
      <c r="E653" s="1" t="n">
        <v>46270</v>
      </c>
      <c r="F653" t="inlineStr">
        <is>
          <t>VÄSTRA GÖTALANDS LÄN</t>
        </is>
      </c>
      <c r="G653" t="inlineStr">
        <is>
          <t>BORÅS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560-2026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46083</v>
      </c>
      <c r="E654" s="1" t="n">
        <v>46270</v>
      </c>
      <c r="F654" t="inlineStr">
        <is>
          <t>VÄSTRA GÖTALANDS LÄN</t>
        </is>
      </c>
      <c r="G654" t="inlineStr">
        <is>
          <t>BORÅS</t>
        </is>
      </c>
      <c r="I654" t="n">
        <v>17.6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2026-09-05T02:04:38Z</dcterms:created>
  <dcterms:modified xmlns:dcterms="http://purl.org/dc/terms/" xmlns:xsi="http://www.w3.org/2001/XMLSchema-instance" xsi:type="dcterms:W3CDTF">2026-09-05T02:04:39Z</dcterms:modified>
</cp:coreProperties>
</file>