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45645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45645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45645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45645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45645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45645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45645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45645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45645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45645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47911-2023</t>
        </is>
      </c>
      <c r="B12" s="1" t="n">
        <v>45204</v>
      </c>
      <c r="C12" s="1" t="n">
        <v>45645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Gulnål
Vågbandad barkbock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45645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3706-2024</t>
        </is>
      </c>
      <c r="B14" s="1" t="n">
        <v>45321</v>
      </c>
      <c r="C14" s="1" t="n">
        <v>45645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8.699999999999999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HYPERLINK("https://klasma.github.io/Logging_1490/artfynd/A 3706-2024 artfynd.xlsx", "A 3706-2024")</f>
        <v/>
      </c>
      <c r="T14">
        <f>HYPERLINK("https://klasma.github.io/Logging_1490/kartor/A 3706-2024 karta.png", "A 3706-2024")</f>
        <v/>
      </c>
      <c r="V14">
        <f>HYPERLINK("https://klasma.github.io/Logging_1490/klagomål/A 3706-2024 FSC-klagomål.docx", "A 3706-2024")</f>
        <v/>
      </c>
      <c r="W14">
        <f>HYPERLINK("https://klasma.github.io/Logging_1490/klagomålsmail/A 3706-2024 FSC-klagomål mail.docx", "A 3706-2024")</f>
        <v/>
      </c>
      <c r="X14">
        <f>HYPERLINK("https://klasma.github.io/Logging_1490/tillsyn/A 3706-2024 tillsynsbegäran.docx", "A 3706-2024")</f>
        <v/>
      </c>
      <c r="Y14">
        <f>HYPERLINK("https://klasma.github.io/Logging_1490/tillsynsmail/A 3706-2024 tillsynsbegäran mail.docx", "A 3706-2024")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45645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28682-2024</t>
        </is>
      </c>
      <c r="B16" s="1" t="n">
        <v>45478</v>
      </c>
      <c r="C16" s="1" t="n">
        <v>45645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51423-2024</t>
        </is>
      </c>
      <c r="B17" s="1" t="n">
        <v>45604</v>
      </c>
      <c r="C17" s="1" t="n">
        <v>45645</v>
      </c>
      <c r="D17" t="inlineStr">
        <is>
          <t>VÄSTRA GÖTALANDS LÄN</t>
        </is>
      </c>
      <c r="E17" t="inlineStr">
        <is>
          <t>BORÅS</t>
        </is>
      </c>
      <c r="G17" t="n">
        <v>3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Nattviol</t>
        </is>
      </c>
      <c r="S17">
        <f>HYPERLINK("https://klasma.github.io/Logging_1490/artfynd/A 51423-2024 artfynd.xlsx", "A 51423-2024")</f>
        <v/>
      </c>
      <c r="T17">
        <f>HYPERLINK("https://klasma.github.io/Logging_1490/kartor/A 51423-2024 karta.png", "A 51423-2024")</f>
        <v/>
      </c>
      <c r="U17">
        <f>HYPERLINK("https://klasma.github.io/Logging_1490/knärot/A 51423-2024 karta knärot.png", "A 51423-2024")</f>
        <v/>
      </c>
      <c r="V17">
        <f>HYPERLINK("https://klasma.github.io/Logging_1490/klagomål/A 51423-2024 FSC-klagomål.docx", "A 51423-2024")</f>
        <v/>
      </c>
      <c r="W17">
        <f>HYPERLINK("https://klasma.github.io/Logging_1490/klagomålsmail/A 51423-2024 FSC-klagomål mail.docx", "A 51423-2024")</f>
        <v/>
      </c>
      <c r="X17">
        <f>HYPERLINK("https://klasma.github.io/Logging_1490/tillsyn/A 51423-2024 tillsynsbegäran.docx", "A 51423-2024")</f>
        <v/>
      </c>
      <c r="Y17">
        <f>HYPERLINK("https://klasma.github.io/Logging_1490/tillsynsmail/A 51423-2024 tillsynsbegäran mail.docx", "A 51423-2024")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45645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45645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45645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45645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45645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45645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45645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45645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45645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45645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45645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45645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45645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45645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45645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45645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45645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45645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45645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45645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45645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45645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45645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45645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45645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45645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45645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45645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45645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45645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45645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45645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45645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45645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45645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45645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45645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45645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45645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45645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45645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45645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45645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45645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45645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45645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45645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45645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45645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45645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45645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45645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45645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45645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45645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45645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45645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45645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45645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45645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45645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45645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45645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45645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45645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45645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45645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45645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45645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45645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45645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45645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45645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45645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45645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45645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45645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45645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45645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45645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45645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45645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45645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45645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45645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45645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45645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45645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45645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45645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45645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45645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45645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45645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45645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45645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45645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45645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45645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45645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45645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45645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45645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45645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45645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45645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45645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45645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45645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45645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45645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45645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45645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45645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45645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45645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45645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45645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45645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45645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45645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45645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45645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45645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45645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45645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45645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45645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45645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45645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45645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45645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45645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45645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45645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45645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45645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45645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45645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45645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45645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45645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45645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45645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45645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45645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45645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45645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45645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45645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45645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45645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45645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45645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45645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45645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45645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45645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45645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45645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45645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45645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45645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45645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45645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45645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45645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45645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45645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45645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45645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45645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45645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45645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45645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45645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45645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45645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45645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45645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45645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45645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45645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45645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45645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45645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45645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45645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45645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45645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45645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45645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45645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45645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45645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45645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45645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45645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45645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45645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45645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45645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45645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45645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45645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45645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45645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45645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45645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45645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45645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45645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45645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45645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45645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45645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45645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45645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45645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45645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45645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45645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45645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45645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45645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45645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45645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45645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45645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45645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45645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45645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45645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45645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45645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45645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45645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45645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45645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45645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45645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45645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45645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45645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45645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45645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45645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45645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45645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45645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45645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45645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45645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45645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45645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45645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45645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45645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45645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45645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45645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45645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45645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45645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45645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45645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45645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45645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45645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45645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45645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45645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45645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45645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45645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45645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45645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45645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45645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45645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45645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45645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45645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45645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45645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45645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45645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45645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45645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45645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45645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45645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45645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45645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45645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45645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45645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45645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45645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45645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45645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45645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45645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45645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45645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45645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45645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45645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45645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45645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45645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45645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45645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45645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45645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45645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45645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45645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45645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45645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45645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45645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45645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45645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45645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45645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45645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45645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45645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45645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45645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45645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45645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45645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45645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45645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45645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45645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45645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45645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45645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45645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45645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45645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45645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45645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45645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45645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45645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45645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45645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45645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45645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45645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45645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45645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45645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45645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45645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45645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45645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45645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45645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45645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45645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45645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45645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45645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45645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45645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45645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45645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45645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45645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45645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45645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45645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45645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45645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45645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45645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45645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45645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45645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45645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45645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45645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45645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45645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45645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45645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45645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45645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45645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45645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45645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45645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45645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45645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45645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45645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45645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45645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45645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45645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45645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45645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45645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45645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45645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45645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45645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45645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45645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45645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45645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45645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45645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45645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45645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45645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45645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45645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45645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45645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45645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45645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45645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45645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45645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45645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45645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45645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45645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45645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45645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45645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45645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45645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45645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45645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45645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45645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45645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45645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45645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45645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45645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45645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45645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45645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45645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45645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45645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45645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45645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45645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45645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45645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45645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45645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45645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45645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45645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45645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45645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45645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45645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45645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45645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45645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45645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45645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45645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45645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45645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45645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45645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45645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45645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45645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45645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45645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45645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45645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45645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45645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45645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45645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45645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45645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45645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45645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45645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45645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45645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45645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45645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45645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45645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45645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45645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45645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45645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45645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45645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45645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45645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45645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45645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45645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45645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45645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45645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45645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45645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45645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45645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45645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45645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45645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45645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45645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45645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45645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45645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45645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45645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45645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45645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45645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45645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45645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45645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45645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45645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45645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45645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45645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45645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45645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45645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45645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45645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45645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45645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45645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45645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45645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45645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45645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45645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45645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45645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45645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45645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45645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45645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45645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45645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45645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45645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45645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45645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45645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45645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45645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45645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45645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45645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45645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45645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45645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45645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45645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45645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45645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45645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45645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45645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45645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45645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45645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45645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45645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45645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45645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45645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45645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45645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45645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45645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45645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45645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45645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45645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45645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45645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45645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45645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45645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45645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45645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45645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45645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45645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45645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45645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45645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45645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45645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45645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45645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45645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45645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45645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45645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45645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45645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45645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45645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45645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45645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45645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45645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45645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45645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45645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45645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45645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45645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45645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45645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45645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45645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45645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45645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45645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45645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45645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45645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45645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45645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45645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45645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45645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45645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45645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45645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45645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45645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45645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45645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45645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45645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45645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45645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45645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45645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45645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45645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45645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45645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45645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45645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45645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45645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45645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45645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45645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45645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45645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45645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45645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45645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45645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45645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45645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45645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45645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45645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45645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45645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45645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45645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45645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45645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45645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45645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45645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45645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45645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45645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45645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45645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45645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45645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45645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45645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45645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45645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45645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45645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45645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45645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45645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45645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45645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45645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45645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45645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45645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45645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45645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45645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45645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45645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45645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45645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45645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45645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45645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45645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45645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45645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45645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45645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45645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45645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45645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45645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45645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45645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45645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45645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45645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45645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45645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45645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45645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45645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45645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45645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45645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45645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45645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45645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45645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45645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45645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45645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45645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45645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45645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45645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45645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45645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45645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45645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45645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45645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45645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45645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45645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45645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45645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45645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45645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45645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45645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45645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45645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45645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45645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45645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45645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45645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45645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45645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45645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45645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45645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45645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45645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45645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45645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45645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45645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45645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45645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45645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45645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45645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45645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45645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45645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45645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45645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45645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45645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45645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45645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45645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45645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45645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45645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45645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45645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45645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45645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45645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45645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45645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45645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45645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45645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45645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45645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45645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45645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45645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45645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45645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45645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45645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45645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45645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45645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45645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45645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45645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45645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45645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45645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45645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45645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45645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45645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45645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45645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45645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45645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45645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45645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45645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45645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45645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45645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45645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45645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45645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45645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45645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45645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45645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45645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45645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45645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45645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45645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45645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45645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45645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45645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45645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45645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45645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45645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45645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45645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45645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45645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45645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45645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45645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45645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45645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45645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45645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45645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45645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45645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45645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45645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45645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45645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45645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45645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45645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45645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45645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45645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45645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45645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45645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45645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45645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54800-2024</t>
        </is>
      </c>
      <c r="B915" s="1" t="n">
        <v>45618</v>
      </c>
      <c r="C915" s="1" t="n">
        <v>45645</v>
      </c>
      <c r="D915" t="inlineStr">
        <is>
          <t>VÄSTRA GÖTALANDS LÄN</t>
        </is>
      </c>
      <c r="E915" t="inlineStr">
        <is>
          <t>BORÅS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54803-2024</t>
        </is>
      </c>
      <c r="B916" s="1" t="n">
        <v>45618</v>
      </c>
      <c r="C916" s="1" t="n">
        <v>45645</v>
      </c>
      <c r="D916" t="inlineStr">
        <is>
          <t>VÄSTRA GÖTALANDS LÄN</t>
        </is>
      </c>
      <c r="E916" t="inlineStr">
        <is>
          <t>BORÅS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45645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55535-2024</t>
        </is>
      </c>
      <c r="B918" s="1" t="n">
        <v>45622</v>
      </c>
      <c r="C918" s="1" t="n">
        <v>45645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55378-2024</t>
        </is>
      </c>
      <c r="B919" s="1" t="n">
        <v>45622</v>
      </c>
      <c r="C919" s="1" t="n">
        <v>45645</v>
      </c>
      <c r="D919" t="inlineStr">
        <is>
          <t>VÄSTRA GÖTALANDS LÄN</t>
        </is>
      </c>
      <c r="E919" t="inlineStr">
        <is>
          <t>BORÅS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55530-2024</t>
        </is>
      </c>
      <c r="B920" s="1" t="n">
        <v>45622</v>
      </c>
      <c r="C920" s="1" t="n">
        <v>45645</v>
      </c>
      <c r="D920" t="inlineStr">
        <is>
          <t>VÄSTRA GÖTALANDS LÄN</t>
        </is>
      </c>
      <c r="E920" t="inlineStr">
        <is>
          <t>BORÅS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45645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45645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45645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45645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45645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45645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45645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45645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45645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45645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57421-2024</t>
        </is>
      </c>
      <c r="B931" s="1" t="n">
        <v>45629</v>
      </c>
      <c r="C931" s="1" t="n">
        <v>45645</v>
      </c>
      <c r="D931" t="inlineStr">
        <is>
          <t>VÄSTRA GÖTALANDS LÄN</t>
        </is>
      </c>
      <c r="E931" t="inlineStr">
        <is>
          <t>BORÅS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57429-2024</t>
        </is>
      </c>
      <c r="B932" s="1" t="n">
        <v>45629</v>
      </c>
      <c r="C932" s="1" t="n">
        <v>45645</v>
      </c>
      <c r="D932" t="inlineStr">
        <is>
          <t>VÄSTRA GÖTALANDS LÄN</t>
        </is>
      </c>
      <c r="E932" t="inlineStr">
        <is>
          <t>BORÅS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45645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45645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57719-2024</t>
        </is>
      </c>
      <c r="B935" s="1" t="n">
        <v>45630</v>
      </c>
      <c r="C935" s="1" t="n">
        <v>45645</v>
      </c>
      <c r="D935" t="inlineStr">
        <is>
          <t>VÄSTRA GÖTALANDS LÄN</t>
        </is>
      </c>
      <c r="E935" t="inlineStr">
        <is>
          <t>BORÅS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45645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45645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45645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45645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45645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45645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59334-2024</t>
        </is>
      </c>
      <c r="B942" s="1" t="n">
        <v>45637</v>
      </c>
      <c r="C942" s="1" t="n">
        <v>45645</v>
      </c>
      <c r="D942" t="inlineStr">
        <is>
          <t>VÄSTRA GÖTALANDS LÄN</t>
        </is>
      </c>
      <c r="E942" t="inlineStr">
        <is>
          <t>BORÅS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59217-2024</t>
        </is>
      </c>
      <c r="B943" s="1" t="n">
        <v>45637</v>
      </c>
      <c r="C943" s="1" t="n">
        <v>45645</v>
      </c>
      <c r="D943" t="inlineStr">
        <is>
          <t>VÄSTRA GÖTALANDS LÄN</t>
        </is>
      </c>
      <c r="E943" t="inlineStr">
        <is>
          <t>BORÅS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59254-2024</t>
        </is>
      </c>
      <c r="B944" s="1" t="n">
        <v>45637</v>
      </c>
      <c r="C944" s="1" t="n">
        <v>45645</v>
      </c>
      <c r="D944" t="inlineStr">
        <is>
          <t>VÄSTRA GÖTALANDS LÄN</t>
        </is>
      </c>
      <c r="E944" t="inlineStr">
        <is>
          <t>BORÅS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59212-2024</t>
        </is>
      </c>
      <c r="B945" s="1" t="n">
        <v>45637</v>
      </c>
      <c r="C945" s="1" t="n">
        <v>45645</v>
      </c>
      <c r="D945" t="inlineStr">
        <is>
          <t>VÄSTRA GÖTALANDS LÄN</t>
        </is>
      </c>
      <c r="E945" t="inlineStr">
        <is>
          <t>BORÅS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45645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45645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45645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60803-2024</t>
        </is>
      </c>
      <c r="B949" s="1" t="n">
        <v>45644</v>
      </c>
      <c r="C949" s="1" t="n">
        <v>45645</v>
      </c>
      <c r="D949" t="inlineStr">
        <is>
          <t>VÄSTRA GÖTALANDS LÄN</t>
        </is>
      </c>
      <c r="E949" t="inlineStr">
        <is>
          <t>BORÅS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60862-2024</t>
        </is>
      </c>
      <c r="B950" s="1" t="n">
        <v>45644</v>
      </c>
      <c r="C950" s="1" t="n">
        <v>45645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2024-12-19T14:45:21Z</dcterms:created>
  <dcterms:modified xmlns:dcterms="http://purl.org/dc/terms/" xmlns:xsi="http://www.w3.org/2001/XMLSchema-instance" xsi:type="dcterms:W3CDTF">2024-12-19T14:45:22Z</dcterms:modified>
</cp:coreProperties>
</file>