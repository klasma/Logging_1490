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45813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45813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45813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45813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45813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45813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45813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45813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45813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45813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45813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45813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45813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45813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45813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45813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45813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45813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45813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45813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45813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45813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45813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45813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45813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45813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45813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45813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45813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45813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45813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45813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45813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45813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45813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45813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45813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45813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45813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45813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45813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45813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45813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45813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45813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45813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45813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23755-2025</t>
        </is>
      </c>
      <c r="B49" s="1" t="n">
        <v>45793</v>
      </c>
      <c r="C49" s="1" t="n">
        <v>45813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HYPERLINK("https://klasma.github.io/Logging_141490/artfynd/A 23755-2025 artfynd.xlsx", "A 23755-2025")</f>
        <v/>
      </c>
      <c r="T49">
        <f>HYPERLINK("https://klasma.github.io/Logging_141490/kartor/A 23755-2025 karta.png", "A 23755-2025")</f>
        <v/>
      </c>
      <c r="V49">
        <f>HYPERLINK("https://klasma.github.io/Logging_141490/klagomål/A 23755-2025 FSC-klagomål.docx", "A 23755-2025")</f>
        <v/>
      </c>
      <c r="W49">
        <f>HYPERLINK("https://klasma.github.io/Logging_141490/klagomålsmail/A 23755-2025 FSC-klagomål mail.docx", "A 23755-2025")</f>
        <v/>
      </c>
      <c r="X49">
        <f>HYPERLINK("https://klasma.github.io/Logging_141490/tillsyn/A 23755-2025 tillsynsbegäran.docx", "A 23755-2025")</f>
        <v/>
      </c>
      <c r="Y49">
        <f>HYPERLINK("https://klasma.github.io/Logging_141490/tillsynsmail/A 23755-2025 tillsynsbegäran mail.docx", "A 23755-2025")</f>
        <v/>
      </c>
    </row>
    <row r="50" ht="15" customHeight="1">
      <c r="A50" t="inlineStr">
        <is>
          <t>A 23756-2025</t>
        </is>
      </c>
      <c r="B50" s="1" t="n">
        <v>45793</v>
      </c>
      <c r="C50" s="1" t="n">
        <v>45813</v>
      </c>
      <c r="D50" t="inlineStr">
        <is>
          <t>VÄSTRA GÖTALANDS LÄN</t>
        </is>
      </c>
      <c r="E50" t="inlineStr">
        <is>
          <t>BORÅS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HYPERLINK("https://klasma.github.io/Logging_141490/artfynd/A 23756-2025 artfynd.xlsx", "A 23756-2025")</f>
        <v/>
      </c>
      <c r="T50">
        <f>HYPERLINK("https://klasma.github.io/Logging_141490/kartor/A 23756-2025 karta.png", "A 23756-2025")</f>
        <v/>
      </c>
      <c r="V50">
        <f>HYPERLINK("https://klasma.github.io/Logging_141490/klagomål/A 23756-2025 FSC-klagomål.docx", "A 23756-2025")</f>
        <v/>
      </c>
      <c r="W50">
        <f>HYPERLINK("https://klasma.github.io/Logging_141490/klagomålsmail/A 23756-2025 FSC-klagomål mail.docx", "A 23756-2025")</f>
        <v/>
      </c>
      <c r="X50">
        <f>HYPERLINK("https://klasma.github.io/Logging_141490/tillsyn/A 23756-2025 tillsynsbegäran.docx", "A 23756-2025")</f>
        <v/>
      </c>
      <c r="Y50">
        <f>HYPERLINK("https://klasma.github.io/Logging_141490/tillsynsmail/A 23756-2025 tillsynsbegäran mail.docx", "A 23756-2025")</f>
        <v/>
      </c>
      <c r="Z50">
        <f>HYPERLINK("https://klasma.github.io/Logging_141490/fåglar/A 23756-2025 prioriterade fågelarter.docx", "A 23756-2025")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45813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45813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45813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45813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45813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45813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45813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45813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45813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45813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45813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45813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45813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45813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45813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45813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45813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45813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45813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45813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45813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45813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45813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45813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45813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45813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45813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45813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45813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45813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45813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45813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45813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45813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45813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45813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45813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45813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45813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45813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45813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45813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45813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45813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45813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45813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45813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45813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45813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45813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45813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45813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45813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45813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45813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45813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45813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45813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45813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45813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45813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45813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45813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45813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45813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45813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45813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45813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45813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45813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45813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45813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45813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45813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45813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45813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45813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45813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45813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45813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45813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45813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45813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45813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45813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45813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45813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45813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45813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45813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45813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45813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45813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45813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45813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45813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45813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45813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45813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45813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45813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45813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45813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45813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45813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45813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45813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45813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45813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45813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45813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45813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45813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45813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45813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45813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45813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45813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45813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45813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45813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45813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45813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45813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45813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45813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45813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45813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45813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45813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45813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45813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45813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45813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45813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45813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45813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45813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45813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45813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45813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45813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45813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45813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45813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45813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45813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45813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45813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45813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45813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45813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45813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45813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45813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45813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45813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45813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45813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45813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45813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45813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45813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45813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45813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45813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45813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45813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45813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45813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45813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45813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45813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45813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45813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45813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45813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45813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45813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45813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45813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45813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45813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45813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45813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45813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45813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45813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45813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45813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45813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45813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45813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45813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45813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45813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45813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45813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45813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45813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45813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45813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45813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45813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45813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45813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45813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45813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45813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45813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45813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45813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45813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45813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45813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45813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45813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45813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45813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45813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45813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45813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45813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45813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45813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45813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45813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45813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45813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45813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45813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45813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45813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45813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45813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45813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45813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45813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45813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45813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45813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45813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45813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45813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45813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45813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45813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45813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45813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45813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45813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45813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45813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45813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45813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45813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45813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45813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45813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45813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45813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45813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45813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45813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45813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45813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45813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45813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45813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45813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45813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45813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45813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45813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45813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45813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45813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45813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45813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45813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45813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45813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45813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45813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45813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45813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45813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45813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45813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45813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45813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45813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45813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45813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45813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45813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45813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45813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45813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45813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45813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45813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45813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45813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45813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45813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45813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45813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45813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45813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45813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45813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45813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45813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45813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45813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45813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45813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45813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45813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45813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45813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45813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45813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45813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45813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45813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45813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45813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45813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45813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45813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45813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45813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45813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45813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45813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45813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45813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45813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45813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45813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45813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45813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45813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45813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45813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45813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45813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45813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45813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45813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45813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45813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45813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45813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45813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45813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45813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45813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45813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45813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45813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45813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45813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45813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45813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45813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45813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45813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45813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45813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45813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45813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45813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45813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45813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45813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45813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45813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45813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45813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45813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45813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45813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45813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45813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45813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45813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45813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45813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45813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45813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45813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45813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45813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45813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45813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45813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45813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45813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45813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45813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45813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45813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45813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45813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45813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45813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45813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45813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45813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45813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45813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45813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45813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45813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45813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45813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45813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45813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45813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45813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45813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45813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45813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45813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45813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45813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45813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45813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45813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45813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45813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45813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45813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45813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45813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45813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45813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45813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45813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45813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45813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45813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45813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45813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45813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45813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45813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45813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45813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45813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45813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45813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45813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45813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45813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45813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45813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45813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45813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45813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45813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45813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45813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45813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45813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45813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45813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45813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45813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45813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45813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45813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45813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45813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45813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45813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45813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45813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45813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45813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45813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45813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45813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45813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45813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45813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45813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45813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45813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45813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45813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45813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45813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45813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45813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45813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45813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45813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45813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45813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45813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45813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45813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45813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45813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45813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45813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45813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45813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45813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45813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45813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45813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45813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45813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45813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45813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45813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45813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45813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45813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45813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45813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45813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45813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45813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45813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45813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45813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45813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45813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45813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45813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45813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45813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45813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45813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45813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45813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45813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45813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45813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45813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45813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45813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45813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45813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45813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45813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45813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45813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45813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45813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45813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45813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45813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45813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45813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45813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45813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45813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45813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45813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45813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45813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45813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45813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45813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45813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45813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45813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45813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45813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45813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45813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45813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45813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45813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45813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45813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45813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45813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45813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45813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45813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45813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45813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45813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45813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45813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45813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45813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45813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45813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45813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45813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45813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45813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45813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45813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45813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45813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45813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45813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45813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45813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45813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45813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45813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45813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45813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45813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45813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45813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45813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45813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45813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45813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45813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45813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45813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45813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45813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45813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45813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45813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45813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45813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45813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45813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45813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45813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45813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45813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45813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45813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45813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45813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45813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45813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45813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45813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45813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45813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45813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45813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45813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45813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45813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45813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45813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45813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45813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45813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45813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45813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45813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45813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45813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45813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45813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45813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45813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45813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45813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45813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45813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45813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45813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45813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45813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45813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45813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45813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45813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45813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45813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45813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45813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45813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45813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45813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45813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45813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45813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45813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45813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45813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45813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45813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45813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45813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45813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45813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45813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45813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45813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45813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45813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45813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45813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45813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45813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45813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45813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45813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45813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45813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45813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45813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45813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45813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45813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45813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45813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45813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45813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45813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45813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45813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45813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45813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45813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45813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45813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45813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45813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45813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45813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45813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45813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45813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45813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45813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45813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45813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45813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45813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45813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45813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45813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45813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45813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45813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45813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45813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45813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45813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45813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45813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45813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45813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45813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45813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45813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45813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45813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45813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45813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45813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45813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45813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45813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45813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45813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45813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45813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45813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45813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45813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45813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45813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45813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45813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45813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45813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45813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45813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45813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45813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45813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45813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45813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45813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45813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45813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45813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45813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45813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45813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45813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45813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45813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45813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45813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45813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45813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45813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45813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45813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45813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45813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45813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45813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45813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45813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45813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45813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45813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45813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45813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45813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45813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45813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45813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45813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45813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45813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45813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45813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45813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45813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45813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45813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45813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45813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45813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45813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45813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45813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45813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45813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45813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45813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45813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45813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45813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45813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45813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45813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45813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45813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45813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45813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45813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45813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45813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45813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45813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45813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45813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45813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45813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45813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45813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45813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45813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45813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45813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45813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45813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45813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45813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45813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45813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45813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45813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45813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45813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45813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45813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45813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45813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45813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45813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45813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45813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45813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45813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45813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45813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45813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45813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45813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45813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45813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45813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45813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45813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45813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45813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45813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45813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45813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45813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45813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45813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45813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45813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45813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45813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45813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45813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45813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45813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45813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45813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45813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45813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45813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45813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45813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45813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45813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45813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45813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45813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45813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45813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45813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45813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45813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45813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45813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45813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45813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45813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45813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45813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45813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45813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45813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45813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45813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45813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45813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45813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45813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45813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45813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45813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45813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45813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45813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45813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45813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45813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45813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45813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45813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45813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45813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45813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45813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45813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45813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45813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45813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45813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45813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45813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45813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45813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45813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45813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45813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45813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45813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45813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45813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45813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45813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45813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45813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45813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45813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45813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45813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45813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45813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45813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45813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45813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45813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45813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45813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45813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45813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45813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45813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45813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45813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45813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45813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45813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45813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19541-2025</t>
        </is>
      </c>
      <c r="B1050" s="1" t="n">
        <v>45770</v>
      </c>
      <c r="C1050" s="1" t="n">
        <v>45813</v>
      </c>
      <c r="D1050" t="inlineStr">
        <is>
          <t>VÄSTRA GÖTALANDS LÄN</t>
        </is>
      </c>
      <c r="E1050" t="inlineStr">
        <is>
          <t>BORÅS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19535-2025</t>
        </is>
      </c>
      <c r="B1051" s="1" t="n">
        <v>45770</v>
      </c>
      <c r="C1051" s="1" t="n">
        <v>45813</v>
      </c>
      <c r="D1051" t="inlineStr">
        <is>
          <t>VÄSTRA GÖTALANDS LÄN</t>
        </is>
      </c>
      <c r="E1051" t="inlineStr">
        <is>
          <t>BORÅS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19537-2025</t>
        </is>
      </c>
      <c r="B1052" s="1" t="n">
        <v>45770</v>
      </c>
      <c r="C1052" s="1" t="n">
        <v>45813</v>
      </c>
      <c r="D1052" t="inlineStr">
        <is>
          <t>VÄSTRA GÖTALANDS LÄN</t>
        </is>
      </c>
      <c r="E1052" t="inlineStr">
        <is>
          <t>BORÅS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45813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19544-2025</t>
        </is>
      </c>
      <c r="B1054" s="1" t="n">
        <v>45770</v>
      </c>
      <c r="C1054" s="1" t="n">
        <v>45813</v>
      </c>
      <c r="D1054" t="inlineStr">
        <is>
          <t>VÄSTRA GÖTALANDS LÄN</t>
        </is>
      </c>
      <c r="E1054" t="inlineStr">
        <is>
          <t>BORÅS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45813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45813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45813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45813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45813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45813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45813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45813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45813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45813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22711-2025</t>
        </is>
      </c>
      <c r="B1065" s="1" t="n">
        <v>45788</v>
      </c>
      <c r="C1065" s="1" t="n">
        <v>45813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22734-2025</t>
        </is>
      </c>
      <c r="B1066" s="1" t="n">
        <v>45789</v>
      </c>
      <c r="C1066" s="1" t="n">
        <v>45813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45813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23504-2025</t>
        </is>
      </c>
      <c r="B1068" s="1" t="n">
        <v>45792</v>
      </c>
      <c r="C1068" s="1" t="n">
        <v>45813</v>
      </c>
      <c r="D1068" t="inlineStr">
        <is>
          <t>VÄSTRA GÖTALANDS LÄN</t>
        </is>
      </c>
      <c r="E1068" t="inlineStr">
        <is>
          <t>BORÅS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24085-2025</t>
        </is>
      </c>
      <c r="B1069" s="1" t="n">
        <v>45796</v>
      </c>
      <c r="C1069" s="1" t="n">
        <v>45813</v>
      </c>
      <c r="D1069" t="inlineStr">
        <is>
          <t>VÄSTRA GÖTALANDS LÄN</t>
        </is>
      </c>
      <c r="E1069" t="inlineStr">
        <is>
          <t>BORÅS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24631-2025</t>
        </is>
      </c>
      <c r="B1070" s="1" t="n">
        <v>45798</v>
      </c>
      <c r="C1070" s="1" t="n">
        <v>45813</v>
      </c>
      <c r="D1070" t="inlineStr">
        <is>
          <t>VÄSTRA GÖTALANDS LÄN</t>
        </is>
      </c>
      <c r="E1070" t="inlineStr">
        <is>
          <t>BORÅS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45813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25338-2025</t>
        </is>
      </c>
      <c r="B1072" s="1" t="n">
        <v>45800</v>
      </c>
      <c r="C1072" s="1" t="n">
        <v>45813</v>
      </c>
      <c r="D1072" t="inlineStr">
        <is>
          <t>VÄSTRA GÖTALANDS LÄN</t>
        </is>
      </c>
      <c r="E1072" t="inlineStr">
        <is>
          <t>BORÅS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25451-2025</t>
        </is>
      </c>
      <c r="B1073" s="1" t="n">
        <v>45801</v>
      </c>
      <c r="C1073" s="1" t="n">
        <v>45813</v>
      </c>
      <c r="D1073" t="inlineStr">
        <is>
          <t>VÄSTRA GÖTALANDS LÄN</t>
        </is>
      </c>
      <c r="E1073" t="inlineStr">
        <is>
          <t>BORÅS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25663-2025</t>
        </is>
      </c>
      <c r="B1074" s="1" t="n">
        <v>45803</v>
      </c>
      <c r="C1074" s="1" t="n">
        <v>45813</v>
      </c>
      <c r="D1074" t="inlineStr">
        <is>
          <t>VÄSTRA GÖTALANDS LÄN</t>
        </is>
      </c>
      <c r="E1074" t="inlineStr">
        <is>
          <t>BORÅS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25705-2025</t>
        </is>
      </c>
      <c r="B1075" s="1" t="n">
        <v>45803</v>
      </c>
      <c r="C1075" s="1" t="n">
        <v>45813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45813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25667-2025</t>
        </is>
      </c>
      <c r="B1077" s="1" t="n">
        <v>45803</v>
      </c>
      <c r="C1077" s="1" t="n">
        <v>45813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26133-2025</t>
        </is>
      </c>
      <c r="B1078" s="1" t="n">
        <v>45805</v>
      </c>
      <c r="C1078" s="1" t="n">
        <v>45813</v>
      </c>
      <c r="D1078" t="inlineStr">
        <is>
          <t>VÄSTRA GÖTALANDS LÄN</t>
        </is>
      </c>
      <c r="E1078" t="inlineStr">
        <is>
          <t>BORÅS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27274-2025</t>
        </is>
      </c>
      <c r="B1079" s="1" t="n">
        <v>45812</v>
      </c>
      <c r="C1079" s="1" t="n">
        <v>45813</v>
      </c>
      <c r="D1079" t="inlineStr">
        <is>
          <t>VÄSTRA GÖTALANDS LÄN</t>
        </is>
      </c>
      <c r="E1079" t="inlineStr">
        <is>
          <t>BORÅS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27356-2025</t>
        </is>
      </c>
      <c r="B1080" s="1" t="n">
        <v>45812</v>
      </c>
      <c r="C1080" s="1" t="n">
        <v>45813</v>
      </c>
      <c r="D1080" t="inlineStr">
        <is>
          <t>VÄSTRA GÖTALANDS LÄN</t>
        </is>
      </c>
      <c r="E1080" t="inlineStr">
        <is>
          <t>BORÅS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45813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45813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27275-2025</t>
        </is>
      </c>
      <c r="B1083" s="1" t="n">
        <v>45812</v>
      </c>
      <c r="C1083" s="1" t="n">
        <v>45813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2025-06-05T18:29:44Z</dcterms:created>
  <dcterms:modified xmlns:dcterms="http://purl.org/dc/terms/" xmlns:xsi="http://www.w3.org/2001/XMLSchema-instance" xsi:type="dcterms:W3CDTF">2025-06-05T18:29:45Z</dcterms:modified>
</cp:coreProperties>
</file>