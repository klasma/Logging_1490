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46303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46303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46303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46303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46303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46303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46303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46303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46303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46303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57442-2024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46303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11</v>
      </c>
      <c r="U18" t="n">
        <v>1</v>
      </c>
      <c r="V18" s="2" t="inlineStr">
        <is>
          <t>Talltita
Spillkråka
Revlummer</t>
        </is>
      </c>
      <c r="W18">
        <f>HYPERLINK("https://klasma.github.io/Logging_1490/artfynd/A 57442-2024 artfynd.xlsx", "A 57442-2024")</f>
        <v/>
      </c>
      <c r="X18">
        <f>HYPERLINK("https://klasma.github.io/Logging_1490/kartor/A 57442-2024 karta.png", "A 57442-2024")</f>
        <v/>
      </c>
      <c r="Y18">
        <f>HYPERLINK("https://klasma.github.io/Logging_1490/kartor_geotiff/A 57442-2024 georefererad karta.tif", "A 57442-2024")</f>
        <v/>
      </c>
      <c r="AA18">
        <f>HYPERLINK("https://klasma.github.io/Logging_1490/klagomål/A 57442-2024 FSC-klagomål.docx", "A 57442-2024")</f>
        <v/>
      </c>
      <c r="AB18">
        <f>HYPERLINK("https://klasma.github.io/Logging_1490/klagomålsmail/A 57442-2024 FSC-klagomål mail.docx", "A 57442-2024")</f>
        <v/>
      </c>
      <c r="AC18">
        <f>HYPERLINK("https://klasma.github.io/Logging_1490/tillsyn/A 57442-2024 tillsynsbegäran.docx", "A 57442-2024")</f>
        <v/>
      </c>
      <c r="AD18">
        <f>HYPERLINK("https://klasma.github.io/Logging_1490/tillsynsmail/A 57442-2024 tillsynsbegäran mail.docx", "A 57442-2024")</f>
        <v/>
      </c>
      <c r="AE18">
        <f>HYPERLINK("https://klasma.github.io/Logging_1490/fåglar/A 57442-2024 prioriterade fågelarter.docx", "A 57442-2024")</f>
        <v/>
      </c>
    </row>
    <row r="19" ht="15" customHeight="1">
      <c r="A19" t="inlineStr">
        <is>
          <t>A 72582-2021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44546</v>
      </c>
      <c r="E19" s="1" t="n">
        <v>46303</v>
      </c>
      <c r="F19" t="inlineStr">
        <is>
          <t>VÄSTRA GÖTALANDS LÄN</t>
        </is>
      </c>
      <c r="G19" t="inlineStr">
        <is>
          <t>BORÅS</t>
        </is>
      </c>
      <c r="I19" t="n">
        <v>3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Igelkott
Jungfrulin
Svinrot</t>
        </is>
      </c>
      <c r="W19">
        <f>HYPERLINK("https://klasma.github.io/Logging_1490/artfynd/A 72582-2021 artfynd.xlsx", "A 72582-2021")</f>
        <v/>
      </c>
      <c r="X19">
        <f>HYPERLINK("https://klasma.github.io/Logging_1490/kartor/A 72582-2021 karta.png", "A 72582-2021")</f>
        <v/>
      </c>
      <c r="Y19">
        <f>HYPERLINK("https://klasma.github.io/Logging_1490/kartor_geotiff/A 72582-2021 georefererad karta.tif", "A 72582-2021")</f>
        <v/>
      </c>
      <c r="AA19">
        <f>HYPERLINK("https://klasma.github.io/Logging_1490/klagomål/A 72582-2021 FSC-klagomål.docx", "A 72582-2021")</f>
        <v/>
      </c>
      <c r="AB19">
        <f>HYPERLINK("https://klasma.github.io/Logging_1490/klagomålsmail/A 72582-2021 FSC-klagomål mail.docx", "A 72582-2021")</f>
        <v/>
      </c>
      <c r="AC19">
        <f>HYPERLINK("https://klasma.github.io/Logging_1490/tillsyn/A 72582-2021 tillsynsbegäran.docx", "A 72582-2021")</f>
        <v/>
      </c>
      <c r="AD19">
        <f>HYPERLINK("https://klasma.github.io/Logging_1490/tillsynsmail/A 72582-2021 tillsynsbegäran mail.docx", "A 72582-2021")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46303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46303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46303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46303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46303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46303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46303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46303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46303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46303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26833-2023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45093</v>
      </c>
      <c r="E31" s="1" t="n">
        <v>46303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6.9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Brunlångöra
Nordfladdermus</t>
        </is>
      </c>
      <c r="W31">
        <f>HYPERLINK("https://klasma.github.io/Logging_1490/artfynd/A 26833-2023 artfynd.xlsx", "A 26833-2023")</f>
        <v/>
      </c>
      <c r="X31">
        <f>HYPERLINK("https://klasma.github.io/Logging_1490/kartor/A 26833-2023 karta.png", "A 26833-2023")</f>
        <v/>
      </c>
      <c r="Y31">
        <f>HYPERLINK("https://klasma.github.io/Logging_1490/kartor_geotiff/A 26833-2023 georefererad karta.tif", "A 26833-2023")</f>
        <v/>
      </c>
      <c r="AA31">
        <f>HYPERLINK("https://klasma.github.io/Logging_1490/klagomål/A 26833-2023 FSC-klagomål.docx", "A 26833-2023")</f>
        <v/>
      </c>
      <c r="AB31">
        <f>HYPERLINK("https://klasma.github.io/Logging_1490/klagomålsmail/A 26833-2023 FSC-klagomål mail.docx", "A 26833-2023")</f>
        <v/>
      </c>
      <c r="AC31">
        <f>HYPERLINK("https://klasma.github.io/Logging_1490/tillsyn/A 26833-2023 tillsynsbegäran.docx", "A 26833-2023")</f>
        <v/>
      </c>
      <c r="AD31">
        <f>HYPERLINK("https://klasma.github.io/Logging_1490/tillsynsmail/A 26833-2023 tillsynsbegäran mail.docx", "A 26833-2023")</f>
        <v/>
      </c>
    </row>
    <row r="32" ht="15" customHeight="1">
      <c r="A32" t="inlineStr">
        <is>
          <t>A 4362-2022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44589</v>
      </c>
      <c r="E32" s="1" t="n">
        <v>46303</v>
      </c>
      <c r="F32" t="inlineStr">
        <is>
          <t>VÄSTRA GÖTALANDS LÄN</t>
        </is>
      </c>
      <c r="G32" t="inlineStr">
        <is>
          <t>BORÅS</t>
        </is>
      </c>
      <c r="I32" t="n">
        <v>3.7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Gröngöling
Svartvit flugsnappare</t>
        </is>
      </c>
      <c r="W32">
        <f>HYPERLINK("https://klasma.github.io/Logging_1490/artfynd/A 4362-2022 artfynd.xlsx", "A 4362-2022")</f>
        <v/>
      </c>
      <c r="X32">
        <f>HYPERLINK("https://klasma.github.io/Logging_1490/kartor/A 4362-2022 karta.png", "A 4362-2022")</f>
        <v/>
      </c>
      <c r="Y32">
        <f>HYPERLINK("https://klasma.github.io/Logging_1490/kartor_geotiff/A 4362-2022 georefererad karta.tif", "A 4362-2022")</f>
        <v/>
      </c>
      <c r="AA32">
        <f>HYPERLINK("https://klasma.github.io/Logging_1490/klagomål/A 4362-2022 FSC-klagomål.docx", "A 4362-2022")</f>
        <v/>
      </c>
      <c r="AB32">
        <f>HYPERLINK("https://klasma.github.io/Logging_1490/klagomålsmail/A 4362-2022 FSC-klagomål mail.docx", "A 4362-2022")</f>
        <v/>
      </c>
      <c r="AC32">
        <f>HYPERLINK("https://klasma.github.io/Logging_1490/tillsyn/A 4362-2022 tillsynsbegäran.docx", "A 4362-2022")</f>
        <v/>
      </c>
      <c r="AD32">
        <f>HYPERLINK("https://klasma.github.io/Logging_1490/tillsynsmail/A 4362-2022 tillsynsbegäran mail.docx", "A 4362-2022")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46303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46303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46303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46303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46303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36596-2023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46303</v>
      </c>
      <c r="F38" t="inlineStr">
        <is>
          <t>VÄSTRA GÖTALANDS LÄN</t>
        </is>
      </c>
      <c r="G38" t="inlineStr">
        <is>
          <t>BORÅS</t>
        </is>
      </c>
      <c r="I38" t="n">
        <v>1.5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0</v>
      </c>
      <c r="V38" s="2" t="inlineStr">
        <is>
          <t>Grönvit nattviol
Nattviol</t>
        </is>
      </c>
      <c r="W38">
        <f>HYPERLINK("https://klasma.github.io/Logging_1490/artfynd/A 36596-2023 artfynd.xlsx", "A 36596-2023")</f>
        <v/>
      </c>
      <c r="X38">
        <f>HYPERLINK("https://klasma.github.io/Logging_1490/kartor/A 36596-2023 karta.png", "A 36596-2023")</f>
        <v/>
      </c>
      <c r="Y38">
        <f>HYPERLINK("https://klasma.github.io/Logging_1490/kartor_geotiff/A 36596-2023 georefererad karta.tif", "A 36596-2023")</f>
        <v/>
      </c>
      <c r="AA38">
        <f>HYPERLINK("https://klasma.github.io/Logging_1490/klagomål/A 36596-2023 FSC-klagomål.docx", "A 36596-2023")</f>
        <v/>
      </c>
      <c r="AB38">
        <f>HYPERLINK("https://klasma.github.io/Logging_1490/klagomålsmail/A 36596-2023 FSC-klagomål mail.docx", "A 36596-2023")</f>
        <v/>
      </c>
      <c r="AC38">
        <f>HYPERLINK("https://klasma.github.io/Logging_1490/tillsyn/A 36596-2023 tillsynsbegäran.docx", "A 36596-2023")</f>
        <v/>
      </c>
      <c r="AD38">
        <f>HYPERLINK("https://klasma.github.io/Logging_1490/tillsynsmail/A 36596-2023 tillsynsbegäran mail.docx", "A 36596-2023")</f>
        <v/>
      </c>
    </row>
    <row r="39" ht="15" customHeight="1">
      <c r="A39" t="inlineStr">
        <is>
          <t>A 32027-2023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45119</v>
      </c>
      <c r="E39" s="1" t="n">
        <v>46303</v>
      </c>
      <c r="F39" t="inlineStr">
        <is>
          <t>VÄSTRA GÖTALANDS LÄN</t>
        </is>
      </c>
      <c r="G39" t="inlineStr">
        <is>
          <t>BORÅS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Lopplummer (aggregat)
Revlummer</t>
        </is>
      </c>
      <c r="W39">
        <f>HYPERLINK("https://klasma.github.io/Logging_1490/artfynd/A 32027-2023 artfynd.xlsx", "A 32027-2023")</f>
        <v/>
      </c>
      <c r="X39">
        <f>HYPERLINK("https://klasma.github.io/Logging_1490/kartor/A 32027-2023 karta.png", "A 32027-2023")</f>
        <v/>
      </c>
      <c r="Y39">
        <f>HYPERLINK("https://klasma.github.io/Logging_1490/kartor_geotiff/A 32027-2023 georefererad karta.tif", "A 32027-2023")</f>
        <v/>
      </c>
      <c r="AA39">
        <f>HYPERLINK("https://klasma.github.io/Logging_1490/klagomål/A 32027-2023 FSC-klagomål.docx", "A 32027-2023")</f>
        <v/>
      </c>
      <c r="AB39">
        <f>HYPERLINK("https://klasma.github.io/Logging_1490/klagomålsmail/A 32027-2023 FSC-klagomål mail.docx", "A 32027-2023")</f>
        <v/>
      </c>
      <c r="AC39">
        <f>HYPERLINK("https://klasma.github.io/Logging_1490/tillsyn/A 32027-2023 tillsynsbegäran.docx", "A 32027-2023")</f>
        <v/>
      </c>
      <c r="AD39">
        <f>HYPERLINK("https://klasma.github.io/Logging_1490/tillsynsmail/A 32027-2023 tillsynsbegäran mail.docx", "A 32027-2023")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46303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46303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46303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46303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46303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46303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46303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46303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46303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46303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46303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57439-2024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46303</v>
      </c>
      <c r="F51" t="inlineStr">
        <is>
          <t>VÄSTRA GÖTALANDS LÄN</t>
        </is>
      </c>
      <c r="G51" t="inlineStr">
        <is>
          <t>BORÅS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Tofsmes</t>
        </is>
      </c>
      <c r="W51">
        <f>HYPERLINK("https://klasma.github.io/Logging_1490/artfynd/A 57439-2024 artfynd.xlsx", "A 57439-2024")</f>
        <v/>
      </c>
      <c r="X51">
        <f>HYPERLINK("https://klasma.github.io/Logging_1490/kartor/A 57439-2024 karta.png", "A 57439-2024")</f>
        <v/>
      </c>
      <c r="Y51">
        <f>HYPERLINK("https://klasma.github.io/Logging_1490/kartor_geotiff/A 57439-2024 georefererad karta.tif", "A 57439-2024")</f>
        <v/>
      </c>
      <c r="AA51">
        <f>HYPERLINK("https://klasma.github.io/Logging_1490/klagomål/A 57439-2024 FSC-klagomål.docx", "A 57439-2024")</f>
        <v/>
      </c>
      <c r="AB51">
        <f>HYPERLINK("https://klasma.github.io/Logging_1490/klagomålsmail/A 57439-2024 FSC-klagomål mail.docx", "A 57439-2024")</f>
        <v/>
      </c>
      <c r="AC51">
        <f>HYPERLINK("https://klasma.github.io/Logging_1490/tillsyn/A 57439-2024 tillsynsbegäran.docx", "A 57439-2024")</f>
        <v/>
      </c>
      <c r="AD51">
        <f>HYPERLINK("https://klasma.github.io/Logging_1490/tillsynsmail/A 57439-2024 tillsynsbegäran mail.docx", "A 57439-2024")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46303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46303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46303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46303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23755-2025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46303</v>
      </c>
      <c r="F56" t="inlineStr">
        <is>
          <t>VÄSTRA GÖTALANDS LÄN</t>
        </is>
      </c>
      <c r="G56" t="inlineStr">
        <is>
          <t>BORÅS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groda</t>
        </is>
      </c>
      <c r="W56">
        <f>HYPERLINK("https://klasma.github.io/Logging_1490/artfynd/A 23755-2025 artfynd.xlsx", "A 23755-2025")</f>
        <v/>
      </c>
      <c r="X56">
        <f>HYPERLINK("https://klasma.github.io/Logging_1490/kartor/A 23755-2025 karta.png", "A 23755-2025")</f>
        <v/>
      </c>
      <c r="Y56">
        <f>HYPERLINK("https://klasma.github.io/Logging_1490/kartor_geotiff/A 23755-2025 georefererad karta.tif", "A 23755-2025")</f>
        <v/>
      </c>
      <c r="AA56">
        <f>HYPERLINK("https://klasma.github.io/Logging_1490/klagomål/A 23755-2025 FSC-klagomål.docx", "A 23755-2025")</f>
        <v/>
      </c>
      <c r="AB56">
        <f>HYPERLINK("https://klasma.github.io/Logging_1490/klagomålsmail/A 23755-2025 FSC-klagomål mail.docx", "A 23755-2025")</f>
        <v/>
      </c>
      <c r="AC56">
        <f>HYPERLINK("https://klasma.github.io/Logging_1490/tillsyn/A 23755-2025 tillsynsbegäran.docx", "A 23755-2025")</f>
        <v/>
      </c>
      <c r="AD56">
        <f>HYPERLINK("https://klasma.github.io/Logging_1490/tillsynsmail/A 23755-2025 tillsynsbegäran mail.docx", "A 23755-2025")</f>
        <v/>
      </c>
    </row>
    <row r="57" ht="15" customHeight="1">
      <c r="A57" t="inlineStr">
        <is>
          <t>A 3719-2024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46303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Hasselmus</t>
        </is>
      </c>
      <c r="W57">
        <f>HYPERLINK("https://klasma.github.io/Logging_1490/artfynd/A 3719-2024 artfynd.xlsx", "A 3719-2024")</f>
        <v/>
      </c>
      <c r="X57">
        <f>HYPERLINK("https://klasma.github.io/Logging_1490/kartor/A 3719-2024 karta.png", "A 3719-2024")</f>
        <v/>
      </c>
      <c r="Y57">
        <f>HYPERLINK("https://klasma.github.io/Logging_1490/kartor_geotiff/A 3719-2024 georefererad karta.tif", "A 3719-2024")</f>
        <v/>
      </c>
      <c r="AA57">
        <f>HYPERLINK("https://klasma.github.io/Logging_1490/klagomål/A 3719-2024 FSC-klagomål.docx", "A 3719-2024")</f>
        <v/>
      </c>
      <c r="AB57">
        <f>HYPERLINK("https://klasma.github.io/Logging_1490/klagomålsmail/A 3719-2024 FSC-klagomål mail.docx", "A 3719-2024")</f>
        <v/>
      </c>
      <c r="AC57">
        <f>HYPERLINK("https://klasma.github.io/Logging_1490/tillsyn/A 3719-2024 tillsynsbegäran.docx", "A 3719-2024")</f>
        <v/>
      </c>
      <c r="AD57">
        <f>HYPERLINK("https://klasma.github.io/Logging_1490/tillsynsmail/A 3719-2024 tillsynsbegäran mail.docx", "A 3719-2024")</f>
        <v/>
      </c>
    </row>
    <row r="58" ht="15" customHeight="1">
      <c r="A58" t="inlineStr">
        <is>
          <t>A 29911-2025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46303</v>
      </c>
      <c r="F58" t="inlineStr">
        <is>
          <t>VÄSTRA GÖTALANDS LÄN</t>
        </is>
      </c>
      <c r="G58" t="inlineStr">
        <is>
          <t>BORÅS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Lönnlav</t>
        </is>
      </c>
      <c r="W58">
        <f>HYPERLINK("https://klasma.github.io/Logging_1490/artfynd/A 29911-2025 artfynd.xlsx", "A 29911-2025")</f>
        <v/>
      </c>
      <c r="X58">
        <f>HYPERLINK("https://klasma.github.io/Logging_1490/kartor/A 29911-2025 karta.png", "A 29911-2025")</f>
        <v/>
      </c>
      <c r="Y58">
        <f>HYPERLINK("https://klasma.github.io/Logging_1490/kartor_geotiff/A 29911-2025 georefererad karta.tif", "A 29911-2025")</f>
        <v/>
      </c>
      <c r="AA58">
        <f>HYPERLINK("https://klasma.github.io/Logging_1490/klagomål/A 29911-2025 FSC-klagomål.docx", "A 29911-2025")</f>
        <v/>
      </c>
      <c r="AB58">
        <f>HYPERLINK("https://klasma.github.io/Logging_1490/klagomålsmail/A 29911-2025 FSC-klagomål mail.docx", "A 29911-2025")</f>
        <v/>
      </c>
      <c r="AC58">
        <f>HYPERLINK("https://klasma.github.io/Logging_1490/tillsyn/A 29911-2025 tillsynsbegäran.docx", "A 29911-2025")</f>
        <v/>
      </c>
      <c r="AD58">
        <f>HYPERLINK("https://klasma.github.io/Logging_1490/tillsynsmail/A 29911-2025 tillsynsbegäran mail.docx", "A 29911-2025")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46303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46303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33140-2023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45126</v>
      </c>
      <c r="E61" s="1" t="n">
        <v>46303</v>
      </c>
      <c r="F61" t="inlineStr">
        <is>
          <t>VÄSTRA GÖTALANDS LÄN</t>
        </is>
      </c>
      <c r="G61" t="inlineStr">
        <is>
          <t>BORÅS</t>
        </is>
      </c>
      <c r="I61" t="n">
        <v>5.1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HYPERLINK("https://klasma.github.io/Logging_1490/artfynd/A 33140-2023 artfynd.xlsx", "A 33140-2023")</f>
        <v/>
      </c>
      <c r="X61">
        <f>HYPERLINK("https://klasma.github.io/Logging_1490/kartor/A 33140-2023 karta.png", "A 33140-2023")</f>
        <v/>
      </c>
      <c r="Y61">
        <f>HYPERLINK("https://klasma.github.io/Logging_1490/kartor_geotiff/A 33140-2023 georefererad karta.tif", "A 33140-2023")</f>
        <v/>
      </c>
      <c r="AA61">
        <f>HYPERLINK("https://klasma.github.io/Logging_1490/klagomål/A 33140-2023 FSC-klagomål.docx", "A 33140-2023")</f>
        <v/>
      </c>
      <c r="AB61">
        <f>HYPERLINK("https://klasma.github.io/Logging_1490/klagomålsmail/A 33140-2023 FSC-klagomål mail.docx", "A 33140-2023")</f>
        <v/>
      </c>
      <c r="AC61">
        <f>HYPERLINK("https://klasma.github.io/Logging_1490/tillsyn/A 33140-2023 tillsynsbegäran.docx", "A 33140-2023")</f>
        <v/>
      </c>
      <c r="AD61">
        <f>HYPERLINK("https://klasma.github.io/Logging_1490/tillsynsmail/A 33140-2023 tillsynsbegäran mail.docx", "A 33140-2023")</f>
        <v/>
      </c>
    </row>
    <row r="62" ht="15" customHeight="1">
      <c r="A62" t="inlineStr">
        <is>
          <t>A 3772-2024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46303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4.1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Vågbandad barkbock</t>
        </is>
      </c>
      <c r="W62">
        <f>HYPERLINK("https://klasma.github.io/Logging_1490/artfynd/A 3772-2024 artfynd.xlsx", "A 3772-2024")</f>
        <v/>
      </c>
      <c r="X62">
        <f>HYPERLINK("https://klasma.github.io/Logging_1490/kartor/A 3772-2024 karta.png", "A 3772-2024")</f>
        <v/>
      </c>
      <c r="Y62">
        <f>HYPERLINK("https://klasma.github.io/Logging_1490/kartor_geotiff/A 3772-2024 georefererad karta.tif", "A 3772-2024")</f>
        <v/>
      </c>
      <c r="AA62">
        <f>HYPERLINK("https://klasma.github.io/Logging_1490/klagomål/A 3772-2024 FSC-klagomål.docx", "A 3772-2024")</f>
        <v/>
      </c>
      <c r="AB62">
        <f>HYPERLINK("https://klasma.github.io/Logging_1490/klagomålsmail/A 3772-2024 FSC-klagomål mail.docx", "A 3772-2024")</f>
        <v/>
      </c>
      <c r="AC62">
        <f>HYPERLINK("https://klasma.github.io/Logging_1490/tillsyn/A 3772-2024 tillsynsbegäran.docx", "A 3772-2024")</f>
        <v/>
      </c>
      <c r="AD62">
        <f>HYPERLINK("https://klasma.github.io/Logging_1490/tillsynsmail/A 3772-2024 tillsynsbegäran mail.docx", "A 3772-2024")</f>
        <v/>
      </c>
    </row>
    <row r="63" ht="15" customHeight="1">
      <c r="A63" t="inlineStr">
        <is>
          <t>A 1922-2025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46303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Kyrkan</t>
        </is>
      </c>
      <c r="I63" t="n">
        <v>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Kungsfågel</t>
        </is>
      </c>
      <c r="W63">
        <f>HYPERLINK("https://klasma.github.io/Logging_1490/artfynd/A 1922-2025 artfynd.xlsx", "A 1922-2025")</f>
        <v/>
      </c>
      <c r="X63">
        <f>HYPERLINK("https://klasma.github.io/Logging_1490/kartor/A 1922-2025 karta.png", "A 1922-2025")</f>
        <v/>
      </c>
      <c r="Y63">
        <f>HYPERLINK("https://klasma.github.io/Logging_1490/kartor_geotiff/A 1922-2025 georefererad karta.tif", "A 1922-2025")</f>
        <v/>
      </c>
      <c r="AA63">
        <f>HYPERLINK("https://klasma.github.io/Logging_1490/klagomål/A 1922-2025 FSC-klagomål.docx", "A 1922-2025")</f>
        <v/>
      </c>
      <c r="AB63">
        <f>HYPERLINK("https://klasma.github.io/Logging_1490/klagomålsmail/A 1922-2025 FSC-klagomål mail.docx", "A 1922-2025")</f>
        <v/>
      </c>
      <c r="AC63">
        <f>HYPERLINK("https://klasma.github.io/Logging_1490/tillsyn/A 1922-2025 tillsynsbegäran.docx", "A 1922-2025")</f>
        <v/>
      </c>
      <c r="AD63">
        <f>HYPERLINK("https://klasma.github.io/Logging_1490/tillsynsmail/A 1922-2025 tillsynsbegäran mail.docx", "A 1922-2025")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46303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46303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62645-2025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46008</v>
      </c>
      <c r="E66" s="1" t="n">
        <v>46303</v>
      </c>
      <c r="F66" t="inlineStr">
        <is>
          <t>VÄSTRA GÖTALANDS LÄN</t>
        </is>
      </c>
      <c r="G66" t="inlineStr">
        <is>
          <t>BORÅS</t>
        </is>
      </c>
      <c r="I66" t="n">
        <v>0.5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hackspett</t>
        </is>
      </c>
      <c r="W66">
        <f>HYPERLINK("https://klasma.github.io/Logging_1490/artfynd/A 62645-2025 artfynd.xlsx", "A 62645-2025")</f>
        <v/>
      </c>
      <c r="X66">
        <f>HYPERLINK("https://klasma.github.io/Logging_1490/kartor/A 62645-2025 karta.png", "A 62645-2025")</f>
        <v/>
      </c>
      <c r="Y66">
        <f>HYPERLINK("https://klasma.github.io/Logging_1490/kartor_geotiff/A 62645-2025 georefererad karta.tif", "A 62645-2025")</f>
        <v/>
      </c>
      <c r="AA66">
        <f>HYPERLINK("https://klasma.github.io/Logging_1490/klagomål/A 62645-2025 FSC-klagomål.docx", "A 62645-2025")</f>
        <v/>
      </c>
      <c r="AB66">
        <f>HYPERLINK("https://klasma.github.io/Logging_1490/klagomålsmail/A 62645-2025 FSC-klagomål mail.docx", "A 62645-2025")</f>
        <v/>
      </c>
      <c r="AC66">
        <f>HYPERLINK("https://klasma.github.io/Logging_1490/tillsyn/A 62645-2025 tillsynsbegäran.docx", "A 62645-2025")</f>
        <v/>
      </c>
      <c r="AD66">
        <f>HYPERLINK("https://klasma.github.io/Logging_1490/tillsynsmail/A 62645-2025 tillsynsbegäran mail.docx", "A 62645-2025")</f>
        <v/>
      </c>
      <c r="AE66">
        <f>HYPERLINK("https://klasma.github.io/Logging_1490/fåglar/A 62645-2025 prioriterade fågelarter.docx", "A 62645-2025")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46303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46303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46303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46303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46303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27342-2022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46303</v>
      </c>
      <c r="F72" t="inlineStr">
        <is>
          <t>VÄSTRA GÖTALANDS LÄN</t>
        </is>
      </c>
      <c r="G72" t="inlineStr">
        <is>
          <t>BORÅS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Järnsparv</t>
        </is>
      </c>
      <c r="W72">
        <f>HYPERLINK("https://klasma.github.io/Logging_1490/artfynd/A 27342-2022 artfynd.xlsx", "A 27342-2022")</f>
        <v/>
      </c>
      <c r="X72">
        <f>HYPERLINK("https://klasma.github.io/Logging_1490/kartor/A 27342-2022 karta.png", "A 27342-2022")</f>
        <v/>
      </c>
      <c r="Y72">
        <f>HYPERLINK("https://klasma.github.io/Logging_1490/kartor_geotiff/A 27342-2022 georefererad karta.tif", "A 27342-2022")</f>
        <v/>
      </c>
      <c r="AA72">
        <f>HYPERLINK("https://klasma.github.io/Logging_1490/klagomål/A 27342-2022 FSC-klagomål.docx", "A 27342-2022")</f>
        <v/>
      </c>
      <c r="AB72">
        <f>HYPERLINK("https://klasma.github.io/Logging_1490/klagomålsmail/A 27342-2022 FSC-klagomål mail.docx", "A 27342-2022")</f>
        <v/>
      </c>
      <c r="AC72">
        <f>HYPERLINK("https://klasma.github.io/Logging_1490/tillsyn/A 27342-2022 tillsynsbegäran.docx", "A 27342-2022")</f>
        <v/>
      </c>
      <c r="AD72">
        <f>HYPERLINK("https://klasma.github.io/Logging_1490/tillsynsmail/A 27342-2022 tillsynsbegäran mail.docx", "A 27342-2022")</f>
        <v/>
      </c>
      <c r="AE72">
        <f>HYPERLINK("https://klasma.github.io/Logging_1490/fåglar/A 27342-2022 prioriterade fågelarter.docx", "A 27342-2022")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46303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38108-2026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46303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HYPERLINK("https://klasma.github.io/Logging_1490/artfynd/A 38108-2026 artfynd.xlsx", "A 38108-2026")</f>
        <v/>
      </c>
      <c r="X74">
        <f>HYPERLINK("https://klasma.github.io/Logging_1490/kartor/A 38108-2026 karta.png", "A 38108-2026")</f>
        <v/>
      </c>
      <c r="Y74">
        <f>HYPERLINK("https://klasma.github.io/Logging_1490/kartor_geotiff/A 38108-2026 georefererad karta.tif", "A 38108-2026")</f>
        <v/>
      </c>
      <c r="AA74">
        <f>HYPERLINK("https://klasma.github.io/Logging_1490/klagomål/A 38108-2026 FSC-klagomål.docx", "A 38108-2026")</f>
        <v/>
      </c>
      <c r="AB74">
        <f>HYPERLINK("https://klasma.github.io/Logging_1490/klagomålsmail/A 38108-2026 FSC-klagomål mail.docx", "A 38108-2026")</f>
        <v/>
      </c>
      <c r="AC74">
        <f>HYPERLINK("https://klasma.github.io/Logging_1490/tillsyn/A 38108-2026 tillsynsbegäran.docx", "A 38108-2026")</f>
        <v/>
      </c>
      <c r="AD74">
        <f>HYPERLINK("https://klasma.github.io/Logging_1490/tillsynsmail/A 38108-2026 tillsynsbegäran mail.docx", "A 38108-2026")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46303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46303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46303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46303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3610-2022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44586</v>
      </c>
      <c r="E79" s="1" t="n">
        <v>46303</v>
      </c>
      <c r="F79" t="inlineStr">
        <is>
          <t>VÄSTRA GÖTALANDS LÄN</t>
        </is>
      </c>
      <c r="G79" t="inlineStr">
        <is>
          <t>BORÅS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46303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46303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46303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46303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46303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46303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46303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46303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46303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46303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46303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46303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46303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46303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46303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46303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46303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46303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46303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46303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46303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46303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46303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46303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44605</v>
      </c>
      <c r="E104" s="1" t="n">
        <v>46303</v>
      </c>
      <c r="F104" t="inlineStr">
        <is>
          <t>VÄSTRA GÖTALANDS LÄN</t>
        </is>
      </c>
      <c r="G104" t="inlineStr">
        <is>
          <t>BORÅS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46303</v>
      </c>
      <c r="F105" t="inlineStr">
        <is>
          <t>VÄSTRA GÖTALANDS LÄN</t>
        </is>
      </c>
      <c r="G105" t="inlineStr">
        <is>
          <t>BORÅS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46303</v>
      </c>
      <c r="F106" t="inlineStr">
        <is>
          <t>VÄSTRA GÖTALANDS LÄN</t>
        </is>
      </c>
      <c r="G106" t="inlineStr">
        <is>
          <t>BORÅS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46303</v>
      </c>
      <c r="F107" t="inlineStr">
        <is>
          <t>VÄSTRA GÖTALANDS LÄN</t>
        </is>
      </c>
      <c r="G107" t="inlineStr">
        <is>
          <t>BORÅS</t>
        </is>
      </c>
      <c r="I107" t="n">
        <v>11.3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46303</v>
      </c>
      <c r="F108" t="inlineStr">
        <is>
          <t>VÄSTRA GÖTALANDS LÄN</t>
        </is>
      </c>
      <c r="G108" t="inlineStr">
        <is>
          <t>BORÅS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46303</v>
      </c>
      <c r="F109" t="inlineStr">
        <is>
          <t>VÄSTRA GÖTALANDS LÄN</t>
        </is>
      </c>
      <c r="G109" t="inlineStr">
        <is>
          <t>BORÅS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46303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46303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45225</v>
      </c>
      <c r="E112" s="1" t="n">
        <v>46303</v>
      </c>
      <c r="F112" t="inlineStr">
        <is>
          <t>VÄSTRA GÖTALANDS LÄN</t>
        </is>
      </c>
      <c r="G112" t="inlineStr">
        <is>
          <t>BORÅS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46303</v>
      </c>
      <c r="F113" t="inlineStr">
        <is>
          <t>VÄSTRA GÖTALANDS LÄN</t>
        </is>
      </c>
      <c r="G113" t="inlineStr">
        <is>
          <t>BORÅS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45510</v>
      </c>
      <c r="E114" s="1" t="n">
        <v>46303</v>
      </c>
      <c r="F114" t="inlineStr">
        <is>
          <t>VÄSTRA GÖTALANDS LÄN</t>
        </is>
      </c>
      <c r="G114" t="inlineStr">
        <is>
          <t>BORÅS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44673</v>
      </c>
      <c r="E115" s="1" t="n">
        <v>46303</v>
      </c>
      <c r="F115" t="inlineStr">
        <is>
          <t>VÄSTRA GÖTALANDS LÄN</t>
        </is>
      </c>
      <c r="G115" t="inlineStr">
        <is>
          <t>BORÅS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44642</v>
      </c>
      <c r="E116" s="1" t="n">
        <v>46303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46303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46303</v>
      </c>
      <c r="F118" t="inlineStr">
        <is>
          <t>VÄSTRA GÖTALANDS LÄN</t>
        </is>
      </c>
      <c r="G118" t="inlineStr">
        <is>
          <t>BORÅS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52307-2022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44873</v>
      </c>
      <c r="E119" s="1" t="n">
        <v>46303</v>
      </c>
      <c r="F119" t="inlineStr">
        <is>
          <t>VÄSTRA GÖTALANDS LÄN</t>
        </is>
      </c>
      <c r="G119" t="inlineStr">
        <is>
          <t>BORÅS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45412</v>
      </c>
      <c r="E120" s="1" t="n">
        <v>46303</v>
      </c>
      <c r="F120" t="inlineStr">
        <is>
          <t>VÄSTRA GÖTALANDS LÄN</t>
        </is>
      </c>
      <c r="G120" t="inlineStr">
        <is>
          <t>BORÅS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19482-2023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45050</v>
      </c>
      <c r="E121" s="1" t="n">
        <v>46303</v>
      </c>
      <c r="F121" t="inlineStr">
        <is>
          <t>VÄSTRA GÖTALANDS LÄN</t>
        </is>
      </c>
      <c r="G121" t="inlineStr">
        <is>
          <t>BORÅS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46303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44565</v>
      </c>
      <c r="E123" s="1" t="n">
        <v>46303</v>
      </c>
      <c r="F123" t="inlineStr">
        <is>
          <t>VÄSTRA GÖTALANDS LÄN</t>
        </is>
      </c>
      <c r="G123" t="inlineStr">
        <is>
          <t>BORÅS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46303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45194</v>
      </c>
      <c r="E125" s="1" t="n">
        <v>46303</v>
      </c>
      <c r="F125" t="inlineStr">
        <is>
          <t>VÄSTRA GÖTALANDS LÄN</t>
        </is>
      </c>
      <c r="G125" t="inlineStr">
        <is>
          <t>BORÅS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45273</v>
      </c>
      <c r="E126" s="1" t="n">
        <v>46303</v>
      </c>
      <c r="F126" t="inlineStr">
        <is>
          <t>VÄSTRA GÖTALANDS LÄN</t>
        </is>
      </c>
      <c r="G126" t="inlineStr">
        <is>
          <t>BORÅS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46303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46303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46303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46303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46303</v>
      </c>
      <c r="F131" t="inlineStr">
        <is>
          <t>VÄSTRA GÖTALANDS LÄN</t>
        </is>
      </c>
      <c r="G131" t="inlineStr">
        <is>
          <t>BORÅS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45053</v>
      </c>
      <c r="E132" s="1" t="n">
        <v>46303</v>
      </c>
      <c r="F132" t="inlineStr">
        <is>
          <t>VÄSTRA GÖTALANDS LÄN</t>
        </is>
      </c>
      <c r="G132" t="inlineStr">
        <is>
          <t>BORÅS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45776</v>
      </c>
      <c r="E133" s="1" t="n">
        <v>46303</v>
      </c>
      <c r="F133" t="inlineStr">
        <is>
          <t>VÄSTRA GÖTALANDS LÄN</t>
        </is>
      </c>
      <c r="G133" t="inlineStr">
        <is>
          <t>BORÅS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46303</v>
      </c>
      <c r="F134" t="inlineStr">
        <is>
          <t>VÄSTRA GÖTALANDS LÄN</t>
        </is>
      </c>
      <c r="G134" t="inlineStr">
        <is>
          <t>BORÅS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45782</v>
      </c>
      <c r="E135" s="1" t="n">
        <v>46303</v>
      </c>
      <c r="F135" t="inlineStr">
        <is>
          <t>VÄSTRA GÖTALANDS LÄN</t>
        </is>
      </c>
      <c r="G135" t="inlineStr">
        <is>
          <t>BORÅS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46303</v>
      </c>
      <c r="F136" t="inlineStr">
        <is>
          <t>VÄSTRA GÖTALANDS LÄN</t>
        </is>
      </c>
      <c r="G136" t="inlineStr">
        <is>
          <t>BORÅS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46303</v>
      </c>
      <c r="F137" t="inlineStr">
        <is>
          <t>VÄSTRA GÖTALANDS LÄN</t>
        </is>
      </c>
      <c r="G137" t="inlineStr">
        <is>
          <t>BORÅS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45784</v>
      </c>
      <c r="E138" s="1" t="n">
        <v>46303</v>
      </c>
      <c r="F138" t="inlineStr">
        <is>
          <t>VÄSTRA GÖTALANDS LÄN</t>
        </is>
      </c>
      <c r="G138" t="inlineStr">
        <is>
          <t>BORÅS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45783</v>
      </c>
      <c r="E139" s="1" t="n">
        <v>46303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45783</v>
      </c>
      <c r="E140" s="1" t="n">
        <v>46303</v>
      </c>
      <c r="F140" t="inlineStr">
        <is>
          <t>VÄSTRA GÖTALANDS LÄN</t>
        </is>
      </c>
      <c r="G140" t="inlineStr">
        <is>
          <t>BORÅS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46303</v>
      </c>
      <c r="F141" t="inlineStr">
        <is>
          <t>VÄSTRA GÖTALANDS LÄN</t>
        </is>
      </c>
      <c r="G141" t="inlineStr">
        <is>
          <t>BORÅS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46303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46303</v>
      </c>
      <c r="F143" t="inlineStr">
        <is>
          <t>VÄSTRA GÖTALANDS LÄN</t>
        </is>
      </c>
      <c r="G143" t="inlineStr">
        <is>
          <t>BORÅS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46303</v>
      </c>
      <c r="F144" t="inlineStr">
        <is>
          <t>VÄSTRA GÖTALANDS LÄN</t>
        </is>
      </c>
      <c r="G144" t="inlineStr">
        <is>
          <t>BORÅS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46303</v>
      </c>
      <c r="F145" t="inlineStr">
        <is>
          <t>VÄSTRA GÖTALANDS LÄN</t>
        </is>
      </c>
      <c r="G145" t="inlineStr">
        <is>
          <t>BORÅS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46303</v>
      </c>
      <c r="F146" t="inlineStr">
        <is>
          <t>VÄSTRA GÖTALANDS LÄN</t>
        </is>
      </c>
      <c r="G146" t="inlineStr">
        <is>
          <t>BORÅS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46303</v>
      </c>
      <c r="F147" t="inlineStr">
        <is>
          <t>VÄSTRA GÖTALANDS LÄN</t>
        </is>
      </c>
      <c r="G147" t="inlineStr">
        <is>
          <t>BORÅS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46303</v>
      </c>
      <c r="F148" t="inlineStr">
        <is>
          <t>VÄSTRA GÖTALANDS LÄN</t>
        </is>
      </c>
      <c r="G148" t="inlineStr">
        <is>
          <t>BORÅS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46303</v>
      </c>
      <c r="F149" t="inlineStr">
        <is>
          <t>VÄSTRA GÖTALANDS LÄN</t>
        </is>
      </c>
      <c r="G149" t="inlineStr">
        <is>
          <t>BORÅS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45044</v>
      </c>
      <c r="E150" s="1" t="n">
        <v>46303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45789</v>
      </c>
      <c r="E151" s="1" t="n">
        <v>46303</v>
      </c>
      <c r="F151" t="inlineStr">
        <is>
          <t>VÄSTRA GÖTALANDS LÄN</t>
        </is>
      </c>
      <c r="G151" t="inlineStr">
        <is>
          <t>BORÅS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46303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46303</v>
      </c>
      <c r="F153" t="inlineStr">
        <is>
          <t>VÄSTRA GÖTALANDS LÄN</t>
        </is>
      </c>
      <c r="G153" t="inlineStr">
        <is>
          <t>BORÅS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46303</v>
      </c>
      <c r="F154" t="inlineStr">
        <is>
          <t>VÄSTRA GÖTALANDS LÄN</t>
        </is>
      </c>
      <c r="G154" t="inlineStr">
        <is>
          <t>BORÅS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46303</v>
      </c>
      <c r="F155" t="inlineStr">
        <is>
          <t>VÄSTRA GÖTALANDS LÄN</t>
        </is>
      </c>
      <c r="G155" t="inlineStr">
        <is>
          <t>BORÅS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46303</v>
      </c>
      <c r="F156" t="inlineStr">
        <is>
          <t>VÄSTRA GÖTALANDS LÄN</t>
        </is>
      </c>
      <c r="G156" t="inlineStr">
        <is>
          <t>BORÅS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45646</v>
      </c>
      <c r="E157" s="1" t="n">
        <v>46303</v>
      </c>
      <c r="F157" t="inlineStr">
        <is>
          <t>VÄSTRA GÖTALANDS LÄN</t>
        </is>
      </c>
      <c r="G157" t="inlineStr">
        <is>
          <t>BORÅS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46303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46303</v>
      </c>
      <c r="F159" t="inlineStr">
        <is>
          <t>VÄSTRA GÖTALANDS LÄN</t>
        </is>
      </c>
      <c r="G159" t="inlineStr">
        <is>
          <t>BORÅS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45142</v>
      </c>
      <c r="E160" s="1" t="n">
        <v>46303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46303</v>
      </c>
      <c r="F161" t="inlineStr">
        <is>
          <t>VÄSTRA GÖTALANDS LÄN</t>
        </is>
      </c>
      <c r="G161" t="inlineStr">
        <is>
          <t>BORÅS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46303</v>
      </c>
      <c r="F162" t="inlineStr">
        <is>
          <t>VÄSTRA GÖTALANDS LÄN</t>
        </is>
      </c>
      <c r="G162" t="inlineStr">
        <is>
          <t>BORÅS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46303</v>
      </c>
      <c r="F163" t="inlineStr">
        <is>
          <t>VÄSTRA GÖTALANDS LÄN</t>
        </is>
      </c>
      <c r="G163" t="inlineStr">
        <is>
          <t>BORÅS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46303</v>
      </c>
      <c r="F164" t="inlineStr">
        <is>
          <t>VÄSTRA GÖTALANDS LÄN</t>
        </is>
      </c>
      <c r="G164" t="inlineStr">
        <is>
          <t>BORÅS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46303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46303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44916</v>
      </c>
      <c r="E167" s="1" t="n">
        <v>46303</v>
      </c>
      <c r="F167" t="inlineStr">
        <is>
          <t>VÄSTRA GÖTALANDS LÄN</t>
        </is>
      </c>
      <c r="G167" t="inlineStr">
        <is>
          <t>BORÅS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46303</v>
      </c>
      <c r="F168" t="inlineStr">
        <is>
          <t>VÄSTRA GÖTALANDS LÄN</t>
        </is>
      </c>
      <c r="G168" t="inlineStr">
        <is>
          <t>BORÅS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46303</v>
      </c>
      <c r="F169" t="inlineStr">
        <is>
          <t>VÄSTRA GÖTALANDS LÄN</t>
        </is>
      </c>
      <c r="G169" t="inlineStr">
        <is>
          <t>BORÅS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46303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46303</v>
      </c>
      <c r="F171" t="inlineStr">
        <is>
          <t>VÄSTRA GÖTALANDS LÄN</t>
        </is>
      </c>
      <c r="G171" t="inlineStr">
        <is>
          <t>BORÅS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46303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46303</v>
      </c>
      <c r="F173" t="inlineStr">
        <is>
          <t>VÄSTRA GÖTALANDS LÄN</t>
        </is>
      </c>
      <c r="G173" t="inlineStr">
        <is>
          <t>BORÅS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46303</v>
      </c>
      <c r="F174" t="inlineStr">
        <is>
          <t>VÄSTRA GÖTALANDS LÄN</t>
        </is>
      </c>
      <c r="G174" t="inlineStr">
        <is>
          <t>BORÅS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45379</v>
      </c>
      <c r="E175" s="1" t="n">
        <v>46303</v>
      </c>
      <c r="F175" t="inlineStr">
        <is>
          <t>VÄSTRA GÖTALANDS LÄN</t>
        </is>
      </c>
      <c r="G175" t="inlineStr">
        <is>
          <t>BORÅS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46303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Kommuner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45062</v>
      </c>
      <c r="E177" s="1" t="n">
        <v>46303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58771-2021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46303</v>
      </c>
      <c r="F178" t="inlineStr">
        <is>
          <t>VÄSTRA GÖTALANDS LÄN</t>
        </is>
      </c>
      <c r="G178" t="inlineStr">
        <is>
          <t>BORÅS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46303</v>
      </c>
      <c r="F179" t="inlineStr">
        <is>
          <t>VÄSTRA GÖTALANDS LÄN</t>
        </is>
      </c>
      <c r="G179" t="inlineStr">
        <is>
          <t>BORÅS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46303</v>
      </c>
      <c r="F180" t="inlineStr">
        <is>
          <t>VÄSTRA GÖTALANDS LÄN</t>
        </is>
      </c>
      <c r="G180" t="inlineStr">
        <is>
          <t>BORÅS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46303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46303</v>
      </c>
      <c r="F182" t="inlineStr">
        <is>
          <t>VÄSTRA GÖTALANDS LÄN</t>
        </is>
      </c>
      <c r="G182" t="inlineStr">
        <is>
          <t>BORÅS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46303</v>
      </c>
      <c r="F183" t="inlineStr">
        <is>
          <t>VÄSTRA GÖTALANDS LÄN</t>
        </is>
      </c>
      <c r="G183" t="inlineStr">
        <is>
          <t>BORÅS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46303</v>
      </c>
      <c r="F184" t="inlineStr">
        <is>
          <t>VÄSTRA GÖTALANDS LÄN</t>
        </is>
      </c>
      <c r="G184" t="inlineStr">
        <is>
          <t>BORÅS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46303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46303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46303</v>
      </c>
      <c r="F187" t="inlineStr">
        <is>
          <t>VÄSTRA GÖTALANDS LÄN</t>
        </is>
      </c>
      <c r="G187" t="inlineStr">
        <is>
          <t>BORÅS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72566-2021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44546</v>
      </c>
      <c r="E188" s="1" t="n">
        <v>46303</v>
      </c>
      <c r="F188" t="inlineStr">
        <is>
          <t>VÄSTRA GÖTALANDS LÄN</t>
        </is>
      </c>
      <c r="G188" t="inlineStr">
        <is>
          <t>BORÅS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44837</v>
      </c>
      <c r="E189" s="1" t="n">
        <v>46303</v>
      </c>
      <c r="F189" t="inlineStr">
        <is>
          <t>VÄSTRA GÖTALANDS LÄN</t>
        </is>
      </c>
      <c r="G189" t="inlineStr">
        <is>
          <t>BORÅS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45120</v>
      </c>
      <c r="E190" s="1" t="n">
        <v>46303</v>
      </c>
      <c r="F190" t="inlineStr">
        <is>
          <t>VÄSTRA GÖTALANDS LÄN</t>
        </is>
      </c>
      <c r="G190" t="inlineStr">
        <is>
          <t>BORÅS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46303</v>
      </c>
      <c r="F191" t="inlineStr">
        <is>
          <t>VÄSTRA GÖTALANDS LÄN</t>
        </is>
      </c>
      <c r="G191" t="inlineStr">
        <is>
          <t>BORÅS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32482-2023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45120</v>
      </c>
      <c r="E192" s="1" t="n">
        <v>46303</v>
      </c>
      <c r="F192" t="inlineStr">
        <is>
          <t>VÄSTRA GÖTALANDS LÄN</t>
        </is>
      </c>
      <c r="G192" t="inlineStr">
        <is>
          <t>BORÅS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45120</v>
      </c>
      <c r="E193" s="1" t="n">
        <v>46303</v>
      </c>
      <c r="F193" t="inlineStr">
        <is>
          <t>VÄSTRA GÖTALANDS LÄN</t>
        </is>
      </c>
      <c r="G193" t="inlineStr">
        <is>
          <t>BORÅS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46303</v>
      </c>
      <c r="F194" t="inlineStr">
        <is>
          <t>VÄSTRA GÖTALANDS LÄN</t>
        </is>
      </c>
      <c r="G194" t="inlineStr">
        <is>
          <t>BORÅS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46303</v>
      </c>
      <c r="F195" t="inlineStr">
        <is>
          <t>VÄSTRA GÖTALANDS LÄN</t>
        </is>
      </c>
      <c r="G195" t="inlineStr">
        <is>
          <t>BORÅS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46303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46303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46303</v>
      </c>
      <c r="F198" t="inlineStr">
        <is>
          <t>VÄSTRA GÖTALANDS LÄN</t>
        </is>
      </c>
      <c r="G198" t="inlineStr">
        <is>
          <t>BORÅS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46303</v>
      </c>
      <c r="F199" t="inlineStr">
        <is>
          <t>VÄSTRA GÖTALANDS LÄN</t>
        </is>
      </c>
      <c r="G199" t="inlineStr">
        <is>
          <t>BORÅS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46303</v>
      </c>
      <c r="F200" t="inlineStr">
        <is>
          <t>VÄSTRA GÖTALANDS LÄN</t>
        </is>
      </c>
      <c r="G200" t="inlineStr">
        <is>
          <t>BORÅS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46303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45772</v>
      </c>
      <c r="E202" s="1" t="n">
        <v>46303</v>
      </c>
      <c r="F202" t="inlineStr">
        <is>
          <t>VÄSTRA GÖTALANDS LÄN</t>
        </is>
      </c>
      <c r="G202" t="inlineStr">
        <is>
          <t>BORÅS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45812</v>
      </c>
      <c r="E203" s="1" t="n">
        <v>46303</v>
      </c>
      <c r="F203" t="inlineStr">
        <is>
          <t>VÄSTRA GÖTALANDS LÄN</t>
        </is>
      </c>
      <c r="G203" t="inlineStr">
        <is>
          <t>BORÅS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46303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Kommuner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46303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44577</v>
      </c>
      <c r="E206" s="1" t="n">
        <v>46303</v>
      </c>
      <c r="F206" t="inlineStr">
        <is>
          <t>VÄSTRA GÖTALANDS LÄN</t>
        </is>
      </c>
      <c r="G206" t="inlineStr">
        <is>
          <t>BORÅS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46303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Kommuner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46303</v>
      </c>
      <c r="F208" t="inlineStr">
        <is>
          <t>VÄSTRA GÖTALANDS LÄN</t>
        </is>
      </c>
      <c r="G208" t="inlineStr">
        <is>
          <t>BORÅS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46303</v>
      </c>
      <c r="F209" t="inlineStr">
        <is>
          <t>VÄSTRA GÖTALANDS LÄN</t>
        </is>
      </c>
      <c r="G209" t="inlineStr">
        <is>
          <t>BORÅS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46303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46303</v>
      </c>
      <c r="F211" t="inlineStr">
        <is>
          <t>VÄSTRA GÖTALANDS LÄN</t>
        </is>
      </c>
      <c r="G211" t="inlineStr">
        <is>
          <t>BORÅS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46303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46303</v>
      </c>
      <c r="F213" t="inlineStr">
        <is>
          <t>VÄSTRA GÖTALANDS LÄN</t>
        </is>
      </c>
      <c r="G213" t="inlineStr">
        <is>
          <t>BORÅS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45545</v>
      </c>
      <c r="E214" s="1" t="n">
        <v>46303</v>
      </c>
      <c r="F214" t="inlineStr">
        <is>
          <t>VÄSTRA GÖTALANDS LÄN</t>
        </is>
      </c>
      <c r="G214" t="inlineStr">
        <is>
          <t>BORÅS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46303</v>
      </c>
      <c r="F215" t="inlineStr">
        <is>
          <t>VÄSTRA GÖTALANDS LÄN</t>
        </is>
      </c>
      <c r="G215" t="inlineStr">
        <is>
          <t>BORÅS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13436-2025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45735</v>
      </c>
      <c r="E216" s="1" t="n">
        <v>46303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45294</v>
      </c>
      <c r="E217" s="1" t="n">
        <v>46303</v>
      </c>
      <c r="F217" t="inlineStr">
        <is>
          <t>VÄSTRA GÖTALANDS LÄN</t>
        </is>
      </c>
      <c r="G217" t="inlineStr">
        <is>
          <t>BORÅS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46303</v>
      </c>
      <c r="F218" t="inlineStr">
        <is>
          <t>VÄSTRA GÖTALANDS LÄN</t>
        </is>
      </c>
      <c r="G218" t="inlineStr">
        <is>
          <t>BORÅS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46303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Kyrkan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45472</v>
      </c>
      <c r="E220" s="1" t="n">
        <v>46303</v>
      </c>
      <c r="F220" t="inlineStr">
        <is>
          <t>VÄSTRA GÖTALANDS LÄN</t>
        </is>
      </c>
      <c r="G220" t="inlineStr">
        <is>
          <t>BORÅS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45821</v>
      </c>
      <c r="E221" s="1" t="n">
        <v>46303</v>
      </c>
      <c r="F221" t="inlineStr">
        <is>
          <t>VÄSTRA GÖTALANDS LÄN</t>
        </is>
      </c>
      <c r="G221" t="inlineStr">
        <is>
          <t>BORÅS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46303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45823</v>
      </c>
      <c r="E223" s="1" t="n">
        <v>46303</v>
      </c>
      <c r="F223" t="inlineStr">
        <is>
          <t>VÄSTRA GÖTALANDS LÄN</t>
        </is>
      </c>
      <c r="G223" t="inlineStr">
        <is>
          <t>BORÅS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46303</v>
      </c>
      <c r="F224" t="inlineStr">
        <is>
          <t>VÄSTRA GÖTALANDS LÄN</t>
        </is>
      </c>
      <c r="G224" t="inlineStr">
        <is>
          <t>BORÅS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46303</v>
      </c>
      <c r="F225" t="inlineStr">
        <is>
          <t>VÄSTRA GÖTALANDS LÄN</t>
        </is>
      </c>
      <c r="G225" t="inlineStr">
        <is>
          <t>BORÅS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46303</v>
      </c>
      <c r="F226" t="inlineStr">
        <is>
          <t>VÄSTRA GÖTALANDS LÄN</t>
        </is>
      </c>
      <c r="G226" t="inlineStr">
        <is>
          <t>BORÅS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46303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46303</v>
      </c>
      <c r="F228" t="inlineStr">
        <is>
          <t>VÄSTRA GÖTALANDS LÄN</t>
        </is>
      </c>
      <c r="G228" t="inlineStr">
        <is>
          <t>BORÅS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46303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46303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46303</v>
      </c>
      <c r="F231" t="inlineStr">
        <is>
          <t>VÄSTRA GÖTALANDS LÄN</t>
        </is>
      </c>
      <c r="G231" t="inlineStr">
        <is>
          <t>BORÅS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46303</v>
      </c>
      <c r="F232" t="inlineStr">
        <is>
          <t>VÄSTRA GÖTALANDS LÄN</t>
        </is>
      </c>
      <c r="G232" t="inlineStr">
        <is>
          <t>BORÅS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46303</v>
      </c>
      <c r="F233" t="inlineStr">
        <is>
          <t>VÄSTRA GÖTALANDS LÄN</t>
        </is>
      </c>
      <c r="G233" t="inlineStr">
        <is>
          <t>BORÅS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30312-2025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45827</v>
      </c>
      <c r="E234" s="1" t="n">
        <v>46303</v>
      </c>
      <c r="F234" t="inlineStr">
        <is>
          <t>VÄSTRA GÖTALANDS LÄN</t>
        </is>
      </c>
      <c r="G234" t="inlineStr">
        <is>
          <t>BORÅS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46303</v>
      </c>
      <c r="F235" t="inlineStr">
        <is>
          <t>VÄSTRA GÖTALANDS LÄN</t>
        </is>
      </c>
      <c r="G235" t="inlineStr">
        <is>
          <t>BORÅS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45316</v>
      </c>
      <c r="E236" s="1" t="n">
        <v>46303</v>
      </c>
      <c r="F236" t="inlineStr">
        <is>
          <t>VÄSTRA GÖTALANDS LÄN</t>
        </is>
      </c>
      <c r="G236" t="inlineStr">
        <is>
          <t>BORÅS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46303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46303</v>
      </c>
      <c r="F238" t="inlineStr">
        <is>
          <t>VÄSTRA GÖTALANDS LÄN</t>
        </is>
      </c>
      <c r="G238" t="inlineStr">
        <is>
          <t>BORÅS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46303</v>
      </c>
      <c r="F239" t="inlineStr">
        <is>
          <t>VÄSTRA GÖTALANDS LÄN</t>
        </is>
      </c>
      <c r="G239" t="inlineStr">
        <is>
          <t>BORÅS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46303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46303</v>
      </c>
      <c r="F241" t="inlineStr">
        <is>
          <t>VÄSTRA GÖTALANDS LÄN</t>
        </is>
      </c>
      <c r="G241" t="inlineStr">
        <is>
          <t>BORÅS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46303</v>
      </c>
      <c r="F242" t="inlineStr">
        <is>
          <t>VÄSTRA GÖTALANDS LÄN</t>
        </is>
      </c>
      <c r="G242" t="inlineStr">
        <is>
          <t>BORÅS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46303</v>
      </c>
      <c r="F243" t="inlineStr">
        <is>
          <t>VÄSTRA GÖTALANDS LÄN</t>
        </is>
      </c>
      <c r="G243" t="inlineStr">
        <is>
          <t>BORÅS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45593</v>
      </c>
      <c r="E244" s="1" t="n">
        <v>46303</v>
      </c>
      <c r="F244" t="inlineStr">
        <is>
          <t>VÄSTRA GÖTALANDS LÄN</t>
        </is>
      </c>
      <c r="G244" t="inlineStr">
        <is>
          <t>BORÅS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45836</v>
      </c>
      <c r="E245" s="1" t="n">
        <v>46303</v>
      </c>
      <c r="F245" t="inlineStr">
        <is>
          <t>VÄSTRA GÖTALANDS LÄN</t>
        </is>
      </c>
      <c r="G245" t="inlineStr">
        <is>
          <t>BORÅS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45836</v>
      </c>
      <c r="E246" s="1" t="n">
        <v>46303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11362-2022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44630</v>
      </c>
      <c r="E247" s="1" t="n">
        <v>46303</v>
      </c>
      <c r="F247" t="inlineStr">
        <is>
          <t>VÄSTRA GÖTALANDS LÄN</t>
        </is>
      </c>
      <c r="G247" t="inlineStr">
        <is>
          <t>BORÅS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45321</v>
      </c>
      <c r="E248" s="1" t="n">
        <v>46303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46303</v>
      </c>
      <c r="F249" t="inlineStr">
        <is>
          <t>VÄSTRA GÖTALANDS LÄN</t>
        </is>
      </c>
      <c r="G249" t="inlineStr">
        <is>
          <t>BORÅS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45839</v>
      </c>
      <c r="E250" s="1" t="n">
        <v>46303</v>
      </c>
      <c r="F250" t="inlineStr">
        <is>
          <t>VÄSTRA GÖTALANDS LÄN</t>
        </is>
      </c>
      <c r="G250" t="inlineStr">
        <is>
          <t>BORÅS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46303</v>
      </c>
      <c r="F251" t="inlineStr">
        <is>
          <t>VÄSTRA GÖTALANDS LÄN</t>
        </is>
      </c>
      <c r="G251" t="inlineStr">
        <is>
          <t>BORÅS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46303</v>
      </c>
      <c r="F252" t="inlineStr">
        <is>
          <t>VÄSTRA GÖTALANDS LÄN</t>
        </is>
      </c>
      <c r="G252" t="inlineStr">
        <is>
          <t>BORÅS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45803</v>
      </c>
      <c r="E253" s="1" t="n">
        <v>46303</v>
      </c>
      <c r="F253" t="inlineStr">
        <is>
          <t>VÄSTRA GÖTALANDS LÄN</t>
        </is>
      </c>
      <c r="G253" t="inlineStr">
        <is>
          <t>BORÅS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44858</v>
      </c>
      <c r="E254" s="1" t="n">
        <v>46303</v>
      </c>
      <c r="F254" t="inlineStr">
        <is>
          <t>VÄSTRA GÖTALANDS LÄN</t>
        </is>
      </c>
      <c r="G254" t="inlineStr">
        <is>
          <t>BORÅS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46303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Kommuner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46303</v>
      </c>
      <c r="F256" t="inlineStr">
        <is>
          <t>VÄSTRA GÖTALANDS LÄN</t>
        </is>
      </c>
      <c r="G256" t="inlineStr">
        <is>
          <t>BORÅS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44888</v>
      </c>
      <c r="E257" s="1" t="n">
        <v>46303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Kyrkan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45839</v>
      </c>
      <c r="E258" s="1" t="n">
        <v>46303</v>
      </c>
      <c r="F258" t="inlineStr">
        <is>
          <t>VÄSTRA GÖTALANDS LÄN</t>
        </is>
      </c>
      <c r="G258" t="inlineStr">
        <is>
          <t>BORÅS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46303</v>
      </c>
      <c r="F259" t="inlineStr">
        <is>
          <t>VÄSTRA GÖTALANDS LÄN</t>
        </is>
      </c>
      <c r="G259" t="inlineStr">
        <is>
          <t>BORÅS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8240-2022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44609</v>
      </c>
      <c r="E260" s="1" t="n">
        <v>46303</v>
      </c>
      <c r="F260" t="inlineStr">
        <is>
          <t>VÄSTRA GÖTALANDS LÄN</t>
        </is>
      </c>
      <c r="G260" t="inlineStr">
        <is>
          <t>BORÅS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46303</v>
      </c>
      <c r="F261" t="inlineStr">
        <is>
          <t>VÄSTRA GÖTALANDS LÄN</t>
        </is>
      </c>
      <c r="G261" t="inlineStr">
        <is>
          <t>BORÅS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46303</v>
      </c>
      <c r="F262" t="inlineStr">
        <is>
          <t>VÄSTRA GÖTALANDS LÄN</t>
        </is>
      </c>
      <c r="G262" t="inlineStr">
        <is>
          <t>BORÅS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46303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65064-2021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46303</v>
      </c>
      <c r="F264" t="inlineStr">
        <is>
          <t>VÄSTRA GÖTALANDS LÄN</t>
        </is>
      </c>
      <c r="G264" t="inlineStr">
        <is>
          <t>BORÅS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32237-2023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46303</v>
      </c>
      <c r="F265" t="inlineStr">
        <is>
          <t>VÄSTRA GÖTALANDS LÄN</t>
        </is>
      </c>
      <c r="G265" t="inlineStr">
        <is>
          <t>BORÅS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46303</v>
      </c>
      <c r="F266" t="inlineStr">
        <is>
          <t>VÄSTRA GÖTALANDS LÄN</t>
        </is>
      </c>
      <c r="G266" t="inlineStr">
        <is>
          <t>BORÅS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46303</v>
      </c>
      <c r="F267" t="inlineStr">
        <is>
          <t>VÄSTRA GÖTALANDS LÄN</t>
        </is>
      </c>
      <c r="G267" t="inlineStr">
        <is>
          <t>BORÅS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46303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46303</v>
      </c>
      <c r="F269" t="inlineStr">
        <is>
          <t>VÄSTRA GÖTALANDS LÄN</t>
        </is>
      </c>
      <c r="G269" t="inlineStr">
        <is>
          <t>BORÅS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44639</v>
      </c>
      <c r="E270" s="1" t="n">
        <v>46303</v>
      </c>
      <c r="F270" t="inlineStr">
        <is>
          <t>VÄSTRA GÖTALANDS LÄN</t>
        </is>
      </c>
      <c r="G270" t="inlineStr">
        <is>
          <t>BORÅS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46303</v>
      </c>
      <c r="F271" t="inlineStr">
        <is>
          <t>VÄSTRA GÖTALANDS LÄN</t>
        </is>
      </c>
      <c r="G271" t="inlineStr">
        <is>
          <t>BORÅS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73822-2021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44552</v>
      </c>
      <c r="E272" s="1" t="n">
        <v>46303</v>
      </c>
      <c r="F272" t="inlineStr">
        <is>
          <t>VÄSTRA GÖTALANDS LÄN</t>
        </is>
      </c>
      <c r="G272" t="inlineStr">
        <is>
          <t>BORÅS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46303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46303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46303</v>
      </c>
      <c r="F275" t="inlineStr">
        <is>
          <t>VÄSTRA GÖTALANDS LÄN</t>
        </is>
      </c>
      <c r="G275" t="inlineStr">
        <is>
          <t>BORÅS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46303</v>
      </c>
      <c r="F276" t="inlineStr">
        <is>
          <t>VÄSTRA GÖTALANDS LÄN</t>
        </is>
      </c>
      <c r="G276" t="inlineStr">
        <is>
          <t>BORÅS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44581</v>
      </c>
      <c r="E277" s="1" t="n">
        <v>46303</v>
      </c>
      <c r="F277" t="inlineStr">
        <is>
          <t>VÄSTRA GÖTALANDS LÄN</t>
        </is>
      </c>
      <c r="G277" t="inlineStr">
        <is>
          <t>BORÅS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46303</v>
      </c>
      <c r="F278" t="inlineStr">
        <is>
          <t>VÄSTRA GÖTALANDS LÄN</t>
        </is>
      </c>
      <c r="G278" t="inlineStr">
        <is>
          <t>BORÅS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46303</v>
      </c>
      <c r="F279" t="inlineStr">
        <is>
          <t>VÄSTRA GÖTALANDS LÄN</t>
        </is>
      </c>
      <c r="G279" t="inlineStr">
        <is>
          <t>BORÅS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72806-2021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44547</v>
      </c>
      <c r="E280" s="1" t="n">
        <v>46303</v>
      </c>
      <c r="F280" t="inlineStr">
        <is>
          <t>VÄSTRA GÖTALANDS LÄN</t>
        </is>
      </c>
      <c r="G280" t="inlineStr">
        <is>
          <t>BORÅS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46303</v>
      </c>
      <c r="F281" t="inlineStr">
        <is>
          <t>VÄSTRA GÖTALANDS LÄN</t>
        </is>
      </c>
      <c r="G281" t="inlineStr">
        <is>
          <t>BORÅS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46303</v>
      </c>
      <c r="F282" t="inlineStr">
        <is>
          <t>VÄSTRA GÖTALANDS LÄN</t>
        </is>
      </c>
      <c r="G282" t="inlineStr">
        <is>
          <t>BORÅS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46303</v>
      </c>
      <c r="F283" t="inlineStr">
        <is>
          <t>VÄSTRA GÖTALANDS LÄN</t>
        </is>
      </c>
      <c r="G283" t="inlineStr">
        <is>
          <t>BORÅS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46303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46303</v>
      </c>
      <c r="F285" t="inlineStr">
        <is>
          <t>VÄSTRA GÖTALANDS LÄN</t>
        </is>
      </c>
      <c r="G285" t="inlineStr">
        <is>
          <t>BORÅS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45961</v>
      </c>
      <c r="E286" s="1" t="n">
        <v>46303</v>
      </c>
      <c r="F286" t="inlineStr">
        <is>
          <t>VÄSTRA GÖTALANDS LÄN</t>
        </is>
      </c>
      <c r="G286" t="inlineStr">
        <is>
          <t>BORÅS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46303</v>
      </c>
      <c r="F287" t="inlineStr">
        <is>
          <t>VÄSTRA GÖTALANDS LÄN</t>
        </is>
      </c>
      <c r="G287" t="inlineStr">
        <is>
          <t>BORÅS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53942-2025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45961</v>
      </c>
      <c r="E288" s="1" t="n">
        <v>46303</v>
      </c>
      <c r="F288" t="inlineStr">
        <is>
          <t>VÄSTRA GÖTALANDS LÄN</t>
        </is>
      </c>
      <c r="G288" t="inlineStr">
        <is>
          <t>BORÅS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45671</v>
      </c>
      <c r="E289" s="1" t="n">
        <v>46303</v>
      </c>
      <c r="F289" t="inlineStr">
        <is>
          <t>VÄSTRA GÖTALANDS LÄN</t>
        </is>
      </c>
      <c r="G289" t="inlineStr">
        <is>
          <t>BORÅS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44644</v>
      </c>
      <c r="E290" s="1" t="n">
        <v>46303</v>
      </c>
      <c r="F290" t="inlineStr">
        <is>
          <t>VÄSTRA GÖTALANDS LÄN</t>
        </is>
      </c>
      <c r="G290" t="inlineStr">
        <is>
          <t>BORÅS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27335-2024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45472</v>
      </c>
      <c r="E291" s="1" t="n">
        <v>46303</v>
      </c>
      <c r="F291" t="inlineStr">
        <is>
          <t>VÄSTRA GÖTALANDS LÄN</t>
        </is>
      </c>
      <c r="G291" t="inlineStr">
        <is>
          <t>BORÅS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46303</v>
      </c>
      <c r="F292" t="inlineStr">
        <is>
          <t>VÄSTRA GÖTALANDS LÄN</t>
        </is>
      </c>
      <c r="G292" t="inlineStr">
        <is>
          <t>BORÅS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49672-2023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45212</v>
      </c>
      <c r="E293" s="1" t="n">
        <v>46303</v>
      </c>
      <c r="F293" t="inlineStr">
        <is>
          <t>VÄSTRA GÖTALANDS LÄN</t>
        </is>
      </c>
      <c r="G293" t="inlineStr">
        <is>
          <t>BORÅS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45866</v>
      </c>
      <c r="E294" s="1" t="n">
        <v>46303</v>
      </c>
      <c r="F294" t="inlineStr">
        <is>
          <t>VÄSTRA GÖTALANDS LÄN</t>
        </is>
      </c>
      <c r="G294" t="inlineStr">
        <is>
          <t>BORÅS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45579</v>
      </c>
      <c r="E295" s="1" t="n">
        <v>46303</v>
      </c>
      <c r="F295" t="inlineStr">
        <is>
          <t>VÄSTRA GÖTALANDS LÄN</t>
        </is>
      </c>
      <c r="G295" t="inlineStr">
        <is>
          <t>BORÅS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44910</v>
      </c>
      <c r="E296" s="1" t="n">
        <v>46303</v>
      </c>
      <c r="F296" t="inlineStr">
        <is>
          <t>VÄSTRA GÖTALANDS LÄN</t>
        </is>
      </c>
      <c r="G296" t="inlineStr">
        <is>
          <t>BORÅS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44882</v>
      </c>
      <c r="E297" s="1" t="n">
        <v>46303</v>
      </c>
      <c r="F297" t="inlineStr">
        <is>
          <t>VÄSTRA GÖTALANDS LÄN</t>
        </is>
      </c>
      <c r="G297" t="inlineStr">
        <is>
          <t>BORÅS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46303</v>
      </c>
      <c r="F298" t="inlineStr">
        <is>
          <t>VÄSTRA GÖTALANDS LÄN</t>
        </is>
      </c>
      <c r="G298" t="inlineStr">
        <is>
          <t>BORÅS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45612</v>
      </c>
      <c r="E299" s="1" t="n">
        <v>46303</v>
      </c>
      <c r="F299" t="inlineStr">
        <is>
          <t>VÄSTRA GÖTALANDS LÄN</t>
        </is>
      </c>
      <c r="G299" t="inlineStr">
        <is>
          <t>BORÅS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46303</v>
      </c>
      <c r="F300" t="inlineStr">
        <is>
          <t>VÄSTRA GÖTALANDS LÄN</t>
        </is>
      </c>
      <c r="G300" t="inlineStr">
        <is>
          <t>BORÅS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44639</v>
      </c>
      <c r="E301" s="1" t="n">
        <v>46303</v>
      </c>
      <c r="F301" t="inlineStr">
        <is>
          <t>VÄSTRA GÖTALANDS LÄN</t>
        </is>
      </c>
      <c r="G301" t="inlineStr">
        <is>
          <t>BORÅS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46303</v>
      </c>
      <c r="F302" t="inlineStr">
        <is>
          <t>VÄSTRA GÖTALANDS LÄN</t>
        </is>
      </c>
      <c r="G302" t="inlineStr">
        <is>
          <t>BORÅS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45678</v>
      </c>
      <c r="E303" s="1" t="n">
        <v>46303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46303</v>
      </c>
      <c r="F304" t="inlineStr">
        <is>
          <t>VÄSTRA GÖTALANDS LÄN</t>
        </is>
      </c>
      <c r="G304" t="inlineStr">
        <is>
          <t>BORÅS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45196</v>
      </c>
      <c r="E305" s="1" t="n">
        <v>46303</v>
      </c>
      <c r="F305" t="inlineStr">
        <is>
          <t>VÄSTRA GÖTALANDS LÄN</t>
        </is>
      </c>
      <c r="G305" t="inlineStr">
        <is>
          <t>BORÅS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44564</v>
      </c>
      <c r="E306" s="1" t="n">
        <v>46303</v>
      </c>
      <c r="F306" t="inlineStr">
        <is>
          <t>VÄSTRA GÖTALANDS LÄN</t>
        </is>
      </c>
      <c r="G306" t="inlineStr">
        <is>
          <t>BORÅS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46303</v>
      </c>
      <c r="F307" t="inlineStr">
        <is>
          <t>VÄSTRA GÖTALANDS LÄN</t>
        </is>
      </c>
      <c r="G307" t="inlineStr">
        <is>
          <t>BORÅS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46303</v>
      </c>
      <c r="F308" t="inlineStr">
        <is>
          <t>VÄSTRA GÖTALANDS LÄN</t>
        </is>
      </c>
      <c r="G308" t="inlineStr">
        <is>
          <t>BORÅS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46303</v>
      </c>
      <c r="F309" t="inlineStr">
        <is>
          <t>VÄSTRA GÖTALANDS LÄN</t>
        </is>
      </c>
      <c r="G309" t="inlineStr">
        <is>
          <t>BORÅS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44941</v>
      </c>
      <c r="E310" s="1" t="n">
        <v>46303</v>
      </c>
      <c r="F310" t="inlineStr">
        <is>
          <t>VÄSTRA GÖTALANDS LÄN</t>
        </is>
      </c>
      <c r="G310" t="inlineStr">
        <is>
          <t>BORÅS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46303</v>
      </c>
      <c r="F311" t="inlineStr">
        <is>
          <t>VÄSTRA GÖTALANDS LÄN</t>
        </is>
      </c>
      <c r="G311" t="inlineStr">
        <is>
          <t>BORÅS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8182-2024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45351</v>
      </c>
      <c r="E312" s="1" t="n">
        <v>46303</v>
      </c>
      <c r="F312" t="inlineStr">
        <is>
          <t>VÄSTRA GÖTALANDS LÄN</t>
        </is>
      </c>
      <c r="G312" t="inlineStr">
        <is>
          <t>BORÅS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21739-2026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46147</v>
      </c>
      <c r="E313" s="1" t="n">
        <v>46303</v>
      </c>
      <c r="F313" t="inlineStr">
        <is>
          <t>VÄSTRA GÖTALANDS LÄN</t>
        </is>
      </c>
      <c r="G313" t="inlineStr">
        <is>
          <t>BORÅS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38676-2024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46303</v>
      </c>
      <c r="F314" t="inlineStr">
        <is>
          <t>VÄSTRA GÖTALANDS LÄN</t>
        </is>
      </c>
      <c r="G314" t="inlineStr">
        <is>
          <t>BORÅS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46303</v>
      </c>
      <c r="F315" t="inlineStr">
        <is>
          <t>VÄSTRA GÖTALANDS LÄN</t>
        </is>
      </c>
      <c r="G315" t="inlineStr">
        <is>
          <t>BORÅS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46303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56376-2025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45974</v>
      </c>
      <c r="E317" s="1" t="n">
        <v>46303</v>
      </c>
      <c r="F317" t="inlineStr">
        <is>
          <t>VÄSTRA GÖTALANDS LÄN</t>
        </is>
      </c>
      <c r="G317" t="inlineStr">
        <is>
          <t>BORÅS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57786-2022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46303</v>
      </c>
      <c r="F318" t="inlineStr">
        <is>
          <t>VÄSTRA GÖTALANDS LÄN</t>
        </is>
      </c>
      <c r="G318" t="inlineStr">
        <is>
          <t>BORÅS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46303</v>
      </c>
      <c r="F319" t="inlineStr">
        <is>
          <t>VÄSTRA GÖTALANDS LÄN</t>
        </is>
      </c>
      <c r="G319" t="inlineStr">
        <is>
          <t>BORÅS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46303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46303</v>
      </c>
      <c r="F321" t="inlineStr">
        <is>
          <t>VÄSTRA GÖTALANDS LÄN</t>
        </is>
      </c>
      <c r="G321" t="inlineStr">
        <is>
          <t>BORÅS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46303</v>
      </c>
      <c r="F322" t="inlineStr">
        <is>
          <t>VÄSTRA GÖTALANDS LÄN</t>
        </is>
      </c>
      <c r="G322" t="inlineStr">
        <is>
          <t>BORÅS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46303</v>
      </c>
      <c r="F323" t="inlineStr">
        <is>
          <t>VÄSTRA GÖTALANDS LÄN</t>
        </is>
      </c>
      <c r="G323" t="inlineStr">
        <is>
          <t>BORÅS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46303</v>
      </c>
      <c r="F324" t="inlineStr">
        <is>
          <t>VÄSTRA GÖTALANDS LÄN</t>
        </is>
      </c>
      <c r="G324" t="inlineStr">
        <is>
          <t>BORÅS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52367-2025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46303</v>
      </c>
      <c r="F325" t="inlineStr">
        <is>
          <t>VÄSTRA GÖTALANDS LÄN</t>
        </is>
      </c>
      <c r="G325" t="inlineStr">
        <is>
          <t>BORÅS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46303</v>
      </c>
      <c r="F326" t="inlineStr">
        <is>
          <t>VÄSTRA GÖTALANDS LÄN</t>
        </is>
      </c>
      <c r="G326" t="inlineStr">
        <is>
          <t>BORÅS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45805</v>
      </c>
      <c r="E327" s="1" t="n">
        <v>46303</v>
      </c>
      <c r="F327" t="inlineStr">
        <is>
          <t>VÄSTRA GÖTALANDS LÄN</t>
        </is>
      </c>
      <c r="G327" t="inlineStr">
        <is>
          <t>BORÅS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44748</v>
      </c>
      <c r="E328" s="1" t="n">
        <v>46303</v>
      </c>
      <c r="F328" t="inlineStr">
        <is>
          <t>VÄSTRA GÖTALANDS LÄN</t>
        </is>
      </c>
      <c r="G328" t="inlineStr">
        <is>
          <t>BORÅS</t>
        </is>
      </c>
      <c r="H328" t="inlineStr">
        <is>
          <t>Kommuner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45231</v>
      </c>
      <c r="E329" s="1" t="n">
        <v>46303</v>
      </c>
      <c r="F329" t="inlineStr">
        <is>
          <t>VÄSTRA GÖTALANDS LÄN</t>
        </is>
      </c>
      <c r="G329" t="inlineStr">
        <is>
          <t>BORÅS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46303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45982</v>
      </c>
      <c r="E331" s="1" t="n">
        <v>46303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Kommuner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45205</v>
      </c>
      <c r="E332" s="1" t="n">
        <v>46303</v>
      </c>
      <c r="F332" t="inlineStr">
        <is>
          <t>VÄSTRA GÖTALANDS LÄN</t>
        </is>
      </c>
      <c r="G332" t="inlineStr">
        <is>
          <t>BORÅS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46303</v>
      </c>
      <c r="F333" t="inlineStr">
        <is>
          <t>VÄSTRA GÖTALANDS LÄN</t>
        </is>
      </c>
      <c r="G333" t="inlineStr">
        <is>
          <t>BORÅS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27039-2022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46303</v>
      </c>
      <c r="F334" t="inlineStr">
        <is>
          <t>VÄSTRA GÖTALANDS LÄN</t>
        </is>
      </c>
      <c r="G334" t="inlineStr">
        <is>
          <t>BORÅS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45982</v>
      </c>
      <c r="E335" s="1" t="n">
        <v>46303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X335">
        <f>HYPERLINK("https://klasma.github.io/Logging_1490/kartor/A 58304-2025 karta.png", "A 58304-2025")</f>
        <v/>
      </c>
      <c r="Y335">
        <f>HYPERLINK("https://klasma.github.io/Logging_1490/kartor_geotiff/A 58304-2025 georefererad karta.tif", "A 58304-2025")</f>
        <v/>
      </c>
      <c r="AA335">
        <f>HYPERLINK("https://klasma.github.io/Logging_1490/klagomål/A 58304-2025 FSC-klagomål.docx", "A 58304-2025")</f>
        <v/>
      </c>
      <c r="AB335">
        <f>HYPERLINK("https://klasma.github.io/Logging_1490/klagomålsmail/A 58304-2025 FSC-klagomål mail.docx", "A 58304-2025")</f>
        <v/>
      </c>
      <c r="AC335">
        <f>HYPERLINK("https://klasma.github.io/Logging_1490/tillsyn/A 58304-2025 tillsynsbegäran.docx", "A 58304-2025")</f>
        <v/>
      </c>
      <c r="AD335">
        <f>HYPERLINK("https://klasma.github.io/Logging_1490/tillsynsmail/A 58304-2025 tillsynsbegäran mail.docx", "A 58304-2025")</f>
        <v/>
      </c>
    </row>
    <row r="336" ht="15" customHeight="1">
      <c r="A336" t="inlineStr">
        <is>
          <t>A 36635-2025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45870</v>
      </c>
      <c r="E336" s="1" t="n">
        <v>46303</v>
      </c>
      <c r="F336" t="inlineStr">
        <is>
          <t>VÄSTRA GÖTALANDS LÄN</t>
        </is>
      </c>
      <c r="G336" t="inlineStr">
        <is>
          <t>BORÅS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46303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Kommuner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45870</v>
      </c>
      <c r="E338" s="1" t="n">
        <v>46303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57422-2024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46303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46303</v>
      </c>
      <c r="F340" t="inlineStr">
        <is>
          <t>VÄSTRA GÖTALANDS LÄN</t>
        </is>
      </c>
      <c r="G340" t="inlineStr">
        <is>
          <t>BORÅS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46303</v>
      </c>
      <c r="F341" t="inlineStr">
        <is>
          <t>VÄSTRA GÖTALANDS LÄN</t>
        </is>
      </c>
      <c r="G341" t="inlineStr">
        <is>
          <t>BORÅS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45968</v>
      </c>
      <c r="E342" s="1" t="n">
        <v>46303</v>
      </c>
      <c r="F342" t="inlineStr">
        <is>
          <t>VÄSTRA GÖTALANDS LÄN</t>
        </is>
      </c>
      <c r="G342" t="inlineStr">
        <is>
          <t>BORÅS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35800-2023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46303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46303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46303</v>
      </c>
      <c r="F345" t="inlineStr">
        <is>
          <t>VÄSTRA GÖTALANDS LÄN</t>
        </is>
      </c>
      <c r="G345" t="inlineStr">
        <is>
          <t>BORÅS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45343</v>
      </c>
      <c r="E346" s="1" t="n">
        <v>46303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45294</v>
      </c>
      <c r="E347" s="1" t="n">
        <v>46303</v>
      </c>
      <c r="F347" t="inlineStr">
        <is>
          <t>VÄSTRA GÖTALANDS LÄN</t>
        </is>
      </c>
      <c r="G347" t="inlineStr">
        <is>
          <t>BORÅS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20653-2026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46141</v>
      </c>
      <c r="E348" s="1" t="n">
        <v>46303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20279-2026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46136</v>
      </c>
      <c r="E349" s="1" t="n">
        <v>46303</v>
      </c>
      <c r="F349" t="inlineStr">
        <is>
          <t>VÄSTRA GÖTALANDS LÄN</t>
        </is>
      </c>
      <c r="G349" t="inlineStr">
        <is>
          <t>BORÅS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24183-2024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45456</v>
      </c>
      <c r="E350" s="1" t="n">
        <v>46303</v>
      </c>
      <c r="F350" t="inlineStr">
        <is>
          <t>VÄSTRA GÖTALANDS LÄN</t>
        </is>
      </c>
      <c r="G350" t="inlineStr">
        <is>
          <t>BORÅS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46303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46303</v>
      </c>
      <c r="F352" t="inlineStr">
        <is>
          <t>VÄSTRA GÖTALANDS LÄN</t>
        </is>
      </c>
      <c r="G352" t="inlineStr">
        <is>
          <t>BORÅS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45935</v>
      </c>
      <c r="E353" s="1" t="n">
        <v>46303</v>
      </c>
      <c r="F353" t="inlineStr">
        <is>
          <t>VÄSTRA GÖTALANDS LÄN</t>
        </is>
      </c>
      <c r="G353" t="inlineStr">
        <is>
          <t>BORÅS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46303</v>
      </c>
      <c r="F354" t="inlineStr">
        <is>
          <t>VÄSTRA GÖTALANDS LÄN</t>
        </is>
      </c>
      <c r="G354" t="inlineStr">
        <is>
          <t>BORÅS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46303</v>
      </c>
      <c r="F355" t="inlineStr">
        <is>
          <t>VÄSTRA GÖTALANDS LÄN</t>
        </is>
      </c>
      <c r="G355" t="inlineStr">
        <is>
          <t>BORÅS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46303</v>
      </c>
      <c r="F356" t="inlineStr">
        <is>
          <t>VÄSTRA GÖTALANDS LÄN</t>
        </is>
      </c>
      <c r="G356" t="inlineStr">
        <is>
          <t>BORÅS</t>
        </is>
      </c>
      <c r="H356" t="inlineStr">
        <is>
          <t>Kyrkan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46303</v>
      </c>
      <c r="F357" t="inlineStr">
        <is>
          <t>VÄSTRA GÖTALANDS LÄN</t>
        </is>
      </c>
      <c r="G357" t="inlineStr">
        <is>
          <t>BORÅS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46303</v>
      </c>
      <c r="F358" t="inlineStr">
        <is>
          <t>VÄSTRA GÖTALANDS LÄN</t>
        </is>
      </c>
      <c r="G358" t="inlineStr">
        <is>
          <t>BORÅS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46303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46303</v>
      </c>
      <c r="F360" t="inlineStr">
        <is>
          <t>VÄSTRA GÖTALANDS LÄN</t>
        </is>
      </c>
      <c r="G360" t="inlineStr">
        <is>
          <t>BORÅS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28171-2022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44746</v>
      </c>
      <c r="E361" s="1" t="n">
        <v>46303</v>
      </c>
      <c r="F361" t="inlineStr">
        <is>
          <t>VÄSTRA GÖTALANDS LÄN</t>
        </is>
      </c>
      <c r="G361" t="inlineStr">
        <is>
          <t>BORÅS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46303</v>
      </c>
      <c r="F362" t="inlineStr">
        <is>
          <t>VÄSTRA GÖTALANDS LÄN</t>
        </is>
      </c>
      <c r="G362" t="inlineStr">
        <is>
          <t>BORÅS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45126</v>
      </c>
      <c r="E363" s="1" t="n">
        <v>46303</v>
      </c>
      <c r="F363" t="inlineStr">
        <is>
          <t>VÄSTRA GÖTALANDS LÄN</t>
        </is>
      </c>
      <c r="G363" t="inlineStr">
        <is>
          <t>BORÅS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22371-2026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46303</v>
      </c>
      <c r="F364" t="inlineStr">
        <is>
          <t>VÄSTRA GÖTALANDS LÄN</t>
        </is>
      </c>
      <c r="G364" t="inlineStr">
        <is>
          <t>BORÅS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46303</v>
      </c>
      <c r="F365" t="inlineStr">
        <is>
          <t>VÄSTRA GÖTALANDS LÄN</t>
        </is>
      </c>
      <c r="G365" t="inlineStr">
        <is>
          <t>BORÅS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46303</v>
      </c>
      <c r="F366" t="inlineStr">
        <is>
          <t>VÄSTRA GÖTALANDS LÄN</t>
        </is>
      </c>
      <c r="G366" t="inlineStr">
        <is>
          <t>BORÅS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46303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46303</v>
      </c>
      <c r="F368" t="inlineStr">
        <is>
          <t>VÄSTRA GÖTALANDS LÄN</t>
        </is>
      </c>
      <c r="G368" t="inlineStr">
        <is>
          <t>BORÅS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46303</v>
      </c>
      <c r="F369" t="inlineStr">
        <is>
          <t>VÄSTRA GÖTALANDS LÄN</t>
        </is>
      </c>
      <c r="G369" t="inlineStr">
        <is>
          <t>BORÅS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46303</v>
      </c>
      <c r="F370" t="inlineStr">
        <is>
          <t>VÄSTRA GÖTALANDS LÄN</t>
        </is>
      </c>
      <c r="G370" t="inlineStr">
        <is>
          <t>BORÅS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45258</v>
      </c>
      <c r="E371" s="1" t="n">
        <v>46303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Kyrkan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46303</v>
      </c>
      <c r="F372" t="inlineStr">
        <is>
          <t>VÄSTRA GÖTALANDS LÄN</t>
        </is>
      </c>
      <c r="G372" t="inlineStr">
        <is>
          <t>BORÅS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46303</v>
      </c>
      <c r="F373" t="inlineStr">
        <is>
          <t>VÄSTRA GÖTALANDS LÄN</t>
        </is>
      </c>
      <c r="G373" t="inlineStr">
        <is>
          <t>BORÅS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45516</v>
      </c>
      <c r="E374" s="1" t="n">
        <v>46303</v>
      </c>
      <c r="F374" t="inlineStr">
        <is>
          <t>VÄSTRA GÖTALANDS LÄN</t>
        </is>
      </c>
      <c r="G374" t="inlineStr">
        <is>
          <t>BORÅS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46303</v>
      </c>
      <c r="F375" t="inlineStr">
        <is>
          <t>VÄSTRA GÖTALANDS LÄN</t>
        </is>
      </c>
      <c r="G375" t="inlineStr">
        <is>
          <t>BORÅS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46303</v>
      </c>
      <c r="F376" t="inlineStr">
        <is>
          <t>VÄSTRA GÖTALANDS LÄN</t>
        </is>
      </c>
      <c r="G376" t="inlineStr">
        <is>
          <t>BORÅS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45741</v>
      </c>
      <c r="E377" s="1" t="n">
        <v>46303</v>
      </c>
      <c r="F377" t="inlineStr">
        <is>
          <t>VÄSTRA GÖTALANDS LÄN</t>
        </is>
      </c>
      <c r="G377" t="inlineStr">
        <is>
          <t>BORÅS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44959</v>
      </c>
      <c r="E378" s="1" t="n">
        <v>46303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45058</v>
      </c>
      <c r="E379" s="1" t="n">
        <v>46303</v>
      </c>
      <c r="F379" t="inlineStr">
        <is>
          <t>VÄSTRA GÖTALANDS LÄN</t>
        </is>
      </c>
      <c r="G379" t="inlineStr">
        <is>
          <t>BORÅS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46303</v>
      </c>
      <c r="F380" t="inlineStr">
        <is>
          <t>VÄSTRA GÖTALANDS LÄN</t>
        </is>
      </c>
      <c r="G380" t="inlineStr">
        <is>
          <t>BORÅS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45337</v>
      </c>
      <c r="E381" s="1" t="n">
        <v>46303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61681-2023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46303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45058</v>
      </c>
      <c r="E383" s="1" t="n">
        <v>46303</v>
      </c>
      <c r="F383" t="inlineStr">
        <is>
          <t>VÄSTRA GÖTALANDS LÄN</t>
        </is>
      </c>
      <c r="G383" t="inlineStr">
        <is>
          <t>BORÅS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46303</v>
      </c>
      <c r="F384" t="inlineStr">
        <is>
          <t>VÄSTRA GÖTALANDS LÄN</t>
        </is>
      </c>
      <c r="G384" t="inlineStr">
        <is>
          <t>BORÅS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45120</v>
      </c>
      <c r="E385" s="1" t="n">
        <v>46303</v>
      </c>
      <c r="F385" t="inlineStr">
        <is>
          <t>VÄSTRA GÖTALANDS LÄN</t>
        </is>
      </c>
      <c r="G385" t="inlineStr">
        <is>
          <t>BORÅS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46303</v>
      </c>
      <c r="F386" t="inlineStr">
        <is>
          <t>VÄSTRA GÖTALANDS LÄN</t>
        </is>
      </c>
      <c r="G386" t="inlineStr">
        <is>
          <t>BORÅS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59463-2024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46303</v>
      </c>
      <c r="F387" t="inlineStr">
        <is>
          <t>VÄSTRA GÖTALANDS LÄN</t>
        </is>
      </c>
      <c r="G387" t="inlineStr">
        <is>
          <t>BORÅS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44993</v>
      </c>
      <c r="E388" s="1" t="n">
        <v>46303</v>
      </c>
      <c r="F388" t="inlineStr">
        <is>
          <t>VÄSTRA GÖTALANDS LÄN</t>
        </is>
      </c>
      <c r="G388" t="inlineStr">
        <is>
          <t>BORÅS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44825</v>
      </c>
      <c r="E389" s="1" t="n">
        <v>46303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46303</v>
      </c>
      <c r="F390" t="inlineStr">
        <is>
          <t>VÄSTRA GÖTALANDS LÄN</t>
        </is>
      </c>
      <c r="G390" t="inlineStr">
        <is>
          <t>BORÅS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44704</v>
      </c>
      <c r="E391" s="1" t="n">
        <v>46303</v>
      </c>
      <c r="F391" t="inlineStr">
        <is>
          <t>VÄSTRA GÖTALANDS LÄN</t>
        </is>
      </c>
      <c r="G391" t="inlineStr">
        <is>
          <t>BORÅS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45119</v>
      </c>
      <c r="E392" s="1" t="n">
        <v>46303</v>
      </c>
      <c r="F392" t="inlineStr">
        <is>
          <t>VÄSTRA GÖTALANDS LÄN</t>
        </is>
      </c>
      <c r="G392" t="inlineStr">
        <is>
          <t>BORÅS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46303</v>
      </c>
      <c r="F393" t="inlineStr">
        <is>
          <t>VÄSTRA GÖTALANDS LÄN</t>
        </is>
      </c>
      <c r="G393" t="inlineStr">
        <is>
          <t>BORÅS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46303</v>
      </c>
      <c r="F394" t="inlineStr">
        <is>
          <t>VÄSTRA GÖTALANDS LÄN</t>
        </is>
      </c>
      <c r="G394" t="inlineStr">
        <is>
          <t>BORÅS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46303</v>
      </c>
      <c r="F395" t="inlineStr">
        <is>
          <t>VÄSTRA GÖTALANDS LÄN</t>
        </is>
      </c>
      <c r="G395" t="inlineStr">
        <is>
          <t>BORÅS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46303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45749</v>
      </c>
      <c r="E397" s="1" t="n">
        <v>46303</v>
      </c>
      <c r="F397" t="inlineStr">
        <is>
          <t>VÄSTRA GÖTALANDS LÄN</t>
        </is>
      </c>
      <c r="G397" t="inlineStr">
        <is>
          <t>BORÅS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46303</v>
      </c>
      <c r="F398" t="inlineStr">
        <is>
          <t>VÄSTRA GÖTALANDS LÄN</t>
        </is>
      </c>
      <c r="G398" t="inlineStr">
        <is>
          <t>BORÅS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46303</v>
      </c>
      <c r="F399" t="inlineStr">
        <is>
          <t>VÄSTRA GÖTALANDS LÄN</t>
        </is>
      </c>
      <c r="G399" t="inlineStr">
        <is>
          <t>BORÅS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45186</v>
      </c>
      <c r="E400" s="1" t="n">
        <v>46303</v>
      </c>
      <c r="F400" t="inlineStr">
        <is>
          <t>VÄSTRA GÖTALANDS LÄN</t>
        </is>
      </c>
      <c r="G400" t="inlineStr">
        <is>
          <t>BORÅS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54365-2023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45233</v>
      </c>
      <c r="E401" s="1" t="n">
        <v>46303</v>
      </c>
      <c r="F401" t="inlineStr">
        <is>
          <t>VÄSTRA GÖTALANDS LÄN</t>
        </is>
      </c>
      <c r="G401" t="inlineStr">
        <is>
          <t>BORÅS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46303</v>
      </c>
      <c r="F402" t="inlineStr">
        <is>
          <t>VÄSTRA GÖTALANDS LÄN</t>
        </is>
      </c>
      <c r="G402" t="inlineStr">
        <is>
          <t>BORÅS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45268</v>
      </c>
      <c r="E403" s="1" t="n">
        <v>46303</v>
      </c>
      <c r="F403" t="inlineStr">
        <is>
          <t>VÄSTRA GÖTALANDS LÄN</t>
        </is>
      </c>
      <c r="G403" t="inlineStr">
        <is>
          <t>BORÅS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45756</v>
      </c>
      <c r="E404" s="1" t="n">
        <v>46303</v>
      </c>
      <c r="F404" t="inlineStr">
        <is>
          <t>VÄSTRA GÖTALANDS LÄN</t>
        </is>
      </c>
      <c r="G404" t="inlineStr">
        <is>
          <t>BORÅS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45289</v>
      </c>
      <c r="E405" s="1" t="n">
        <v>46303</v>
      </c>
      <c r="F405" t="inlineStr">
        <is>
          <t>VÄSTRA GÖTALANDS LÄN</t>
        </is>
      </c>
      <c r="G405" t="inlineStr">
        <is>
          <t>BORÅS</t>
        </is>
      </c>
      <c r="I405" t="n">
        <v>12.5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4757-2025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45688</v>
      </c>
      <c r="E406" s="1" t="n">
        <v>46303</v>
      </c>
      <c r="F406" t="inlineStr">
        <is>
          <t>VÄSTRA GÖTALANDS LÄN</t>
        </is>
      </c>
      <c r="G406" t="inlineStr">
        <is>
          <t>BORÅS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46303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45629</v>
      </c>
      <c r="E408" s="1" t="n">
        <v>46303</v>
      </c>
      <c r="F408" t="inlineStr">
        <is>
          <t>VÄSTRA GÖTALANDS LÄN</t>
        </is>
      </c>
      <c r="G408" t="inlineStr">
        <is>
          <t>BORÅS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46303</v>
      </c>
      <c r="F409" t="inlineStr">
        <is>
          <t>VÄSTRA GÖTALANDS LÄN</t>
        </is>
      </c>
      <c r="G409" t="inlineStr">
        <is>
          <t>BORÅS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46303</v>
      </c>
      <c r="F410" t="inlineStr">
        <is>
          <t>VÄSTRA GÖTALANDS LÄN</t>
        </is>
      </c>
      <c r="G410" t="inlineStr">
        <is>
          <t>BORÅS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46303</v>
      </c>
      <c r="F411" t="inlineStr">
        <is>
          <t>VÄSTRA GÖTALANDS LÄN</t>
        </is>
      </c>
      <c r="G411" t="inlineStr">
        <is>
          <t>BORÅS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9096-2025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46303</v>
      </c>
      <c r="F412" t="inlineStr">
        <is>
          <t>VÄSTRA GÖTALANDS LÄN</t>
        </is>
      </c>
      <c r="G412" t="inlineStr">
        <is>
          <t>BORÅS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32241-2023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46303</v>
      </c>
      <c r="F413" t="inlineStr">
        <is>
          <t>VÄSTRA GÖTALANDS LÄN</t>
        </is>
      </c>
      <c r="G413" t="inlineStr">
        <is>
          <t>BORÅS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46303</v>
      </c>
      <c r="F414" t="inlineStr">
        <is>
          <t>VÄSTRA GÖTALANDS LÄN</t>
        </is>
      </c>
      <c r="G414" t="inlineStr">
        <is>
          <t>BORÅS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46303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45582</v>
      </c>
      <c r="E416" s="1" t="n">
        <v>46303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45699</v>
      </c>
      <c r="E417" s="1" t="n">
        <v>46303</v>
      </c>
      <c r="F417" t="inlineStr">
        <is>
          <t>VÄSTRA GÖTALANDS LÄN</t>
        </is>
      </c>
      <c r="G417" t="inlineStr">
        <is>
          <t>BORÅS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46303</v>
      </c>
      <c r="F418" t="inlineStr">
        <is>
          <t>VÄSTRA GÖTALANDS LÄN</t>
        </is>
      </c>
      <c r="G418" t="inlineStr">
        <is>
          <t>BORÅS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36577-2022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44804</v>
      </c>
      <c r="E419" s="1" t="n">
        <v>46303</v>
      </c>
      <c r="F419" t="inlineStr">
        <is>
          <t>VÄSTRA GÖTALANDS LÄN</t>
        </is>
      </c>
      <c r="G419" t="inlineStr">
        <is>
          <t>BORÅS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44782-2025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45917</v>
      </c>
      <c r="E420" s="1" t="n">
        <v>46303</v>
      </c>
      <c r="F420" t="inlineStr">
        <is>
          <t>VÄSTRA GÖTALANDS LÄN</t>
        </is>
      </c>
      <c r="G420" t="inlineStr">
        <is>
          <t>BORÅS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46303</v>
      </c>
      <c r="F421" t="inlineStr">
        <is>
          <t>VÄSTRA GÖTALANDS LÄN</t>
        </is>
      </c>
      <c r="G421" t="inlineStr">
        <is>
          <t>BORÅS</t>
        </is>
      </c>
      <c r="H421" t="inlineStr">
        <is>
          <t>Kommuner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45120</v>
      </c>
      <c r="E422" s="1" t="n">
        <v>46303</v>
      </c>
      <c r="F422" t="inlineStr">
        <is>
          <t>VÄSTRA GÖTALANDS LÄN</t>
        </is>
      </c>
      <c r="G422" t="inlineStr">
        <is>
          <t>BORÅS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34195-2025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45845</v>
      </c>
      <c r="E423" s="1" t="n">
        <v>46303</v>
      </c>
      <c r="F423" t="inlineStr">
        <is>
          <t>VÄSTRA GÖTALANDS LÄN</t>
        </is>
      </c>
      <c r="G423" t="inlineStr">
        <is>
          <t>BORÅS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44155-2022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44839</v>
      </c>
      <c r="E424" s="1" t="n">
        <v>46303</v>
      </c>
      <c r="F424" t="inlineStr">
        <is>
          <t>VÄSTRA GÖTALANDS LÄN</t>
        </is>
      </c>
      <c r="G424" t="inlineStr">
        <is>
          <t>BORÅS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28410-2024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46303</v>
      </c>
      <c r="F425" t="inlineStr">
        <is>
          <t>VÄSTRA GÖTALANDS LÄN</t>
        </is>
      </c>
      <c r="G425" t="inlineStr">
        <is>
          <t>BORÅS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25238-2026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46175</v>
      </c>
      <c r="E426" s="1" t="n">
        <v>46303</v>
      </c>
      <c r="F426" t="inlineStr">
        <is>
          <t>VÄSTRA GÖTALANDS LÄN</t>
        </is>
      </c>
      <c r="G426" t="inlineStr">
        <is>
          <t>BORÅS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45321</v>
      </c>
      <c r="E427" s="1" t="n">
        <v>46303</v>
      </c>
      <c r="F427" t="inlineStr">
        <is>
          <t>VÄSTRA GÖTALANDS LÄN</t>
        </is>
      </c>
      <c r="G427" t="inlineStr">
        <is>
          <t>BORÅS</t>
        </is>
      </c>
      <c r="H427" t="inlineStr">
        <is>
          <t>Kommuner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46303</v>
      </c>
      <c r="F428" t="inlineStr">
        <is>
          <t>VÄSTRA GÖTALANDS LÄN</t>
        </is>
      </c>
      <c r="G428" t="inlineStr">
        <is>
          <t>BORÅS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46303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62532-2022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44916</v>
      </c>
      <c r="E430" s="1" t="n">
        <v>46303</v>
      </c>
      <c r="F430" t="inlineStr">
        <is>
          <t>VÄSTRA GÖTALANDS LÄN</t>
        </is>
      </c>
      <c r="G430" t="inlineStr">
        <is>
          <t>BORÅS</t>
        </is>
      </c>
      <c r="I430" t="n">
        <v>9.800000000000001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45294</v>
      </c>
      <c r="E431" s="1" t="n">
        <v>46303</v>
      </c>
      <c r="F431" t="inlineStr">
        <is>
          <t>VÄSTRA GÖTALANDS LÄN</t>
        </is>
      </c>
      <c r="G431" t="inlineStr">
        <is>
          <t>BORÅS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46303</v>
      </c>
      <c r="F432" t="inlineStr">
        <is>
          <t>VÄSTRA GÖTALANDS LÄN</t>
        </is>
      </c>
      <c r="G432" t="inlineStr">
        <is>
          <t>BORÅS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57782-2022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44897</v>
      </c>
      <c r="E433" s="1" t="n">
        <v>46303</v>
      </c>
      <c r="F433" t="inlineStr">
        <is>
          <t>VÄSTRA GÖTALANDS LÄN</t>
        </is>
      </c>
      <c r="G433" t="inlineStr">
        <is>
          <t>BORÅS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46303</v>
      </c>
      <c r="F434" t="inlineStr">
        <is>
          <t>VÄSTRA GÖTALANDS LÄN</t>
        </is>
      </c>
      <c r="G434" t="inlineStr">
        <is>
          <t>BORÅS</t>
        </is>
      </c>
      <c r="H434" t="inlineStr">
        <is>
          <t>Kommuner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46303</v>
      </c>
      <c r="F435" t="inlineStr">
        <is>
          <t>VÄSTRA GÖTALANDS LÄN</t>
        </is>
      </c>
      <c r="G435" t="inlineStr">
        <is>
          <t>BORÅS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46303</v>
      </c>
      <c r="F436" t="inlineStr">
        <is>
          <t>VÄSTRA GÖTALANDS LÄN</t>
        </is>
      </c>
      <c r="G436" t="inlineStr">
        <is>
          <t>BORÅS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46036</v>
      </c>
      <c r="E437" s="1" t="n">
        <v>46303</v>
      </c>
      <c r="F437" t="inlineStr">
        <is>
          <t>VÄSTRA GÖTALANDS LÄN</t>
        </is>
      </c>
      <c r="G437" t="inlineStr">
        <is>
          <t>BORÅS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46303</v>
      </c>
      <c r="F438" t="inlineStr">
        <is>
          <t>VÄSTRA GÖTALANDS LÄN</t>
        </is>
      </c>
      <c r="G438" t="inlineStr">
        <is>
          <t>BORÅS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46303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44506-2023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45189</v>
      </c>
      <c r="E440" s="1" t="n">
        <v>46303</v>
      </c>
      <c r="F440" t="inlineStr">
        <is>
          <t>VÄSTRA GÖTALANDS LÄN</t>
        </is>
      </c>
      <c r="G440" t="inlineStr">
        <is>
          <t>BORÅS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38970-2024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45548</v>
      </c>
      <c r="E441" s="1" t="n">
        <v>46303</v>
      </c>
      <c r="F441" t="inlineStr">
        <is>
          <t>VÄSTRA GÖTALANDS LÄN</t>
        </is>
      </c>
      <c r="G441" t="inlineStr">
        <is>
          <t>BORÅS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46303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45588</v>
      </c>
      <c r="E443" s="1" t="n">
        <v>46303</v>
      </c>
      <c r="F443" t="inlineStr">
        <is>
          <t>VÄSTRA GÖTALANDS LÄN</t>
        </is>
      </c>
      <c r="G443" t="inlineStr">
        <is>
          <t>BORÅS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46303</v>
      </c>
      <c r="F444" t="inlineStr">
        <is>
          <t>VÄSTRA GÖTALANDS LÄN</t>
        </is>
      </c>
      <c r="G444" t="inlineStr">
        <is>
          <t>BORÅS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46303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46303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45197</v>
      </c>
      <c r="E447" s="1" t="n">
        <v>46303</v>
      </c>
      <c r="F447" t="inlineStr">
        <is>
          <t>VÄSTRA GÖTALANDS LÄN</t>
        </is>
      </c>
      <c r="G447" t="inlineStr">
        <is>
          <t>BORÅS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46303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52410-2023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45224</v>
      </c>
      <c r="E449" s="1" t="n">
        <v>46303</v>
      </c>
      <c r="F449" t="inlineStr">
        <is>
          <t>VÄSTRA GÖTALANDS LÄN</t>
        </is>
      </c>
      <c r="G449" t="inlineStr">
        <is>
          <t>BORÅS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46303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46303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42435-2023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45180</v>
      </c>
      <c r="E452" s="1" t="n">
        <v>46303</v>
      </c>
      <c r="F452" t="inlineStr">
        <is>
          <t>VÄSTRA GÖTALANDS LÄN</t>
        </is>
      </c>
      <c r="G452" t="inlineStr">
        <is>
          <t>BORÅS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5964-2023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44964</v>
      </c>
      <c r="E453" s="1" t="n">
        <v>46303</v>
      </c>
      <c r="F453" t="inlineStr">
        <is>
          <t>VÄSTRA GÖTALANDS LÄN</t>
        </is>
      </c>
      <c r="G453" t="inlineStr">
        <is>
          <t>BORÅS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45215</v>
      </c>
      <c r="E454" s="1" t="n">
        <v>46303</v>
      </c>
      <c r="F454" t="inlineStr">
        <is>
          <t>VÄSTRA GÖTALANDS LÄN</t>
        </is>
      </c>
      <c r="G454" t="inlineStr">
        <is>
          <t>BORÅS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52957-2022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44875</v>
      </c>
      <c r="E455" s="1" t="n">
        <v>46303</v>
      </c>
      <c r="F455" t="inlineStr">
        <is>
          <t>VÄSTRA GÖTALANDS LÄN</t>
        </is>
      </c>
      <c r="G455" t="inlineStr">
        <is>
          <t>BORÅS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41981-2024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46303</v>
      </c>
      <c r="F456" t="inlineStr">
        <is>
          <t>VÄSTRA GÖTALANDS LÄN</t>
        </is>
      </c>
      <c r="G456" t="inlineStr">
        <is>
          <t>BORÅS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46303</v>
      </c>
      <c r="F457" t="inlineStr">
        <is>
          <t>VÄSTRA GÖTALANDS LÄN</t>
        </is>
      </c>
      <c r="G457" t="inlineStr">
        <is>
          <t>BORÅS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46303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45462</v>
      </c>
      <c r="E459" s="1" t="n">
        <v>46303</v>
      </c>
      <c r="F459" t="inlineStr">
        <is>
          <t>VÄSTRA GÖTALANDS LÄN</t>
        </is>
      </c>
      <c r="G459" t="inlineStr">
        <is>
          <t>BORÅS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46303</v>
      </c>
      <c r="F460" t="inlineStr">
        <is>
          <t>VÄSTRA GÖTALANDS LÄN</t>
        </is>
      </c>
      <c r="G460" t="inlineStr">
        <is>
          <t>BORÅS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44914</v>
      </c>
      <c r="E461" s="1" t="n">
        <v>46303</v>
      </c>
      <c r="F461" t="inlineStr">
        <is>
          <t>VÄSTRA GÖTALANDS LÄN</t>
        </is>
      </c>
      <c r="G461" t="inlineStr">
        <is>
          <t>BORÅS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45769</v>
      </c>
      <c r="E462" s="1" t="n">
        <v>46303</v>
      </c>
      <c r="F462" t="inlineStr">
        <is>
          <t>VÄSTRA GÖTALANDS LÄN</t>
        </is>
      </c>
      <c r="G462" t="inlineStr">
        <is>
          <t>BORÅS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44900</v>
      </c>
      <c r="E463" s="1" t="n">
        <v>46303</v>
      </c>
      <c r="F463" t="inlineStr">
        <is>
          <t>VÄSTRA GÖTALANDS LÄN</t>
        </is>
      </c>
      <c r="G463" t="inlineStr">
        <is>
          <t>BORÅS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46059</v>
      </c>
      <c r="E464" s="1" t="n">
        <v>46303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Sveaskog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58734-2021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44489</v>
      </c>
      <c r="E465" s="1" t="n">
        <v>46303</v>
      </c>
      <c r="F465" t="inlineStr">
        <is>
          <t>VÄSTRA GÖTALANDS LÄN</t>
        </is>
      </c>
      <c r="G465" t="inlineStr">
        <is>
          <t>BORÅS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46303</v>
      </c>
      <c r="F466" t="inlineStr">
        <is>
          <t>VÄSTRA GÖTALANDS LÄN</t>
        </is>
      </c>
      <c r="G466" t="inlineStr">
        <is>
          <t>BORÅS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46303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46303</v>
      </c>
      <c r="F468" t="inlineStr">
        <is>
          <t>VÄSTRA GÖTALANDS LÄN</t>
        </is>
      </c>
      <c r="G468" t="inlineStr">
        <is>
          <t>BORÅS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46303</v>
      </c>
      <c r="F469" t="inlineStr">
        <is>
          <t>VÄSTRA GÖTALANDS LÄN</t>
        </is>
      </c>
      <c r="G469" t="inlineStr">
        <is>
          <t>BORÅS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4617-2022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44592</v>
      </c>
      <c r="E470" s="1" t="n">
        <v>46303</v>
      </c>
      <c r="F470" t="inlineStr">
        <is>
          <t>VÄSTRA GÖTALANDS LÄN</t>
        </is>
      </c>
      <c r="G470" t="inlineStr">
        <is>
          <t>BORÅS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46303</v>
      </c>
      <c r="F471" t="inlineStr">
        <is>
          <t>VÄSTRA GÖTALANDS LÄN</t>
        </is>
      </c>
      <c r="G471" t="inlineStr">
        <is>
          <t>BORÅS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19095-2023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45048</v>
      </c>
      <c r="E472" s="1" t="n">
        <v>46303</v>
      </c>
      <c r="F472" t="inlineStr">
        <is>
          <t>VÄSTRA GÖTALANDS LÄN</t>
        </is>
      </c>
      <c r="G472" t="inlineStr">
        <is>
          <t>BORÅS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46303</v>
      </c>
      <c r="F473" t="inlineStr">
        <is>
          <t>VÄSTRA GÖTALANDS LÄN</t>
        </is>
      </c>
      <c r="G473" t="inlineStr">
        <is>
          <t>BORÅS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46303</v>
      </c>
      <c r="F474" t="inlineStr">
        <is>
          <t>VÄSTRA GÖTALANDS LÄN</t>
        </is>
      </c>
      <c r="G474" t="inlineStr">
        <is>
          <t>BORÅS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44771</v>
      </c>
      <c r="E475" s="1" t="n">
        <v>46303</v>
      </c>
      <c r="F475" t="inlineStr">
        <is>
          <t>VÄSTRA GÖTALANDS LÄN</t>
        </is>
      </c>
      <c r="G475" t="inlineStr">
        <is>
          <t>BORÅS</t>
        </is>
      </c>
      <c r="H475" t="inlineStr">
        <is>
          <t>Kyrkan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45546</v>
      </c>
      <c r="E476" s="1" t="n">
        <v>46303</v>
      </c>
      <c r="F476" t="inlineStr">
        <is>
          <t>VÄSTRA GÖTALANDS LÄN</t>
        </is>
      </c>
      <c r="G476" t="inlineStr">
        <is>
          <t>BORÅS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45593</v>
      </c>
      <c r="E477" s="1" t="n">
        <v>46303</v>
      </c>
      <c r="F477" t="inlineStr">
        <is>
          <t>VÄSTRA GÖTALANDS LÄN</t>
        </is>
      </c>
      <c r="G477" t="inlineStr">
        <is>
          <t>BORÅS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45817</v>
      </c>
      <c r="E478" s="1" t="n">
        <v>46303</v>
      </c>
      <c r="F478" t="inlineStr">
        <is>
          <t>VÄSTRA GÖTALANDS LÄN</t>
        </is>
      </c>
      <c r="G478" t="inlineStr">
        <is>
          <t>BORÅS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45308</v>
      </c>
      <c r="E479" s="1" t="n">
        <v>46303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Kommuner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46303</v>
      </c>
      <c r="F480" t="inlineStr">
        <is>
          <t>VÄSTRA GÖTALANDS LÄN</t>
        </is>
      </c>
      <c r="G480" t="inlineStr">
        <is>
          <t>BORÅS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14783-2022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44656</v>
      </c>
      <c r="E481" s="1" t="n">
        <v>46303</v>
      </c>
      <c r="F481" t="inlineStr">
        <is>
          <t>VÄSTRA GÖTALANDS LÄN</t>
        </is>
      </c>
      <c r="G481" t="inlineStr">
        <is>
          <t>BORÅS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46303</v>
      </c>
      <c r="F482" t="inlineStr">
        <is>
          <t>VÄSTRA GÖTALANDS LÄN</t>
        </is>
      </c>
      <c r="G482" t="inlineStr">
        <is>
          <t>BORÅS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46303</v>
      </c>
      <c r="F483" t="inlineStr">
        <is>
          <t>VÄSTRA GÖTALANDS LÄN</t>
        </is>
      </c>
      <c r="G483" t="inlineStr">
        <is>
          <t>BORÅS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1992-2024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45308</v>
      </c>
      <c r="E484" s="1" t="n">
        <v>46303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Kommuner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7898-2024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45350</v>
      </c>
      <c r="E485" s="1" t="n">
        <v>46303</v>
      </c>
      <c r="F485" t="inlineStr">
        <is>
          <t>VÄSTRA GÖTALANDS LÄN</t>
        </is>
      </c>
      <c r="G485" t="inlineStr">
        <is>
          <t>BORÅS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45670</v>
      </c>
      <c r="E486" s="1" t="n">
        <v>46303</v>
      </c>
      <c r="F486" t="inlineStr">
        <is>
          <t>VÄSTRA GÖTALANDS LÄN</t>
        </is>
      </c>
      <c r="G486" t="inlineStr">
        <is>
          <t>BORÅS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46303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Kyrkan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46303</v>
      </c>
      <c r="F488" t="inlineStr">
        <is>
          <t>VÄSTRA GÖTALANDS LÄN</t>
        </is>
      </c>
      <c r="G488" t="inlineStr">
        <is>
          <t>BORÅS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46303</v>
      </c>
      <c r="F489" t="inlineStr">
        <is>
          <t>VÄSTRA GÖTALANDS LÄN</t>
        </is>
      </c>
      <c r="G489" t="inlineStr">
        <is>
          <t>BORÅS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46303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12635-2026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46091</v>
      </c>
      <c r="E491" s="1" t="n">
        <v>46303</v>
      </c>
      <c r="F491" t="inlineStr">
        <is>
          <t>VÄSTRA GÖTALANDS LÄN</t>
        </is>
      </c>
      <c r="G491" t="inlineStr">
        <is>
          <t>BORÅS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46303</v>
      </c>
      <c r="F492" t="inlineStr">
        <is>
          <t>VÄSTRA GÖTALANDS LÄN</t>
        </is>
      </c>
      <c r="G492" t="inlineStr">
        <is>
          <t>BORÅS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46303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46303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46303</v>
      </c>
      <c r="F495" t="inlineStr">
        <is>
          <t>VÄSTRA GÖTALANDS LÄN</t>
        </is>
      </c>
      <c r="G495" t="inlineStr">
        <is>
          <t>BORÅS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31940-2024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45510</v>
      </c>
      <c r="E496" s="1" t="n">
        <v>46303</v>
      </c>
      <c r="F496" t="inlineStr">
        <is>
          <t>VÄSTRA GÖTALANDS LÄN</t>
        </is>
      </c>
      <c r="G496" t="inlineStr">
        <is>
          <t>BORÅS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46303</v>
      </c>
      <c r="F497" t="inlineStr">
        <is>
          <t>VÄSTRA GÖTALANDS LÄN</t>
        </is>
      </c>
      <c r="G497" t="inlineStr">
        <is>
          <t>BORÅS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44958</v>
      </c>
      <c r="E498" s="1" t="n">
        <v>46303</v>
      </c>
      <c r="F498" t="inlineStr">
        <is>
          <t>VÄSTRA GÖTALANDS LÄN</t>
        </is>
      </c>
      <c r="G498" t="inlineStr">
        <is>
          <t>BORÅS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14309-2022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44652</v>
      </c>
      <c r="E499" s="1" t="n">
        <v>46303</v>
      </c>
      <c r="F499" t="inlineStr">
        <is>
          <t>VÄSTRA GÖTALANDS LÄN</t>
        </is>
      </c>
      <c r="G499" t="inlineStr">
        <is>
          <t>BORÅS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45678</v>
      </c>
      <c r="E500" s="1" t="n">
        <v>46303</v>
      </c>
      <c r="F500" t="inlineStr">
        <is>
          <t>VÄSTRA GÖTALANDS LÄN</t>
        </is>
      </c>
      <c r="G500" t="inlineStr">
        <is>
          <t>BORÅS</t>
        </is>
      </c>
      <c r="H500" t="inlineStr">
        <is>
          <t>Sveaskog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46303</v>
      </c>
      <c r="F501" t="inlineStr">
        <is>
          <t>VÄSTRA GÖTALANDS LÄN</t>
        </is>
      </c>
      <c r="G501" t="inlineStr">
        <is>
          <t>BORÅS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46303</v>
      </c>
      <c r="F502" t="inlineStr">
        <is>
          <t>VÄSTRA GÖTALANDS LÄN</t>
        </is>
      </c>
      <c r="G502" t="inlineStr">
        <is>
          <t>BORÅS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46303</v>
      </c>
      <c r="F503" t="inlineStr">
        <is>
          <t>VÄSTRA GÖTALANDS LÄN</t>
        </is>
      </c>
      <c r="G503" t="inlineStr">
        <is>
          <t>BORÅS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46303</v>
      </c>
      <c r="F504" t="inlineStr">
        <is>
          <t>VÄSTRA GÖTALANDS LÄN</t>
        </is>
      </c>
      <c r="G504" t="inlineStr">
        <is>
          <t>BORÅS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47616-2022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44854</v>
      </c>
      <c r="E505" s="1" t="n">
        <v>46303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44949</v>
      </c>
      <c r="E506" s="1" t="n">
        <v>46303</v>
      </c>
      <c r="F506" t="inlineStr">
        <is>
          <t>VÄSTRA GÖTALANDS LÄN</t>
        </is>
      </c>
      <c r="G506" t="inlineStr">
        <is>
          <t>BORÅS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50382-2022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44866</v>
      </c>
      <c r="E507" s="1" t="n">
        <v>46303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54875-2022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44886</v>
      </c>
      <c r="E508" s="1" t="n">
        <v>46303</v>
      </c>
      <c r="F508" t="inlineStr">
        <is>
          <t>VÄSTRA GÖTALANDS LÄN</t>
        </is>
      </c>
      <c r="G508" t="inlineStr">
        <is>
          <t>BORÅS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54871-2022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44886</v>
      </c>
      <c r="E509" s="1" t="n">
        <v>46303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54878-2022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44886</v>
      </c>
      <c r="E510" s="1" t="n">
        <v>46303</v>
      </c>
      <c r="F510" t="inlineStr">
        <is>
          <t>VÄSTRA GÖTALANDS LÄN</t>
        </is>
      </c>
      <c r="G510" t="inlineStr">
        <is>
          <t>BORÅS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46303</v>
      </c>
      <c r="F511" t="inlineStr">
        <is>
          <t>VÄSTRA GÖTALANDS LÄN</t>
        </is>
      </c>
      <c r="G511" t="inlineStr">
        <is>
          <t>BORÅS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46303</v>
      </c>
      <c r="F512" t="inlineStr">
        <is>
          <t>VÄSTRA GÖTALANDS LÄN</t>
        </is>
      </c>
      <c r="G512" t="inlineStr">
        <is>
          <t>BORÅS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15193-2026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46105</v>
      </c>
      <c r="E513" s="1" t="n">
        <v>46303</v>
      </c>
      <c r="F513" t="inlineStr">
        <is>
          <t>VÄSTRA GÖTALANDS LÄN</t>
        </is>
      </c>
      <c r="G513" t="inlineStr">
        <is>
          <t>BORÅS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45483</v>
      </c>
      <c r="E514" s="1" t="n">
        <v>46303</v>
      </c>
      <c r="F514" t="inlineStr">
        <is>
          <t>VÄSTRA GÖTALANDS LÄN</t>
        </is>
      </c>
      <c r="G514" t="inlineStr">
        <is>
          <t>BORÅS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46303</v>
      </c>
      <c r="F515" t="inlineStr">
        <is>
          <t>VÄSTRA GÖTALANDS LÄN</t>
        </is>
      </c>
      <c r="G515" t="inlineStr">
        <is>
          <t>BORÅS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29317-2024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46303</v>
      </c>
      <c r="F516" t="inlineStr">
        <is>
          <t>VÄSTRA GÖTALANDS LÄN</t>
        </is>
      </c>
      <c r="G516" t="inlineStr">
        <is>
          <t>BORÅS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46303</v>
      </c>
      <c r="F517" t="inlineStr">
        <is>
          <t>VÄSTRA GÖTALANDS LÄN</t>
        </is>
      </c>
      <c r="G517" t="inlineStr">
        <is>
          <t>BORÅS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46303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46303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46303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45000</v>
      </c>
      <c r="E521" s="1" t="n">
        <v>46303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46574-2022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44848</v>
      </c>
      <c r="E522" s="1" t="n">
        <v>46303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27334-2024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45472</v>
      </c>
      <c r="E523" s="1" t="n">
        <v>46303</v>
      </c>
      <c r="F523" t="inlineStr">
        <is>
          <t>VÄSTRA GÖTALANDS LÄN</t>
        </is>
      </c>
      <c r="G523" t="inlineStr">
        <is>
          <t>BORÅS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45525</v>
      </c>
      <c r="E524" s="1" t="n">
        <v>46303</v>
      </c>
      <c r="F524" t="inlineStr">
        <is>
          <t>VÄSTRA GÖTALANDS LÄN</t>
        </is>
      </c>
      <c r="G524" t="inlineStr">
        <is>
          <t>BORÅS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19481-2023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46303</v>
      </c>
      <c r="F525" t="inlineStr">
        <is>
          <t>VÄSTRA GÖTALANDS LÄN</t>
        </is>
      </c>
      <c r="G525" t="inlineStr">
        <is>
          <t>BORÅS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46303</v>
      </c>
      <c r="F526" t="inlineStr">
        <is>
          <t>VÄSTRA GÖTALANDS LÄN</t>
        </is>
      </c>
      <c r="G526" t="inlineStr">
        <is>
          <t>BORÅS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17234-2026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46119</v>
      </c>
      <c r="E527" s="1" t="n">
        <v>46303</v>
      </c>
      <c r="F527" t="inlineStr">
        <is>
          <t>VÄSTRA GÖTALANDS LÄN</t>
        </is>
      </c>
      <c r="G527" t="inlineStr">
        <is>
          <t>BORÅS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45264</v>
      </c>
      <c r="E528" s="1" t="n">
        <v>46303</v>
      </c>
      <c r="F528" t="inlineStr">
        <is>
          <t>VÄSTRA GÖTALANDS LÄN</t>
        </is>
      </c>
      <c r="G528" t="inlineStr">
        <is>
          <t>BORÅS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45120</v>
      </c>
      <c r="E529" s="1" t="n">
        <v>46303</v>
      </c>
      <c r="F529" t="inlineStr">
        <is>
          <t>VÄSTRA GÖTALANDS LÄN</t>
        </is>
      </c>
      <c r="G529" t="inlineStr">
        <is>
          <t>BORÅS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46217</v>
      </c>
      <c r="E530" s="1" t="n">
        <v>46303</v>
      </c>
      <c r="F530" t="inlineStr">
        <is>
          <t>VÄSTRA GÖTALANDS LÄN</t>
        </is>
      </c>
      <c r="G530" t="inlineStr">
        <is>
          <t>BORÅS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61863-2024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45650</v>
      </c>
      <c r="E531" s="1" t="n">
        <v>46303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46303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46303</v>
      </c>
      <c r="F533" t="inlineStr">
        <is>
          <t>VÄSTRA GÖTALANDS LÄN</t>
        </is>
      </c>
      <c r="G533" t="inlineStr">
        <is>
          <t>BORÅS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4937-2023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44958</v>
      </c>
      <c r="E534" s="1" t="n">
        <v>46303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46216</v>
      </c>
      <c r="E535" s="1" t="n">
        <v>46303</v>
      </c>
      <c r="F535" t="inlineStr">
        <is>
          <t>VÄSTRA GÖTALANDS LÄN</t>
        </is>
      </c>
      <c r="G535" t="inlineStr">
        <is>
          <t>BORÅS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18695-2026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46303</v>
      </c>
      <c r="F536" t="inlineStr">
        <is>
          <t>VÄSTRA GÖTALANDS LÄN</t>
        </is>
      </c>
      <c r="G536" t="inlineStr">
        <is>
          <t>BORÅS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46303</v>
      </c>
      <c r="F537" t="inlineStr">
        <is>
          <t>VÄSTRA GÖTALANDS LÄN</t>
        </is>
      </c>
      <c r="G537" t="inlineStr">
        <is>
          <t>BORÅS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46303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46260</v>
      </c>
      <c r="E539" s="1" t="n">
        <v>46303</v>
      </c>
      <c r="F539" t="inlineStr">
        <is>
          <t>VÄSTRA GÖTALANDS LÄN</t>
        </is>
      </c>
      <c r="G539" t="inlineStr">
        <is>
          <t>BORÅS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46303</v>
      </c>
      <c r="F540" t="inlineStr">
        <is>
          <t>VÄSTRA GÖTALANDS LÄN</t>
        </is>
      </c>
      <c r="G540" t="inlineStr">
        <is>
          <t>BORÅS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45184</v>
      </c>
      <c r="E541" s="1" t="n">
        <v>46303</v>
      </c>
      <c r="F541" t="inlineStr">
        <is>
          <t>VÄSTRA GÖTALANDS LÄN</t>
        </is>
      </c>
      <c r="G541" t="inlineStr">
        <is>
          <t>BORÅS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45666</v>
      </c>
      <c r="E542" s="1" t="n">
        <v>46303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Sveaskog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45421</v>
      </c>
      <c r="E543" s="1" t="n">
        <v>46303</v>
      </c>
      <c r="F543" t="inlineStr">
        <is>
          <t>VÄSTRA GÖTALANDS LÄN</t>
        </is>
      </c>
      <c r="G543" t="inlineStr">
        <is>
          <t>BORÅS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24860-2022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44728</v>
      </c>
      <c r="E544" s="1" t="n">
        <v>46303</v>
      </c>
      <c r="F544" t="inlineStr">
        <is>
          <t>VÄSTRA GÖTALANDS LÄN</t>
        </is>
      </c>
      <c r="G544" t="inlineStr">
        <is>
          <t>BORÅS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46303</v>
      </c>
      <c r="F545" t="inlineStr">
        <is>
          <t>VÄSTRA GÖTALANDS LÄN</t>
        </is>
      </c>
      <c r="G545" t="inlineStr">
        <is>
          <t>BORÅS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45486-2023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45194</v>
      </c>
      <c r="E546" s="1" t="n">
        <v>46303</v>
      </c>
      <c r="F546" t="inlineStr">
        <is>
          <t>VÄSTRA GÖTALANDS LÄN</t>
        </is>
      </c>
      <c r="G546" t="inlineStr">
        <is>
          <t>BORÅS</t>
        </is>
      </c>
      <c r="I546" t="n">
        <v>11.7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45629</v>
      </c>
      <c r="E547" s="1" t="n">
        <v>46303</v>
      </c>
      <c r="F547" t="inlineStr">
        <is>
          <t>VÄSTRA GÖTALANDS LÄN</t>
        </is>
      </c>
      <c r="G547" t="inlineStr">
        <is>
          <t>BORÅS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46303</v>
      </c>
      <c r="F548" t="inlineStr">
        <is>
          <t>VÄSTRA GÖTALANDS LÄN</t>
        </is>
      </c>
      <c r="G548" t="inlineStr">
        <is>
          <t>BORÅS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46303</v>
      </c>
      <c r="F549" t="inlineStr">
        <is>
          <t>VÄSTRA GÖTALANDS LÄN</t>
        </is>
      </c>
      <c r="G549" t="inlineStr">
        <is>
          <t>BORÅS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45855</v>
      </c>
      <c r="E550" s="1" t="n">
        <v>46303</v>
      </c>
      <c r="F550" t="inlineStr">
        <is>
          <t>VÄSTRA GÖTALANDS LÄN</t>
        </is>
      </c>
      <c r="G550" t="inlineStr">
        <is>
          <t>BORÅS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50605-2022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44866</v>
      </c>
      <c r="E551" s="1" t="n">
        <v>46303</v>
      </c>
      <c r="F551" t="inlineStr">
        <is>
          <t>VÄSTRA GÖTALANDS LÄN</t>
        </is>
      </c>
      <c r="G551" t="inlineStr">
        <is>
          <t>BORÅS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54246-2023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45232</v>
      </c>
      <c r="E552" s="1" t="n">
        <v>46303</v>
      </c>
      <c r="F552" t="inlineStr">
        <is>
          <t>VÄSTRA GÖTALANDS LÄN</t>
        </is>
      </c>
      <c r="G552" t="inlineStr">
        <is>
          <t>BORÅS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36574-2024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45537</v>
      </c>
      <c r="E553" s="1" t="n">
        <v>46303</v>
      </c>
      <c r="F553" t="inlineStr">
        <is>
          <t>VÄSTRA GÖTALANDS LÄN</t>
        </is>
      </c>
      <c r="G553" t="inlineStr">
        <is>
          <t>BORÅS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45453</v>
      </c>
      <c r="E554" s="1" t="n">
        <v>46303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45412</v>
      </c>
      <c r="E555" s="1" t="n">
        <v>46303</v>
      </c>
      <c r="F555" t="inlineStr">
        <is>
          <t>VÄSTRA GÖTALANDS LÄN</t>
        </is>
      </c>
      <c r="G555" t="inlineStr">
        <is>
          <t>BORÅS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70988-2021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44538</v>
      </c>
      <c r="E556" s="1" t="n">
        <v>46303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Kommuner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41778-2023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45176</v>
      </c>
      <c r="E557" s="1" t="n">
        <v>46303</v>
      </c>
      <c r="F557" t="inlineStr">
        <is>
          <t>VÄSTRA GÖTALANDS LÄN</t>
        </is>
      </c>
      <c r="G557" t="inlineStr">
        <is>
          <t>BORÅS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46303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45440</v>
      </c>
      <c r="E559" s="1" t="n">
        <v>46303</v>
      </c>
      <c r="F559" t="inlineStr">
        <is>
          <t>VÄSTRA GÖTALANDS LÄN</t>
        </is>
      </c>
      <c r="G559" t="inlineStr">
        <is>
          <t>BORÅS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48358-2023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45205</v>
      </c>
      <c r="E560" s="1" t="n">
        <v>46303</v>
      </c>
      <c r="F560" t="inlineStr">
        <is>
          <t>VÄSTRA GÖTALANDS LÄN</t>
        </is>
      </c>
      <c r="G560" t="inlineStr">
        <is>
          <t>BORÅS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36115-2026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46267</v>
      </c>
      <c r="E561" s="1" t="n">
        <v>46303</v>
      </c>
      <c r="F561" t="inlineStr">
        <is>
          <t>VÄSTRA GÖTALANDS LÄN</t>
        </is>
      </c>
      <c r="G561" t="inlineStr">
        <is>
          <t>BORÅS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46268</v>
      </c>
      <c r="E562" s="1" t="n">
        <v>46303</v>
      </c>
      <c r="F562" t="inlineStr">
        <is>
          <t>VÄSTRA GÖTALANDS LÄN</t>
        </is>
      </c>
      <c r="G562" t="inlineStr">
        <is>
          <t>BORÅS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45240</v>
      </c>
      <c r="E563" s="1" t="n">
        <v>46303</v>
      </c>
      <c r="F563" t="inlineStr">
        <is>
          <t>VÄSTRA GÖTALANDS LÄN</t>
        </is>
      </c>
      <c r="G563" t="inlineStr">
        <is>
          <t>BORÅS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46303</v>
      </c>
      <c r="F564" t="inlineStr">
        <is>
          <t>VÄSTRA GÖTALANDS LÄN</t>
        </is>
      </c>
      <c r="G564" t="inlineStr">
        <is>
          <t>BORÅS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46303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46303</v>
      </c>
      <c r="F566" t="inlineStr">
        <is>
          <t>VÄSTRA GÖTALANDS LÄN</t>
        </is>
      </c>
      <c r="G566" t="inlineStr">
        <is>
          <t>BORÅS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9127-2023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46303</v>
      </c>
      <c r="F567" t="inlineStr">
        <is>
          <t>VÄSTRA GÖTALANDS LÄN</t>
        </is>
      </c>
      <c r="G567" t="inlineStr">
        <is>
          <t>BORÅS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45034</v>
      </c>
      <c r="E568" s="1" t="n">
        <v>46303</v>
      </c>
      <c r="F568" t="inlineStr">
        <is>
          <t>VÄSTRA GÖTALANDS LÄN</t>
        </is>
      </c>
      <c r="G568" t="inlineStr">
        <is>
          <t>BORÅS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44914</v>
      </c>
      <c r="E569" s="1" t="n">
        <v>46303</v>
      </c>
      <c r="F569" t="inlineStr">
        <is>
          <t>VÄSTRA GÖTALANDS LÄN</t>
        </is>
      </c>
      <c r="G569" t="inlineStr">
        <is>
          <t>BORÅS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62448-2023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45268</v>
      </c>
      <c r="E570" s="1" t="n">
        <v>46303</v>
      </c>
      <c r="F570" t="inlineStr">
        <is>
          <t>VÄSTRA GÖTALANDS LÄN</t>
        </is>
      </c>
      <c r="G570" t="inlineStr">
        <is>
          <t>BORÅS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46303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46303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48619-2023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46303</v>
      </c>
      <c r="F573" t="inlineStr">
        <is>
          <t>VÄSTRA GÖTALANDS LÄN</t>
        </is>
      </c>
      <c r="G573" t="inlineStr">
        <is>
          <t>BORÅS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18533-2025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46303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Kommuner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46303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45632</v>
      </c>
      <c r="E576" s="1" t="n">
        <v>46303</v>
      </c>
      <c r="F576" t="inlineStr">
        <is>
          <t>VÄSTRA GÖTALANDS LÄN</t>
        </is>
      </c>
      <c r="G576" t="inlineStr">
        <is>
          <t>BORÅS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46303</v>
      </c>
      <c r="F577" t="inlineStr">
        <is>
          <t>VÄSTRA GÖTALANDS LÄN</t>
        </is>
      </c>
      <c r="G577" t="inlineStr">
        <is>
          <t>BORÅS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46280</v>
      </c>
      <c r="E578" s="1" t="n">
        <v>46303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Kommuner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46303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46303</v>
      </c>
      <c r="F580" t="inlineStr">
        <is>
          <t>VÄSTRA GÖTALANDS LÄN</t>
        </is>
      </c>
      <c r="G580" t="inlineStr">
        <is>
          <t>BORÅS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46303</v>
      </c>
      <c r="F581" t="inlineStr">
        <is>
          <t>VÄSTRA GÖTALANDS LÄN</t>
        </is>
      </c>
      <c r="G581" t="inlineStr">
        <is>
          <t>BORÅS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40322-2025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45895</v>
      </c>
      <c r="E582" s="1" t="n">
        <v>46303</v>
      </c>
      <c r="F582" t="inlineStr">
        <is>
          <t>VÄSTRA GÖTALANDS LÄN</t>
        </is>
      </c>
      <c r="G582" t="inlineStr">
        <is>
          <t>BORÅS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19345-2026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46303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45792</v>
      </c>
      <c r="E584" s="1" t="n">
        <v>46303</v>
      </c>
      <c r="F584" t="inlineStr">
        <is>
          <t>VÄSTRA GÖTALANDS LÄN</t>
        </is>
      </c>
      <c r="G584" t="inlineStr">
        <is>
          <t>BORÅS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33327-2026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46246</v>
      </c>
      <c r="E585" s="1" t="n">
        <v>46303</v>
      </c>
      <c r="F585" t="inlineStr">
        <is>
          <t>VÄSTRA GÖTALANDS LÄN</t>
        </is>
      </c>
      <c r="G585" t="inlineStr">
        <is>
          <t>BORÅS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33328-2026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46246</v>
      </c>
      <c r="E586" s="1" t="n">
        <v>46303</v>
      </c>
      <c r="F586" t="inlineStr">
        <is>
          <t>VÄSTRA GÖTALANDS LÄN</t>
        </is>
      </c>
      <c r="G586" t="inlineStr">
        <is>
          <t>BORÅS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46303</v>
      </c>
      <c r="F587" t="inlineStr">
        <is>
          <t>VÄSTRA GÖTALANDS LÄN</t>
        </is>
      </c>
      <c r="G587" t="inlineStr">
        <is>
          <t>BORÅS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45720</v>
      </c>
      <c r="E588" s="1" t="n">
        <v>46303</v>
      </c>
      <c r="F588" t="inlineStr">
        <is>
          <t>VÄSTRA GÖTALANDS LÄN</t>
        </is>
      </c>
      <c r="G588" t="inlineStr">
        <is>
          <t>BORÅS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11446-2026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46083</v>
      </c>
      <c r="E589" s="1" t="n">
        <v>46303</v>
      </c>
      <c r="F589" t="inlineStr">
        <is>
          <t>VÄSTRA GÖTALANDS LÄN</t>
        </is>
      </c>
      <c r="G589" t="inlineStr">
        <is>
          <t>BORÅS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45964</v>
      </c>
      <c r="E590" s="1" t="n">
        <v>46303</v>
      </c>
      <c r="F590" t="inlineStr">
        <is>
          <t>VÄSTRA GÖTALANDS LÄN</t>
        </is>
      </c>
      <c r="G590" t="inlineStr">
        <is>
          <t>BORÅS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46289</v>
      </c>
      <c r="E591" s="1" t="n">
        <v>46303</v>
      </c>
      <c r="F591" t="inlineStr">
        <is>
          <t>VÄSTRA GÖTALANDS LÄN</t>
        </is>
      </c>
      <c r="G591" t="inlineStr">
        <is>
          <t>BORÅS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46303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46252</v>
      </c>
      <c r="E593" s="1" t="n">
        <v>46303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33795-2026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46303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46303</v>
      </c>
      <c r="F595" t="inlineStr">
        <is>
          <t>VÄSTRA GÖTALANDS LÄN</t>
        </is>
      </c>
      <c r="G595" t="inlineStr">
        <is>
          <t>BORÅS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40575-2026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46295</v>
      </c>
      <c r="E596" s="1" t="n">
        <v>46303</v>
      </c>
      <c r="F596" t="inlineStr">
        <is>
          <t>VÄSTRA GÖTALANDS LÄN</t>
        </is>
      </c>
      <c r="G596" t="inlineStr">
        <is>
          <t>BORÅS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45937</v>
      </c>
      <c r="E597" s="1" t="n">
        <v>46303</v>
      </c>
      <c r="F597" t="inlineStr">
        <is>
          <t>VÄSTRA GÖTALANDS LÄN</t>
        </is>
      </c>
      <c r="G597" t="inlineStr">
        <is>
          <t>BORÅS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46254</v>
      </c>
      <c r="E598" s="1" t="n">
        <v>46303</v>
      </c>
      <c r="F598" t="inlineStr">
        <is>
          <t>VÄSTRA GÖTALANDS LÄN</t>
        </is>
      </c>
      <c r="G598" t="inlineStr">
        <is>
          <t>BORÅS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46254</v>
      </c>
      <c r="E599" s="1" t="n">
        <v>46303</v>
      </c>
      <c r="F599" t="inlineStr">
        <is>
          <t>VÄSTRA GÖTALANDS LÄN</t>
        </is>
      </c>
      <c r="G599" t="inlineStr">
        <is>
          <t>BORÅS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46260</v>
      </c>
      <c r="E600" s="1" t="n">
        <v>46303</v>
      </c>
      <c r="F600" t="inlineStr">
        <is>
          <t>VÄSTRA GÖTALANDS LÄN</t>
        </is>
      </c>
      <c r="G600" t="inlineStr">
        <is>
          <t>BORÅS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46303</v>
      </c>
      <c r="F601" t="inlineStr">
        <is>
          <t>VÄSTRA GÖTALANDS LÄN</t>
        </is>
      </c>
      <c r="G601" t="inlineStr">
        <is>
          <t>BORÅS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45294</v>
      </c>
      <c r="E602" s="1" t="n">
        <v>46303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45294</v>
      </c>
      <c r="E603" s="1" t="n">
        <v>46303</v>
      </c>
      <c r="F603" t="inlineStr">
        <is>
          <t>VÄSTRA GÖTALANDS LÄN</t>
        </is>
      </c>
      <c r="G603" t="inlineStr">
        <is>
          <t>BORÅS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35130-2026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46303</v>
      </c>
      <c r="F604" t="inlineStr">
        <is>
          <t>VÄSTRA GÖTALANDS LÄN</t>
        </is>
      </c>
      <c r="G604" t="inlineStr">
        <is>
          <t>BORÅS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46303</v>
      </c>
      <c r="F605" t="inlineStr">
        <is>
          <t>VÄSTRA GÖTALANDS LÄN</t>
        </is>
      </c>
      <c r="G605" t="inlineStr">
        <is>
          <t>BORÅS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41551-2026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46301</v>
      </c>
      <c r="E606" s="1" t="n">
        <v>46303</v>
      </c>
      <c r="F606" t="inlineStr">
        <is>
          <t>VÄSTRA GÖTALANDS LÄN</t>
        </is>
      </c>
      <c r="G606" t="inlineStr">
        <is>
          <t>BORÅS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46303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45294</v>
      </c>
      <c r="E608" s="1" t="n">
        <v>46303</v>
      </c>
      <c r="F608" t="inlineStr">
        <is>
          <t>VÄSTRA GÖTALANDS LÄN</t>
        </is>
      </c>
      <c r="G608" t="inlineStr">
        <is>
          <t>BORÅS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45308</v>
      </c>
      <c r="E609" s="1" t="n">
        <v>46303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1252-2022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44624</v>
      </c>
      <c r="E610" s="1" t="n">
        <v>46303</v>
      </c>
      <c r="F610" t="inlineStr">
        <is>
          <t>VÄSTRA GÖTALANDS LÄN</t>
        </is>
      </c>
      <c r="G610" t="inlineStr">
        <is>
          <t>BORÅS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1559-2022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44642</v>
      </c>
      <c r="E611" s="1" t="n">
        <v>46303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3027-2024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45513</v>
      </c>
      <c r="E612" s="1" t="n">
        <v>46303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2814-2022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44706</v>
      </c>
      <c r="E613" s="1" t="n">
        <v>46303</v>
      </c>
      <c r="F613" t="inlineStr">
        <is>
          <t>VÄSTRA GÖTALANDS LÄN</t>
        </is>
      </c>
      <c r="G613" t="inlineStr">
        <is>
          <t>BORÅS</t>
        </is>
      </c>
      <c r="H613" t="inlineStr">
        <is>
          <t>Kyrkan</t>
        </is>
      </c>
      <c r="I613" t="n">
        <v>39.7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46303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46303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46303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6936-2022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44900</v>
      </c>
      <c r="E617" s="1" t="n">
        <v>46303</v>
      </c>
      <c r="F617" t="inlineStr">
        <is>
          <t>VÄSTRA GÖTALANDS LÄN</t>
        </is>
      </c>
      <c r="G617" t="inlineStr">
        <is>
          <t>BORÅS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6156-2022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44865</v>
      </c>
      <c r="E618" s="1" t="n">
        <v>46303</v>
      </c>
      <c r="F618" t="inlineStr">
        <is>
          <t>VÄSTRA GÖTALANDS LÄN</t>
        </is>
      </c>
      <c r="G618" t="inlineStr">
        <is>
          <t>BORÅS</t>
        </is>
      </c>
      <c r="I618" t="n">
        <v>15.6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4259-2023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45257</v>
      </c>
      <c r="E619" s="1" t="n">
        <v>46303</v>
      </c>
      <c r="F619" t="inlineStr">
        <is>
          <t>VÄSTRA GÖTALANDS LÄN</t>
        </is>
      </c>
      <c r="G619" t="inlineStr">
        <is>
          <t>BORÅS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2970-2023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45173</v>
      </c>
      <c r="E620" s="1" t="n">
        <v>46303</v>
      </c>
      <c r="F620" t="inlineStr">
        <is>
          <t>VÄSTRA GÖTALANDS LÄN</t>
        </is>
      </c>
      <c r="G620" t="inlineStr">
        <is>
          <t>BORÅS</t>
        </is>
      </c>
      <c r="I620" t="n">
        <v>12.7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6934-2022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46303</v>
      </c>
      <c r="F621" t="inlineStr">
        <is>
          <t>VÄSTRA GÖTALANDS LÄN</t>
        </is>
      </c>
      <c r="G621" t="inlineStr">
        <is>
          <t>BORÅS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46303</v>
      </c>
      <c r="F622" t="inlineStr">
        <is>
          <t>VÄSTRA GÖTALANDS LÄN</t>
        </is>
      </c>
      <c r="G622" t="inlineStr">
        <is>
          <t>BORÅS</t>
        </is>
      </c>
      <c r="I622" t="n">
        <v>30.4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6937-2022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46303</v>
      </c>
      <c r="F623" t="inlineStr">
        <is>
          <t>VÄSTRA GÖTALANDS LÄN</t>
        </is>
      </c>
      <c r="G623" t="inlineStr">
        <is>
          <t>BORÅS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3398-2024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45534</v>
      </c>
      <c r="E624" s="1" t="n">
        <v>46303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1800-2025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46303</v>
      </c>
      <c r="F625" t="inlineStr">
        <is>
          <t>VÄSTRA GÖTALANDS LÄN</t>
        </is>
      </c>
      <c r="G625" t="inlineStr">
        <is>
          <t>BORÅS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1640-2024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45429</v>
      </c>
      <c r="E626" s="1" t="n">
        <v>46303</v>
      </c>
      <c r="F626" t="inlineStr">
        <is>
          <t>VÄSTRA GÖTALANDS LÄN</t>
        </is>
      </c>
      <c r="G626" t="inlineStr">
        <is>
          <t>BORÅS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1979-2025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45831</v>
      </c>
      <c r="E627" s="1" t="n">
        <v>46303</v>
      </c>
      <c r="F627" t="inlineStr">
        <is>
          <t>VÄSTRA GÖTALANDS LÄN</t>
        </is>
      </c>
      <c r="G627" t="inlineStr">
        <is>
          <t>BORÅS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2374-2025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45890</v>
      </c>
      <c r="E628" s="1" t="n">
        <v>46303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3201-2025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45979</v>
      </c>
      <c r="E629" s="1" t="n">
        <v>46303</v>
      </c>
      <c r="F629" t="inlineStr">
        <is>
          <t>VÄSTRA GÖTALANDS LÄN</t>
        </is>
      </c>
      <c r="G629" t="inlineStr">
        <is>
          <t>BORÅS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944-2025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45740</v>
      </c>
      <c r="E630" s="1" t="n">
        <v>46303</v>
      </c>
      <c r="F630" t="inlineStr">
        <is>
          <t>VÄSTRA GÖTALANDS LÄN</t>
        </is>
      </c>
      <c r="G630" t="inlineStr">
        <is>
          <t>BORÅS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943-2025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45740</v>
      </c>
      <c r="E631" s="1" t="n">
        <v>46303</v>
      </c>
      <c r="F631" t="inlineStr">
        <is>
          <t>VÄSTRA GÖTALANDS LÄN</t>
        </is>
      </c>
      <c r="G631" t="inlineStr">
        <is>
          <t>BORÅS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2453-2023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45127</v>
      </c>
      <c r="E632" s="1" t="n">
        <v>46303</v>
      </c>
      <c r="F632" t="inlineStr">
        <is>
          <t>VÄSTRA GÖTALANDS LÄN</t>
        </is>
      </c>
      <c r="G632" t="inlineStr">
        <is>
          <t>BORÅS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46073</v>
      </c>
      <c r="E633" s="1" t="n">
        <v>46303</v>
      </c>
      <c r="F633" t="inlineStr">
        <is>
          <t>VÄSTRA GÖTALANDS LÄN</t>
        </is>
      </c>
      <c r="G633" t="inlineStr">
        <is>
          <t>BORÅS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560-2026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46083</v>
      </c>
      <c r="E634" s="1" t="n">
        <v>46303</v>
      </c>
      <c r="F634" t="inlineStr">
        <is>
          <t>VÄSTRA GÖTALANDS LÄN</t>
        </is>
      </c>
      <c r="G634" t="inlineStr">
        <is>
          <t>BORÅS</t>
        </is>
      </c>
      <c r="I634" t="n">
        <v>17.6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2026-10-08T02:04:25Z</dcterms:created>
  <dcterms:modified xmlns:dcterms="http://purl.org/dc/terms/" xmlns:xsi="http://www.w3.org/2001/XMLSchema-instance" xsi:type="dcterms:W3CDTF">2026-10-08T02:04:25Z</dcterms:modified>
</cp:coreProperties>
</file>